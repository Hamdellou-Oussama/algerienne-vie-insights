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P GROUPE (2)"/>
    <sheet r:id="rId2" sheetId="2" name="RECAP"/>
    <sheet r:id="rId3" sheetId="3" name="ETAT SORTIE ATTENDU"/>
  </sheets>
  <definedNames>
    <definedName name="_xlnm._FilterDatabase" localSheetId="0">'SAP GROUPE (2)'!$K$2:$AA$236</definedName>
  </definedNames>
  <calcPr fullCalcOnLoad="1"/>
</workbook>
</file>

<file path=xl/sharedStrings.xml><?xml version="1.0" encoding="utf-8"?>
<sst xmlns="http://schemas.openxmlformats.org/spreadsheetml/2006/main" count="3094" uniqueCount="765">
  <si>
    <t>Produit</t>
  </si>
  <si>
    <t>date de cloture</t>
  </si>
  <si>
    <t>SAP cloture</t>
  </si>
  <si>
    <t>prevoyance</t>
  </si>
  <si>
    <r>
      <t>SOIT</t>
    </r>
    <r>
      <rPr>
        <b/>
        <sz val="11"/>
        <color rgb="FF000000"/>
        <rFont val="Calibri"/>
        <family val="2"/>
        <scheme val="minor"/>
      </rPr>
      <t xml:space="preserve"> N</t>
    </r>
    <r>
      <rPr>
        <sz val="11"/>
        <color rgb="FF000000"/>
        <rFont val="Calibri"/>
        <family val="2"/>
        <scheme val="minor"/>
      </rPr>
      <t>=2025</t>
    </r>
  </si>
  <si>
    <t>SAP au 31/12/2025</t>
  </si>
  <si>
    <t>SAP</t>
  </si>
  <si>
    <t>ANNEE</t>
  </si>
  <si>
    <t>RESEAUX</t>
  </si>
  <si>
    <t>PRODUIT</t>
  </si>
  <si>
    <t>N</t>
  </si>
  <si>
    <t>R1</t>
  </si>
  <si>
    <t>IA</t>
  </si>
  <si>
    <t>AVA</t>
  </si>
  <si>
    <t>R2</t>
  </si>
  <si>
    <t>R5</t>
  </si>
  <si>
    <t>R6</t>
  </si>
  <si>
    <t>soit date de cloture SAP</t>
  </si>
  <si>
    <t>Réseau</t>
  </si>
  <si>
    <t>Agence</t>
  </si>
  <si>
    <t>PRODUITS</t>
  </si>
  <si>
    <t xml:space="preserve">N° Police </t>
  </si>
  <si>
    <t>Date d'effet police</t>
  </si>
  <si>
    <t>Date d'echeance police</t>
  </si>
  <si>
    <t>N°adhésion</t>
  </si>
  <si>
    <t xml:space="preserve">Nom et Prénom d'adhérent </t>
  </si>
  <si>
    <t>Date de Naissance adhérent</t>
  </si>
  <si>
    <t>date d'adhésion adhérent</t>
  </si>
  <si>
    <t>Code Client</t>
  </si>
  <si>
    <t xml:space="preserve">Nom Client </t>
  </si>
  <si>
    <t>Type Affaire</t>
  </si>
  <si>
    <t>Nom et Prénom bénéficiaire</t>
  </si>
  <si>
    <t>lien de parenté</t>
  </si>
  <si>
    <t>Genre bénéficiaire</t>
  </si>
  <si>
    <t>Date de Naissance bénéficiaire</t>
  </si>
  <si>
    <t>N° Sinistre</t>
  </si>
  <si>
    <t>Garanties</t>
  </si>
  <si>
    <t>Montant sinistre déclaré</t>
  </si>
  <si>
    <t>Date de déclaration</t>
  </si>
  <si>
    <t>Année de survenance de sinsitre</t>
  </si>
  <si>
    <t xml:space="preserve">Date de survenance du sinistre </t>
  </si>
  <si>
    <t>Statut</t>
  </si>
  <si>
    <t>Date de notification reglement /REJET</t>
  </si>
  <si>
    <t>Montant réglé</t>
  </si>
  <si>
    <t>Ecart  reglement</t>
  </si>
  <si>
    <t>sap au 30/06/2025</t>
  </si>
  <si>
    <t xml:space="preserve">SAP AU </t>
  </si>
  <si>
    <t>Direct</t>
  </si>
  <si>
    <t>900.2025.13.26.00001</t>
  </si>
  <si>
    <t>A1</t>
  </si>
  <si>
    <t>00001</t>
  </si>
  <si>
    <t>CLIENT1</t>
  </si>
  <si>
    <t>Facultative</t>
  </si>
  <si>
    <t>B1</t>
  </si>
  <si>
    <t>ENFANT</t>
  </si>
  <si>
    <t>M</t>
  </si>
  <si>
    <t>090000.2025.26.090736</t>
  </si>
  <si>
    <t>MR</t>
  </si>
  <si>
    <t>REJET</t>
  </si>
  <si>
    <t>900.2024.10.26.00001</t>
  </si>
  <si>
    <t>A2</t>
  </si>
  <si>
    <t>B2</t>
  </si>
  <si>
    <t>CONJOINT</t>
  </si>
  <si>
    <t>F</t>
  </si>
  <si>
    <t>090000.2025.26.076636</t>
  </si>
  <si>
    <t>REGLE</t>
  </si>
  <si>
    <t>A3</t>
  </si>
  <si>
    <t>B3</t>
  </si>
  <si>
    <t>090000.2025.26.090750</t>
  </si>
  <si>
    <t>A4</t>
  </si>
  <si>
    <t>B4</t>
  </si>
  <si>
    <t>090000.2025.26.090758</t>
  </si>
  <si>
    <t>A5</t>
  </si>
  <si>
    <t>B5</t>
  </si>
  <si>
    <t>090000.2025.26.090764</t>
  </si>
  <si>
    <t>IPT</t>
  </si>
  <si>
    <t>A6</t>
  </si>
  <si>
    <t>B6</t>
  </si>
  <si>
    <t>090000.2025.26.090770</t>
  </si>
  <si>
    <t>A7</t>
  </si>
  <si>
    <t>B7</t>
  </si>
  <si>
    <t>090000.2025.26.090778</t>
  </si>
  <si>
    <t>DECES</t>
  </si>
  <si>
    <t>A8</t>
  </si>
  <si>
    <t>B8</t>
  </si>
  <si>
    <t>090000.2025.26.090788</t>
  </si>
  <si>
    <t>A9</t>
  </si>
  <si>
    <t>B9</t>
  </si>
  <si>
    <t>090000.2025.26.090790</t>
  </si>
  <si>
    <t>A10</t>
  </si>
  <si>
    <t>B10</t>
  </si>
  <si>
    <t>090000.2025.26.076644</t>
  </si>
  <si>
    <t>A11</t>
  </si>
  <si>
    <t>B11</t>
  </si>
  <si>
    <t>090000.2025.26.090794</t>
  </si>
  <si>
    <t>A12</t>
  </si>
  <si>
    <t>B12</t>
  </si>
  <si>
    <t>090000.2025.26.090796</t>
  </si>
  <si>
    <t>A13</t>
  </si>
  <si>
    <t>B13</t>
  </si>
  <si>
    <t>090000.2025.26.083824</t>
  </si>
  <si>
    <t>A14</t>
  </si>
  <si>
    <t>B14</t>
  </si>
  <si>
    <t>090000.2025.26.095102</t>
  </si>
  <si>
    <t>A15</t>
  </si>
  <si>
    <t>B15</t>
  </si>
  <si>
    <t>090000.2025.26.096260</t>
  </si>
  <si>
    <t>A16</t>
  </si>
  <si>
    <t>B16</t>
  </si>
  <si>
    <t>090000.2025.26.083810</t>
  </si>
  <si>
    <t>A17</t>
  </si>
  <si>
    <t>B17</t>
  </si>
  <si>
    <t>090000.2025.26.090820</t>
  </si>
  <si>
    <t>A18</t>
  </si>
  <si>
    <t>B18</t>
  </si>
  <si>
    <t>090000.2025.26.090804</t>
  </si>
  <si>
    <t>A19</t>
  </si>
  <si>
    <t>B19</t>
  </si>
  <si>
    <t>090000.2025.26.090800</t>
  </si>
  <si>
    <t>A20</t>
  </si>
  <si>
    <t>B20</t>
  </si>
  <si>
    <t>090000.2025.26.090816</t>
  </si>
  <si>
    <t>A21</t>
  </si>
  <si>
    <t>B21</t>
  </si>
  <si>
    <t>090000.2025.26.090814</t>
  </si>
  <si>
    <t>A22</t>
  </si>
  <si>
    <t>B22</t>
  </si>
  <si>
    <t>090000.2025.26.090810</t>
  </si>
  <si>
    <t>A23</t>
  </si>
  <si>
    <t>B23</t>
  </si>
  <si>
    <t>090000.2025.26.095196</t>
  </si>
  <si>
    <t>A24</t>
  </si>
  <si>
    <t>B24</t>
  </si>
  <si>
    <t>090000.2025.26.090720</t>
  </si>
  <si>
    <t>A25</t>
  </si>
  <si>
    <t>B25</t>
  </si>
  <si>
    <t>090000.2025.26.090742</t>
  </si>
  <si>
    <t>A26</t>
  </si>
  <si>
    <t>B26</t>
  </si>
  <si>
    <t>090000.2025.26.090754</t>
  </si>
  <si>
    <t>A27</t>
  </si>
  <si>
    <t>B27</t>
  </si>
  <si>
    <t>090000.2025.26.090726</t>
  </si>
  <si>
    <t>A28</t>
  </si>
  <si>
    <t>B28</t>
  </si>
  <si>
    <t>090000.2025.26.093976</t>
  </si>
  <si>
    <t>A29</t>
  </si>
  <si>
    <t>B29</t>
  </si>
  <si>
    <t>090000.2025.26.090730</t>
  </si>
  <si>
    <t>A30</t>
  </si>
  <si>
    <t>B30</t>
  </si>
  <si>
    <t>090000.2025.26.095306</t>
  </si>
  <si>
    <t>A31</t>
  </si>
  <si>
    <t>B31</t>
  </si>
  <si>
    <t>090000.2025.26.093978</t>
  </si>
  <si>
    <t>A32</t>
  </si>
  <si>
    <t>B32</t>
  </si>
  <si>
    <t>090000.2025.26.096272</t>
  </si>
  <si>
    <t>A33</t>
  </si>
  <si>
    <t>B33</t>
  </si>
  <si>
    <t>090000.2025.26.090732</t>
  </si>
  <si>
    <t>A34</t>
  </si>
  <si>
    <t>B34</t>
  </si>
  <si>
    <t>090000.2025.26.090798</t>
  </si>
  <si>
    <t>A35</t>
  </si>
  <si>
    <t>B35</t>
  </si>
  <si>
    <t>090000.2025.26.090802</t>
  </si>
  <si>
    <t>A36</t>
  </si>
  <si>
    <t>B36</t>
  </si>
  <si>
    <t>090000.2025.26.096276</t>
  </si>
  <si>
    <t>A37</t>
  </si>
  <si>
    <t>B37</t>
  </si>
  <si>
    <t>090000.2025.26.095054</t>
  </si>
  <si>
    <t>A38</t>
  </si>
  <si>
    <t>B38</t>
  </si>
  <si>
    <t>090000.2025.26.090806</t>
  </si>
  <si>
    <t>A39</t>
  </si>
  <si>
    <t>B39</t>
  </si>
  <si>
    <t>090000.2025.26.090812</t>
  </si>
  <si>
    <t>A40</t>
  </si>
  <si>
    <t>B40</t>
  </si>
  <si>
    <t>090000.2025.26.096278</t>
  </si>
  <si>
    <t>A41</t>
  </si>
  <si>
    <t>B41</t>
  </si>
  <si>
    <t>090000.2025.26.090808</t>
  </si>
  <si>
    <t>A42</t>
  </si>
  <si>
    <t>B42</t>
  </si>
  <si>
    <t>090000.2025.26.096280</t>
  </si>
  <si>
    <t>A43</t>
  </si>
  <si>
    <t>B43</t>
  </si>
  <si>
    <t>090000.2025.26.096284</t>
  </si>
  <si>
    <t>A44</t>
  </si>
  <si>
    <t>B44</t>
  </si>
  <si>
    <t>090000.2025.26.090786</t>
  </si>
  <si>
    <t>A45</t>
  </si>
  <si>
    <t>B45</t>
  </si>
  <si>
    <t>090000.2025.26.090834</t>
  </si>
  <si>
    <t>A46</t>
  </si>
  <si>
    <t>B46</t>
  </si>
  <si>
    <t>090000.2025.26.090774</t>
  </si>
  <si>
    <t>A47</t>
  </si>
  <si>
    <t>B47</t>
  </si>
  <si>
    <t>090000.2025.26.090768</t>
  </si>
  <si>
    <t>A48</t>
  </si>
  <si>
    <t>B48</t>
  </si>
  <si>
    <t>090000.2025.26.090738</t>
  </si>
  <si>
    <t>A49</t>
  </si>
  <si>
    <t>B49</t>
  </si>
  <si>
    <t>090000.2025.26.096290</t>
  </si>
  <si>
    <t>A50</t>
  </si>
  <si>
    <t>B50</t>
  </si>
  <si>
    <t>090000.2025.26.096292</t>
  </si>
  <si>
    <t>A51</t>
  </si>
  <si>
    <t>B51</t>
  </si>
  <si>
    <t>090000.2025.26.096296</t>
  </si>
  <si>
    <t>A52</t>
  </si>
  <si>
    <t>B52</t>
  </si>
  <si>
    <t>090000.2025.26.096298</t>
  </si>
  <si>
    <t>A53</t>
  </si>
  <si>
    <t>B53</t>
  </si>
  <si>
    <t>090000.2025.26.095154</t>
  </si>
  <si>
    <t>A54</t>
  </si>
  <si>
    <t>B54</t>
  </si>
  <si>
    <t>090000.2025.26.104930</t>
  </si>
  <si>
    <t>A55</t>
  </si>
  <si>
    <t>B55</t>
  </si>
  <si>
    <t>090000.2025.26.114720</t>
  </si>
  <si>
    <t>A56</t>
  </si>
  <si>
    <t>B56</t>
  </si>
  <si>
    <t>090000.2025.26.114722</t>
  </si>
  <si>
    <t>A57</t>
  </si>
  <si>
    <t>B57</t>
  </si>
  <si>
    <t>090000.2025.26.102336</t>
  </si>
  <si>
    <t>A58</t>
  </si>
  <si>
    <t>B58</t>
  </si>
  <si>
    <t>090000.2025.26.114792</t>
  </si>
  <si>
    <t>A59</t>
  </si>
  <si>
    <t>B59</t>
  </si>
  <si>
    <t xml:space="preserve"> 090000.2025.26.114794</t>
  </si>
  <si>
    <t>A60</t>
  </si>
  <si>
    <t>B60</t>
  </si>
  <si>
    <t>090000.2025.26.110866</t>
  </si>
  <si>
    <t>A61</t>
  </si>
  <si>
    <t>B61</t>
  </si>
  <si>
    <t>090000.2025.26.102346</t>
  </si>
  <si>
    <t>A62</t>
  </si>
  <si>
    <t>B62</t>
  </si>
  <si>
    <t>090000.2025.26.102348</t>
  </si>
  <si>
    <t>A63</t>
  </si>
  <si>
    <t>B63</t>
  </si>
  <si>
    <t>090000.2025.26.104258</t>
  </si>
  <si>
    <t>A64</t>
  </si>
  <si>
    <t>B64</t>
  </si>
  <si>
    <t>090000.2025.26.104934</t>
  </si>
  <si>
    <t>A65</t>
  </si>
  <si>
    <t>B65</t>
  </si>
  <si>
    <t>090000.2025.26.114726</t>
  </si>
  <si>
    <t>A66</t>
  </si>
  <si>
    <t>B66</t>
  </si>
  <si>
    <t>090000.2025.26.114796</t>
  </si>
  <si>
    <t>A67</t>
  </si>
  <si>
    <t>B67</t>
  </si>
  <si>
    <t>090000.2025.26.114728</t>
  </si>
  <si>
    <t>A68</t>
  </si>
  <si>
    <t>B68</t>
  </si>
  <si>
    <t>090000.2025.26.114730</t>
  </si>
  <si>
    <t>A69</t>
  </si>
  <si>
    <t>B69</t>
  </si>
  <si>
    <t>090000.2025.26.114732</t>
  </si>
  <si>
    <t>A70</t>
  </si>
  <si>
    <t>B70</t>
  </si>
  <si>
    <t>090000.2025.26.114736</t>
  </si>
  <si>
    <t>A71</t>
  </si>
  <si>
    <t>B71</t>
  </si>
  <si>
    <t>090000.2025.26.114734</t>
  </si>
  <si>
    <t>A72</t>
  </si>
  <si>
    <t>B72</t>
  </si>
  <si>
    <t>090000.2025.26.104180</t>
  </si>
  <si>
    <t>A73</t>
  </si>
  <si>
    <t>B73</t>
  </si>
  <si>
    <t>090000.2025.26.114820</t>
  </si>
  <si>
    <t>A74</t>
  </si>
  <si>
    <t>B74</t>
  </si>
  <si>
    <t>090000.2025.26.114738</t>
  </si>
  <si>
    <t>A75</t>
  </si>
  <si>
    <t>B75</t>
  </si>
  <si>
    <t>090000.2025.26.106148</t>
  </si>
  <si>
    <t>A76</t>
  </si>
  <si>
    <t>B76</t>
  </si>
  <si>
    <t>090000.2025.26.114740</t>
  </si>
  <si>
    <t>A77</t>
  </si>
  <si>
    <t>B77</t>
  </si>
  <si>
    <t>090000.2025.26.114742</t>
  </si>
  <si>
    <t>A78</t>
  </si>
  <si>
    <t>B78</t>
  </si>
  <si>
    <t>090000.2025.26.114744</t>
  </si>
  <si>
    <t>A79</t>
  </si>
  <si>
    <t>B79</t>
  </si>
  <si>
    <t>090000.2025.26.104932</t>
  </si>
  <si>
    <t>A80</t>
  </si>
  <si>
    <t>B80</t>
  </si>
  <si>
    <t>090000.2025.26.114746</t>
  </si>
  <si>
    <t>A81</t>
  </si>
  <si>
    <t>B81</t>
  </si>
  <si>
    <t>090000.2025.26.114798</t>
  </si>
  <si>
    <t>A82</t>
  </si>
  <si>
    <t>B82</t>
  </si>
  <si>
    <t>090000.2025.26.114800</t>
  </si>
  <si>
    <t>A83</t>
  </si>
  <si>
    <t>B83</t>
  </si>
  <si>
    <t>090000.2025.26.104936</t>
  </si>
  <si>
    <t>A84</t>
  </si>
  <si>
    <t>B84</t>
  </si>
  <si>
    <t>090000.2025.26.108706</t>
  </si>
  <si>
    <t>A85</t>
  </si>
  <si>
    <t>B85</t>
  </si>
  <si>
    <t>090000.2025.26.114748</t>
  </si>
  <si>
    <t>A86</t>
  </si>
  <si>
    <t>B86</t>
  </si>
  <si>
    <t>090000.2025.26.114750</t>
  </si>
  <si>
    <t>A87</t>
  </si>
  <si>
    <t>B87</t>
  </si>
  <si>
    <t>090000.2025.26.106486</t>
  </si>
  <si>
    <t>A88</t>
  </si>
  <si>
    <t>B88</t>
  </si>
  <si>
    <t>090000.2025.26.114752</t>
  </si>
  <si>
    <t>A89</t>
  </si>
  <si>
    <t>B89</t>
  </si>
  <si>
    <t>090000.2025.26.114802</t>
  </si>
  <si>
    <t>A90</t>
  </si>
  <si>
    <t>B90</t>
  </si>
  <si>
    <t>090000.2025.26.114754</t>
  </si>
  <si>
    <t>A91</t>
  </si>
  <si>
    <t>B91</t>
  </si>
  <si>
    <t>090000.2025.26.114804</t>
  </si>
  <si>
    <t>A92</t>
  </si>
  <si>
    <t>B92</t>
  </si>
  <si>
    <t>090000.2025.26.114756</t>
  </si>
  <si>
    <t>A93</t>
  </si>
  <si>
    <t>B93</t>
  </si>
  <si>
    <t xml:space="preserve"> 090000.2025.26.114758</t>
  </si>
  <si>
    <t>A94</t>
  </si>
  <si>
    <t>B94</t>
  </si>
  <si>
    <t>090000.2025.26.114806</t>
  </si>
  <si>
    <t>A95</t>
  </si>
  <si>
    <t>B95</t>
  </si>
  <si>
    <t>090000.2025.26.114760</t>
  </si>
  <si>
    <t>A96</t>
  </si>
  <si>
    <t>B96</t>
  </si>
  <si>
    <t>090000.2025.26.114762</t>
  </si>
  <si>
    <t>A97</t>
  </si>
  <si>
    <t>B97</t>
  </si>
  <si>
    <t>090000.2025.26.114764</t>
  </si>
  <si>
    <t>A98</t>
  </si>
  <si>
    <t>B98</t>
  </si>
  <si>
    <t>090000.2025.26.110862</t>
  </si>
  <si>
    <t>A99</t>
  </si>
  <si>
    <t>B99</t>
  </si>
  <si>
    <t>090000.2025.26.114766</t>
  </si>
  <si>
    <t>A100</t>
  </si>
  <si>
    <t>B100</t>
  </si>
  <si>
    <t>090000.2025.26.114768</t>
  </si>
  <si>
    <t>A101</t>
  </si>
  <si>
    <t>B101</t>
  </si>
  <si>
    <t>090000.2025.26.110870</t>
  </si>
  <si>
    <t>A102</t>
  </si>
  <si>
    <t>B102</t>
  </si>
  <si>
    <t>090000.2025.26.114822</t>
  </si>
  <si>
    <t>A103</t>
  </si>
  <si>
    <t>B103</t>
  </si>
  <si>
    <t>090000.2025.26.108688</t>
  </si>
  <si>
    <t>A104</t>
  </si>
  <si>
    <t>B104</t>
  </si>
  <si>
    <t>090000.2025.26.114790</t>
  </si>
  <si>
    <t>A105</t>
  </si>
  <si>
    <t>B105</t>
  </si>
  <si>
    <t>090000.2025.26.108702</t>
  </si>
  <si>
    <t>A106</t>
  </si>
  <si>
    <t>B106</t>
  </si>
  <si>
    <t>090000.2025.26.114770</t>
  </si>
  <si>
    <t>A107</t>
  </si>
  <si>
    <t>B107</t>
  </si>
  <si>
    <t>090000.2025.26.114772</t>
  </si>
  <si>
    <t>A108</t>
  </si>
  <si>
    <t>B108</t>
  </si>
  <si>
    <t>090000.2025.26.114808</t>
  </si>
  <si>
    <t>A109</t>
  </si>
  <si>
    <t>B109</t>
  </si>
  <si>
    <t>090000.2025.26.110868</t>
  </si>
  <si>
    <t>A110</t>
  </si>
  <si>
    <t>B110</t>
  </si>
  <si>
    <t>090000.2025.26.110872</t>
  </si>
  <si>
    <t>A111</t>
  </si>
  <si>
    <t>B111</t>
  </si>
  <si>
    <t>090000.2025.26.114810</t>
  </si>
  <si>
    <t>A112</t>
  </si>
  <si>
    <t>B112</t>
  </si>
  <si>
    <t>090000.2025.26.110864</t>
  </si>
  <si>
    <t>A113</t>
  </si>
  <si>
    <t>B113</t>
  </si>
  <si>
    <t>090000.2025.26.114774</t>
  </si>
  <si>
    <t>A114</t>
  </si>
  <si>
    <t>B114</t>
  </si>
  <si>
    <t>090000.2025.26.114812</t>
  </si>
  <si>
    <t>A115</t>
  </si>
  <si>
    <t>B115</t>
  </si>
  <si>
    <t>090000.2025.26.114814</t>
  </si>
  <si>
    <t>A116</t>
  </si>
  <si>
    <t>B116</t>
  </si>
  <si>
    <t>090000.2025.26.114776</t>
  </si>
  <si>
    <t>A117</t>
  </si>
  <si>
    <t>B117</t>
  </si>
  <si>
    <t>090000.2025.26.114816</t>
  </si>
  <si>
    <t>A118</t>
  </si>
  <si>
    <t>B118</t>
  </si>
  <si>
    <t>090000.2025.26.114824</t>
  </si>
  <si>
    <t>A119</t>
  </si>
  <si>
    <t>B119</t>
  </si>
  <si>
    <t>090000.2025.26.114826</t>
  </si>
  <si>
    <t>A120</t>
  </si>
  <si>
    <t>B120</t>
  </si>
  <si>
    <t xml:space="preserve"> 090000.2025.26.114778</t>
  </si>
  <si>
    <t>A121</t>
  </si>
  <si>
    <t>B121</t>
  </si>
  <si>
    <t>090000.2025.26.114780</t>
  </si>
  <si>
    <t>A122</t>
  </si>
  <si>
    <t>B122</t>
  </si>
  <si>
    <t>090000.2025.26.114782</t>
  </si>
  <si>
    <t>A123</t>
  </si>
  <si>
    <t>B123</t>
  </si>
  <si>
    <t>090000.2025.26.114818</t>
  </si>
  <si>
    <t>A124</t>
  </si>
  <si>
    <t>B124</t>
  </si>
  <si>
    <t>090000.2025.26.114784</t>
  </si>
  <si>
    <t>A125</t>
  </si>
  <si>
    <t>B125</t>
  </si>
  <si>
    <t>090000.2025.26.136627</t>
  </si>
  <si>
    <t>A126</t>
  </si>
  <si>
    <t>B126</t>
  </si>
  <si>
    <t>090000.2025.26.136629</t>
  </si>
  <si>
    <t>A127</t>
  </si>
  <si>
    <t>B127</t>
  </si>
  <si>
    <t>090000.2025.26.136631</t>
  </si>
  <si>
    <t>A128</t>
  </si>
  <si>
    <t>B128</t>
  </si>
  <si>
    <t>090000.2025.26.136633</t>
  </si>
  <si>
    <t>A129</t>
  </si>
  <si>
    <t>B129</t>
  </si>
  <si>
    <t>090000.2025.26.136635</t>
  </si>
  <si>
    <t>A130</t>
  </si>
  <si>
    <t>B130</t>
  </si>
  <si>
    <t>090000.2025.26.127621</t>
  </si>
  <si>
    <t>A131</t>
  </si>
  <si>
    <t>B131</t>
  </si>
  <si>
    <t>090000.2025.26.135215</t>
  </si>
  <si>
    <t>A132</t>
  </si>
  <si>
    <t>B132</t>
  </si>
  <si>
    <t>090000.2025.26.136659</t>
  </si>
  <si>
    <t>A133</t>
  </si>
  <si>
    <t>B133</t>
  </si>
  <si>
    <t>090000.2025.26.136639</t>
  </si>
  <si>
    <t>A134</t>
  </si>
  <si>
    <t>B134</t>
  </si>
  <si>
    <t>090000.2025.26.136641</t>
  </si>
  <si>
    <t>A135</t>
  </si>
  <si>
    <t>B135</t>
  </si>
  <si>
    <t>090000.2025.26.136675</t>
  </si>
  <si>
    <t>A136</t>
  </si>
  <si>
    <t>B136</t>
  </si>
  <si>
    <t>090000.2025.26.127617</t>
  </si>
  <si>
    <t>A137</t>
  </si>
  <si>
    <t>B137</t>
  </si>
  <si>
    <t>090000.2025.26.127659</t>
  </si>
  <si>
    <t>A138</t>
  </si>
  <si>
    <t>B138</t>
  </si>
  <si>
    <t>090000.2025.26.127657</t>
  </si>
  <si>
    <t>A139</t>
  </si>
  <si>
    <t>B139</t>
  </si>
  <si>
    <t>090000.2025.26.136643</t>
  </si>
  <si>
    <t>A140</t>
  </si>
  <si>
    <t>B140</t>
  </si>
  <si>
    <t>090000.2025.26.136661</t>
  </si>
  <si>
    <t>A141</t>
  </si>
  <si>
    <t>B141</t>
  </si>
  <si>
    <t>090000.2025.26.136645</t>
  </si>
  <si>
    <t>A142</t>
  </si>
  <si>
    <t>B142</t>
  </si>
  <si>
    <t>090000.2025.26.136647</t>
  </si>
  <si>
    <t>A143</t>
  </si>
  <si>
    <t>B143</t>
  </si>
  <si>
    <t>090000.2025.26.127661</t>
  </si>
  <si>
    <t>A144</t>
  </si>
  <si>
    <t>B144</t>
  </si>
  <si>
    <t>090000.2025.26.136651</t>
  </si>
  <si>
    <t>A145</t>
  </si>
  <si>
    <t>B145</t>
  </si>
  <si>
    <t>090000.2025.26.136653</t>
  </si>
  <si>
    <t>A146</t>
  </si>
  <si>
    <t>B146</t>
  </si>
  <si>
    <t>090000.2025.26.136649</t>
  </si>
  <si>
    <t>A147</t>
  </si>
  <si>
    <t>B147</t>
  </si>
  <si>
    <t>090000.2025.26.136663</t>
  </si>
  <si>
    <t>A148</t>
  </si>
  <si>
    <t>B148</t>
  </si>
  <si>
    <t>090000.2025.26.136665</t>
  </si>
  <si>
    <t>A149</t>
  </si>
  <si>
    <t>B149</t>
  </si>
  <si>
    <t>090000.2025.26.136655</t>
  </si>
  <si>
    <t>A150</t>
  </si>
  <si>
    <t>B150</t>
  </si>
  <si>
    <t>090000.2025.26.135217</t>
  </si>
  <si>
    <t>A151</t>
  </si>
  <si>
    <t>B151</t>
  </si>
  <si>
    <t>090000.2025.26.136667</t>
  </si>
  <si>
    <t>A152</t>
  </si>
  <si>
    <t>B152</t>
  </si>
  <si>
    <t>090000.2025.26.136669</t>
  </si>
  <si>
    <t>A153</t>
  </si>
  <si>
    <t>B153</t>
  </si>
  <si>
    <t>090000.2025.26.136657</t>
  </si>
  <si>
    <t>A154</t>
  </si>
  <si>
    <t>B154</t>
  </si>
  <si>
    <t>090000.2025.26.127625</t>
  </si>
  <si>
    <t>A155</t>
  </si>
  <si>
    <t>B155</t>
  </si>
  <si>
    <t>090000.2025.26.136637</t>
  </si>
  <si>
    <t>A156</t>
  </si>
  <si>
    <t>B156</t>
  </si>
  <si>
    <t>090000.2025.26.136671</t>
  </si>
  <si>
    <t>A157</t>
  </si>
  <si>
    <t>B157</t>
  </si>
  <si>
    <t>090000.2025.26.135213</t>
  </si>
  <si>
    <t>A158</t>
  </si>
  <si>
    <t>B158</t>
  </si>
  <si>
    <t>090000.2025.26.136673</t>
  </si>
  <si>
    <t>A159</t>
  </si>
  <si>
    <t>B159</t>
  </si>
  <si>
    <t>090000.2025.26.135211</t>
  </si>
  <si>
    <t>A160</t>
  </si>
  <si>
    <t>B160</t>
  </si>
  <si>
    <t>090000.2025.26.135209</t>
  </si>
  <si>
    <t>A161</t>
  </si>
  <si>
    <t>B161</t>
  </si>
  <si>
    <t>090000.2025.26.138931</t>
  </si>
  <si>
    <t>A162</t>
  </si>
  <si>
    <t>B162</t>
  </si>
  <si>
    <t>090000.2025.26.138933</t>
  </si>
  <si>
    <t>A163</t>
  </si>
  <si>
    <t>B163</t>
  </si>
  <si>
    <t>090000.2026.26.158595</t>
  </si>
  <si>
    <t>A164</t>
  </si>
  <si>
    <t>B164</t>
  </si>
  <si>
    <t>090000.2025.26.136625</t>
  </si>
  <si>
    <t>A165</t>
  </si>
  <si>
    <t>B165</t>
  </si>
  <si>
    <t>090000.2025.26.138935</t>
  </si>
  <si>
    <t>A166</t>
  </si>
  <si>
    <t>B166</t>
  </si>
  <si>
    <t>090000.2025.26.139065</t>
  </si>
  <si>
    <t>A167</t>
  </si>
  <si>
    <t>B167</t>
  </si>
  <si>
    <t>090000.2025.26.139355</t>
  </si>
  <si>
    <t>A168</t>
  </si>
  <si>
    <t>B168</t>
  </si>
  <si>
    <t>090000.2025.26.139067</t>
  </si>
  <si>
    <t>A169</t>
  </si>
  <si>
    <t>B169</t>
  </si>
  <si>
    <t>090000.2025.26.139321</t>
  </si>
  <si>
    <t>A170</t>
  </si>
  <si>
    <t>B170</t>
  </si>
  <si>
    <t>090000.2025.26.139073</t>
  </si>
  <si>
    <t>A171</t>
  </si>
  <si>
    <t>B171</t>
  </si>
  <si>
    <t>090000.2025.26.139335</t>
  </si>
  <si>
    <t>A172</t>
  </si>
  <si>
    <t>B172</t>
  </si>
  <si>
    <t>090000.2025.26.139287</t>
  </si>
  <si>
    <t>A173</t>
  </si>
  <si>
    <t>B173</t>
  </si>
  <si>
    <t>090000.2025.26.139337</t>
  </si>
  <si>
    <t>A174</t>
  </si>
  <si>
    <t>B174</t>
  </si>
  <si>
    <t>090000.2025.26.139289</t>
  </si>
  <si>
    <t>A175</t>
  </si>
  <si>
    <t>B175</t>
  </si>
  <si>
    <t>090000.2025.26.139339</t>
  </si>
  <si>
    <t>A176</t>
  </si>
  <si>
    <t>B176</t>
  </si>
  <si>
    <t>090000.2025.26.139293</t>
  </si>
  <si>
    <t>A177</t>
  </si>
  <si>
    <t>B177</t>
  </si>
  <si>
    <t>090000.2025.26.139295</t>
  </si>
  <si>
    <t>A178</t>
  </si>
  <si>
    <t>B178</t>
  </si>
  <si>
    <t>090000.2025.26.139341</t>
  </si>
  <si>
    <t>A179</t>
  </si>
  <si>
    <t>B179</t>
  </si>
  <si>
    <t>090000.2025.26.139343</t>
  </si>
  <si>
    <t>A180</t>
  </si>
  <si>
    <t>B180</t>
  </si>
  <si>
    <t>090000.2025.26.139345</t>
  </si>
  <si>
    <t>A181</t>
  </si>
  <si>
    <t>B181</t>
  </si>
  <si>
    <t>090000.2025.26.146797</t>
  </si>
  <si>
    <t>A182</t>
  </si>
  <si>
    <t>B182</t>
  </si>
  <si>
    <t>090000.2025.26.139299</t>
  </si>
  <si>
    <t>A183</t>
  </si>
  <si>
    <t>B183</t>
  </si>
  <si>
    <t>090000.2025.26.139301</t>
  </si>
  <si>
    <t>A184</t>
  </si>
  <si>
    <t>B184</t>
  </si>
  <si>
    <t>090000.2025.26.139317</t>
  </si>
  <si>
    <t>A185</t>
  </si>
  <si>
    <t>B185</t>
  </si>
  <si>
    <t>090000.2026.26.158597</t>
  </si>
  <si>
    <t>A186</t>
  </si>
  <si>
    <t>B186</t>
  </si>
  <si>
    <t>090000.2025.26.153211</t>
  </si>
  <si>
    <t>A187</t>
  </si>
  <si>
    <t>B187</t>
  </si>
  <si>
    <t>090000.2025.26.155415</t>
  </si>
  <si>
    <t>A188</t>
  </si>
  <si>
    <t>B188</t>
  </si>
  <si>
    <t>090000.2026.26.158957</t>
  </si>
  <si>
    <t>A189</t>
  </si>
  <si>
    <t>B189</t>
  </si>
  <si>
    <t>090000.2026.26.158661</t>
  </si>
  <si>
    <t>IAD</t>
  </si>
  <si>
    <t>A190</t>
  </si>
  <si>
    <t>B190</t>
  </si>
  <si>
    <t>090000.2026.26.158625</t>
  </si>
  <si>
    <t>A191</t>
  </si>
  <si>
    <t>B191</t>
  </si>
  <si>
    <t>090000.2026.26.158627</t>
  </si>
  <si>
    <t>A192</t>
  </si>
  <si>
    <t>B192</t>
  </si>
  <si>
    <t>090000.2026.26.158629</t>
  </si>
  <si>
    <t>A193</t>
  </si>
  <si>
    <t>B193</t>
  </si>
  <si>
    <t>090000.2026.26.158599</t>
  </si>
  <si>
    <t>A194</t>
  </si>
  <si>
    <t>B194</t>
  </si>
  <si>
    <t>090000.2026.26.158601</t>
  </si>
  <si>
    <t>A195</t>
  </si>
  <si>
    <t>B195</t>
  </si>
  <si>
    <t>090000.2026.26.158631</t>
  </si>
  <si>
    <t>A196</t>
  </si>
  <si>
    <t>B196</t>
  </si>
  <si>
    <t>090000.2026.26.158633</t>
  </si>
  <si>
    <t>A197</t>
  </si>
  <si>
    <t>B197</t>
  </si>
  <si>
    <t>090000.2026.26.158603</t>
  </si>
  <si>
    <t>A198</t>
  </si>
  <si>
    <t>B198</t>
  </si>
  <si>
    <t>090000.2026.26.158635</t>
  </si>
  <si>
    <t>A199</t>
  </si>
  <si>
    <t>B199</t>
  </si>
  <si>
    <t>090000.2025.26.155421</t>
  </si>
  <si>
    <t>A200</t>
  </si>
  <si>
    <t>B200</t>
  </si>
  <si>
    <t>090000.2026.26.158637</t>
  </si>
  <si>
    <t>A201</t>
  </si>
  <si>
    <t>B201</t>
  </si>
  <si>
    <t>090000.2026.26.158639</t>
  </si>
  <si>
    <t>A202</t>
  </si>
  <si>
    <t>B202</t>
  </si>
  <si>
    <t>090000.2026.26.158641</t>
  </si>
  <si>
    <t>A203</t>
  </si>
  <si>
    <t>B203</t>
  </si>
  <si>
    <t>090000.2026.26.158605</t>
  </si>
  <si>
    <t>A204</t>
  </si>
  <si>
    <t>B204</t>
  </si>
  <si>
    <t>090000.2025.26.155429</t>
  </si>
  <si>
    <t>A205</t>
  </si>
  <si>
    <t>B205</t>
  </si>
  <si>
    <t>090000.2026.26.158607</t>
  </si>
  <si>
    <t>A206</t>
  </si>
  <si>
    <t>B206</t>
  </si>
  <si>
    <t>090000.2026.26.158609</t>
  </si>
  <si>
    <t>A207</t>
  </si>
  <si>
    <t>B207</t>
  </si>
  <si>
    <t>090000.2026.26.158943</t>
  </si>
  <si>
    <t>A208</t>
  </si>
  <si>
    <t>B208</t>
  </si>
  <si>
    <t>090000.2026.26.158643</t>
  </si>
  <si>
    <t>A209</t>
  </si>
  <si>
    <t>B209</t>
  </si>
  <si>
    <t>090000.2026.26.158611</t>
  </si>
  <si>
    <t>A210</t>
  </si>
  <si>
    <t>B210</t>
  </si>
  <si>
    <t>090000.2026.26.158645</t>
  </si>
  <si>
    <t>A211</t>
  </si>
  <si>
    <t>B211</t>
  </si>
  <si>
    <t>090000.2026.26.158617</t>
  </si>
  <si>
    <t>A212</t>
  </si>
  <si>
    <t>B212</t>
  </si>
  <si>
    <t>090000.2026.26.158647</t>
  </si>
  <si>
    <t>A213</t>
  </si>
  <si>
    <t>B213</t>
  </si>
  <si>
    <t>090000.2026.26.158649</t>
  </si>
  <si>
    <t>A214</t>
  </si>
  <si>
    <t>B214</t>
  </si>
  <si>
    <t>090000.2026.26.158651</t>
  </si>
  <si>
    <t>A215</t>
  </si>
  <si>
    <t>B215</t>
  </si>
  <si>
    <t>090000.2026.26.158619</t>
  </si>
  <si>
    <t>A216</t>
  </si>
  <si>
    <t>B216</t>
  </si>
  <si>
    <t>090000.2026.26.158653</t>
  </si>
  <si>
    <t>A217</t>
  </si>
  <si>
    <t>B217</t>
  </si>
  <si>
    <t>090000.2026.26.158655</t>
  </si>
  <si>
    <t>A218</t>
  </si>
  <si>
    <t>B218</t>
  </si>
  <si>
    <t>090000.2026.26.158657</t>
  </si>
  <si>
    <t>A219</t>
  </si>
  <si>
    <t>B219</t>
  </si>
  <si>
    <t>090000.2026.26.158659</t>
  </si>
  <si>
    <t>A220</t>
  </si>
  <si>
    <t>B220</t>
  </si>
  <si>
    <t>090000.2025.26.155959</t>
  </si>
  <si>
    <t>A221</t>
  </si>
  <si>
    <t>B221</t>
  </si>
  <si>
    <t>090000.2026.26.158945</t>
  </si>
  <si>
    <t>A222</t>
  </si>
  <si>
    <t>B222</t>
  </si>
  <si>
    <t>090000.2026.26.158959</t>
  </si>
  <si>
    <t>A223</t>
  </si>
  <si>
    <t>B223</t>
  </si>
  <si>
    <t>090000.2026.26.158961</t>
  </si>
  <si>
    <t>A224</t>
  </si>
  <si>
    <t>B224</t>
  </si>
  <si>
    <t>090000.2026.26.158947</t>
  </si>
  <si>
    <t>A225</t>
  </si>
  <si>
    <t>B225</t>
  </si>
  <si>
    <t>090000.2026.26.158963</t>
  </si>
  <si>
    <t>A226</t>
  </si>
  <si>
    <t>B226</t>
  </si>
  <si>
    <t>090000.2026.26.158949</t>
  </si>
  <si>
    <t>A227</t>
  </si>
  <si>
    <t>B227</t>
  </si>
  <si>
    <t>090000.2026.26.158965</t>
  </si>
  <si>
    <t>A228</t>
  </si>
  <si>
    <t>B228</t>
  </si>
  <si>
    <t>090000.2026.26.158967</t>
  </si>
  <si>
    <t>A229</t>
  </si>
  <si>
    <t>B229</t>
  </si>
  <si>
    <t>090000.2026.26.158951</t>
  </si>
  <si>
    <t>A230</t>
  </si>
  <si>
    <t>B230</t>
  </si>
  <si>
    <t>090000.2026.26.158969</t>
  </si>
  <si>
    <t>A231</t>
  </si>
  <si>
    <t>B231</t>
  </si>
  <si>
    <t>090000.2026.26.158953</t>
  </si>
  <si>
    <t>A232</t>
  </si>
  <si>
    <t>B232</t>
  </si>
  <si>
    <t>090000.2026.26.158955</t>
  </si>
  <si>
    <t>A233</t>
  </si>
  <si>
    <t>B233</t>
  </si>
  <si>
    <t>090000.2026.26.158971</t>
  </si>
  <si>
    <t>A234</t>
  </si>
  <si>
    <t>B234</t>
  </si>
  <si>
    <t>090000.2025.26.115482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</si>
</sst>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8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4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ccd4d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9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4" applyFont="1" fillId="0" applyAlignment="1">
      <alignment horizontal="center" vertical="top"/>
    </xf>
    <xf xfId="0" numFmtId="0" borderId="2" applyBorder="1" fontId="1" applyFont="1" fillId="0" applyAlignment="1">
      <alignment horizontal="left"/>
    </xf>
    <xf xfId="0" numFmtId="0" borderId="2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14" applyNumberFormat="1" borderId="3" applyBorder="1" fontId="1" applyFont="1" fillId="3" applyFill="1" applyAlignment="1">
      <alignment horizontal="left"/>
    </xf>
    <xf xfId="0" numFmtId="49" applyNumberFormat="1" borderId="0" fontId="0" fillId="0" applyAlignment="1">
      <alignment horizontal="general"/>
    </xf>
    <xf xfId="0" numFmtId="0" borderId="3" applyBorder="1" fontId="1" applyFont="1" fillId="3" applyFill="1" applyAlignment="1">
      <alignment horizontal="left"/>
    </xf>
    <xf xfId="0" numFmtId="14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2" applyBorder="1" fontId="5" applyFont="1" fillId="4" applyFill="1" applyAlignment="1">
      <alignment horizontal="center" wrapText="1"/>
    </xf>
    <xf xfId="0" numFmtId="3" applyNumberFormat="1" borderId="2" applyBorder="1" fontId="5" applyFont="1" fillId="4" applyFill="1" applyAlignment="1">
      <alignment horizontal="center" wrapText="1"/>
    </xf>
    <xf xfId="0" numFmtId="14" applyNumberFormat="1" borderId="2" applyBorder="1" fontId="5" applyFont="1" fillId="4" applyFill="1" applyAlignment="1">
      <alignment horizontal="center" wrapText="1"/>
    </xf>
    <xf xfId="0" numFmtId="49" applyNumberFormat="1" borderId="2" applyBorder="1" fontId="5" applyFont="1" fillId="4" applyFill="1" applyAlignment="1">
      <alignment horizontal="center" wrapText="1"/>
    </xf>
    <xf xfId="0" numFmtId="3" applyNumberFormat="1" borderId="2" applyBorder="1" fontId="6" applyFont="1" fillId="4" applyFill="1" applyAlignment="1">
      <alignment horizontal="center" wrapText="1"/>
    </xf>
    <xf xfId="0" numFmtId="3" applyNumberFormat="1" borderId="1" applyBorder="1" fontId="1" applyFont="1" fillId="0" applyAlignment="1">
      <alignment horizontal="left" wrapText="1"/>
    </xf>
    <xf xfId="0" numFmtId="14" applyNumberFormat="1" borderId="1" applyBorder="1" fontId="1" applyFont="1" fillId="0" applyAlignment="1">
      <alignment horizontal="left" wrapText="1"/>
    </xf>
    <xf xfId="0" numFmtId="0" borderId="3" applyBorder="1" fontId="4" applyFont="1" fillId="3" applyFill="1" applyAlignment="1">
      <alignment horizontal="left" wrapText="1"/>
    </xf>
    <xf xfId="0" numFmtId="14" applyNumberFormat="1" borderId="3" applyBorder="1" fontId="4" applyFont="1" fillId="3" applyFill="1" applyAlignment="1">
      <alignment horizontal="left" wrapText="1"/>
    </xf>
    <xf xfId="0" numFmtId="4" applyNumberFormat="1" borderId="3" applyBorder="1" fontId="4" applyFont="1" fillId="3" applyFill="1" applyAlignment="1">
      <alignment horizontal="right" wrapText="1"/>
    </xf>
    <xf xfId="0" numFmtId="3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49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14" applyNumberFormat="1" borderId="2" applyBorder="1" fontId="1" applyFont="1" fillId="5" applyFill="1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5" applyFill="1" applyAlignment="1">
      <alignment horizontal="left"/>
    </xf>
    <xf xfId="0" numFmtId="14" applyNumberFormat="1" borderId="2" applyBorder="1" fontId="1" applyFont="1" fillId="5" applyFill="1" applyAlignment="1">
      <alignment horizontal="left"/>
    </xf>
    <xf xfId="0" numFmtId="49" applyNumberFormat="1" borderId="2" applyBorder="1" fontId="1" applyFont="1" fillId="5" applyFill="1" applyAlignment="1">
      <alignment horizontal="left"/>
    </xf>
    <xf xfId="0" numFmtId="0" borderId="2" applyBorder="1" fontId="1" applyFont="1" fillId="5" applyFill="1" applyAlignment="1">
      <alignment horizontal="center"/>
    </xf>
    <xf xfId="0" numFmtId="3" applyNumberFormat="1" borderId="2" applyBorder="1" fontId="1" applyFont="1" fillId="5" applyFill="1" applyAlignment="1">
      <alignment horizontal="right"/>
    </xf>
    <xf xfId="0" numFmtId="3" applyNumberFormat="1" borderId="2" applyBorder="1" fontId="1" applyFont="1" fillId="5" applyFill="1" applyAlignment="1">
      <alignment horizontal="center"/>
    </xf>
    <xf xfId="0" numFmtId="14" applyNumberFormat="1" borderId="2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236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6" width="8.719285714285713" customWidth="1" bestFit="1"/>
    <col min="2" max="2" style="51" width="8.719285714285713" customWidth="1" bestFit="1"/>
    <col min="3" max="3" style="6" width="28.005" customWidth="1" bestFit="1"/>
    <col min="4" max="4" style="6" width="19.14785714285714" customWidth="1" bestFit="1"/>
    <col min="5" max="5" style="7" width="13.719285714285713" customWidth="1" bestFit="1"/>
    <col min="6" max="6" style="7" width="18.719285714285714" customWidth="1" bestFit="1"/>
    <col min="7" max="7" style="52" width="19.14785714285714" customWidth="1" bestFit="1"/>
    <col min="8" max="8" style="6" width="33.86214285714286" customWidth="1" bestFit="1"/>
    <col min="9" max="9" style="7" width="20.433571428571426" customWidth="1" bestFit="1"/>
    <col min="10" max="10" style="7" width="20.433571428571426" customWidth="1" bestFit="1"/>
    <col min="11" max="11" style="53" width="13.147857142857141" customWidth="1" bestFit="1"/>
    <col min="12" max="12" style="6" width="13.290714285714287" customWidth="1" bestFit="1"/>
    <col min="13" max="13" style="6" width="13.862142857142858" customWidth="1" bestFit="1"/>
    <col min="14" max="14" style="6" width="33.86214285714286" customWidth="1" bestFit="1"/>
    <col min="15" max="15" style="6" width="33.86214285714286" customWidth="1" bestFit="1"/>
    <col min="16" max="16" style="6" width="14.290714285714287" customWidth="1" bestFit="1"/>
    <col min="17" max="17" style="7" width="20.433571428571426" customWidth="1" bestFit="1"/>
    <col min="18" max="18" style="6" width="21.14785714285714" customWidth="1" bestFit="1"/>
    <col min="19" max="19" style="15" width="15.719285714285713" customWidth="1" bestFit="1"/>
    <col min="20" max="20" style="51" width="15.43357142857143" customWidth="1" bestFit="1"/>
    <col min="21" max="21" style="7" width="24.719285714285714" customWidth="1" bestFit="1"/>
    <col min="22" max="22" style="52" width="24.719285714285714" customWidth="1" bestFit="1"/>
    <col min="23" max="23" style="54" width="29.862142857142857" customWidth="1" bestFit="1"/>
    <col min="24" max="24" style="15" width="12.147857142857141" customWidth="1" bestFit="1"/>
    <col min="25" max="25" style="7" width="23.14785714285714" customWidth="1" bestFit="1"/>
    <col min="26" max="26" style="52" width="23.14785714285714" customWidth="1" bestFit="1"/>
    <col min="27" max="27" style="55" width="23.14785714285714" customWidth="1" bestFit="1"/>
    <col min="28" max="28" style="51" width="13.576428571428572" customWidth="1" bestFit="1" hidden="1"/>
    <col min="29" max="29" style="51" width="36.71928571428572" customWidth="1" bestFit="1"/>
    <col min="30" max="30" style="6" width="13.576428571428572" customWidth="1" bestFit="1"/>
    <col min="31" max="31" style="56" width="13.576428571428572" customWidth="1" bestFit="1"/>
    <col min="32" max="32" style="57" width="13.576428571428572" customWidth="1" bestFit="1"/>
    <col min="33" max="33" style="58" width="15.147857142857141" customWidth="1" bestFit="1"/>
  </cols>
  <sheetData>
    <row x14ac:dyDescent="0.25" r="1" customHeight="1" ht="18.75">
      <c r="A1" s="1"/>
      <c r="B1" s="16"/>
      <c r="C1" s="1"/>
      <c r="D1" s="1"/>
      <c r="E1" s="2"/>
      <c r="F1" s="2"/>
      <c r="G1" s="17"/>
      <c r="H1" s="1"/>
      <c r="I1" s="18"/>
      <c r="J1" s="18"/>
      <c r="K1" s="19"/>
      <c r="L1" s="1"/>
      <c r="M1" s="1"/>
      <c r="N1" s="1"/>
      <c r="O1" s="1"/>
      <c r="P1" s="1"/>
      <c r="Q1" s="2"/>
      <c r="R1" s="20"/>
      <c r="S1" s="9"/>
      <c r="T1" s="16"/>
      <c r="U1" s="2"/>
      <c r="V1" s="17"/>
      <c r="W1" s="21"/>
      <c r="X1" s="9"/>
      <c r="Y1" s="2"/>
      <c r="Z1" s="17"/>
      <c r="AA1" s="22"/>
      <c r="AB1" s="4">
        <v>45838</v>
      </c>
      <c r="AC1" s="16" t="s">
        <v>17</v>
      </c>
      <c r="AD1" s="1"/>
      <c r="AE1" s="23"/>
      <c r="AF1" s="24"/>
      <c r="AG1" s="25"/>
    </row>
    <row x14ac:dyDescent="0.25" r="2" customHeight="1" ht="18.75" customFormat="1" s="26">
      <c r="A2" s="27" t="s">
        <v>18</v>
      </c>
      <c r="B2" s="28" t="s">
        <v>19</v>
      </c>
      <c r="C2" s="27" t="s">
        <v>20</v>
      </c>
      <c r="D2" s="27" t="s">
        <v>21</v>
      </c>
      <c r="E2" s="29" t="s">
        <v>22</v>
      </c>
      <c r="F2" s="29" t="s">
        <v>23</v>
      </c>
      <c r="G2" s="28" t="s">
        <v>24</v>
      </c>
      <c r="H2" s="27" t="s">
        <v>25</v>
      </c>
      <c r="I2" s="29" t="s">
        <v>26</v>
      </c>
      <c r="J2" s="29" t="s">
        <v>27</v>
      </c>
      <c r="K2" s="30" t="s">
        <v>28</v>
      </c>
      <c r="L2" s="27" t="s">
        <v>29</v>
      </c>
      <c r="M2" s="27" t="s">
        <v>30</v>
      </c>
      <c r="N2" s="27" t="s">
        <v>31</v>
      </c>
      <c r="O2" s="27" t="s">
        <v>32</v>
      </c>
      <c r="P2" s="27" t="s">
        <v>33</v>
      </c>
      <c r="Q2" s="29" t="s">
        <v>34</v>
      </c>
      <c r="R2" s="27" t="s">
        <v>35</v>
      </c>
      <c r="S2" s="27" t="s">
        <v>36</v>
      </c>
      <c r="T2" s="31" t="s">
        <v>37</v>
      </c>
      <c r="U2" s="29" t="s">
        <v>38</v>
      </c>
      <c r="V2" s="28" t="s">
        <v>39</v>
      </c>
      <c r="W2" s="29" t="s">
        <v>40</v>
      </c>
      <c r="X2" s="27" t="s">
        <v>41</v>
      </c>
      <c r="Y2" s="29" t="s">
        <v>42</v>
      </c>
      <c r="Z2" s="28" t="s">
        <v>43</v>
      </c>
      <c r="AA2" s="28" t="s">
        <v>44</v>
      </c>
      <c r="AB2" s="32" t="s">
        <v>45</v>
      </c>
      <c r="AC2" s="33">
        <v>45747</v>
      </c>
      <c r="AD2" s="23"/>
      <c r="AE2" s="34" t="s">
        <v>46</v>
      </c>
      <c r="AF2" s="35">
        <f>+AC2</f>
        <v>25569</v>
      </c>
      <c r="AG2" s="36">
        <f>SUM(AC3:AC236)</f>
      </c>
    </row>
    <row x14ac:dyDescent="0.25" r="3" customHeight="1" ht="18.75">
      <c r="A3" s="13" t="s">
        <v>47</v>
      </c>
      <c r="B3" s="37">
        <v>900</v>
      </c>
      <c r="C3" s="13" t="s">
        <v>3</v>
      </c>
      <c r="D3" s="13" t="s">
        <v>48</v>
      </c>
      <c r="E3" s="38">
        <v>45658</v>
      </c>
      <c r="F3" s="38">
        <v>46022</v>
      </c>
      <c r="G3" s="39">
        <v>1</v>
      </c>
      <c r="H3" s="13" t="s">
        <v>49</v>
      </c>
      <c r="I3" s="38">
        <v>23826</v>
      </c>
      <c r="J3" s="38">
        <v>45658</v>
      </c>
      <c r="K3" s="40" t="s">
        <v>50</v>
      </c>
      <c r="L3" s="13" t="s">
        <v>51</v>
      </c>
      <c r="M3" s="13" t="s">
        <v>52</v>
      </c>
      <c r="N3" s="13" t="s">
        <v>53</v>
      </c>
      <c r="O3" s="13" t="s">
        <v>54</v>
      </c>
      <c r="P3" s="13" t="s">
        <v>55</v>
      </c>
      <c r="Q3" s="38">
        <v>23826</v>
      </c>
      <c r="R3" s="13" t="s">
        <v>56</v>
      </c>
      <c r="S3" s="41" t="s">
        <v>57</v>
      </c>
      <c r="T3" s="37">
        <v>1200000</v>
      </c>
      <c r="U3" s="38">
        <v>45659</v>
      </c>
      <c r="V3" s="39">
        <v>2025</v>
      </c>
      <c r="W3" s="42">
        <v>45659</v>
      </c>
      <c r="X3" s="41" t="s">
        <v>58</v>
      </c>
      <c r="Y3" s="38">
        <v>45782</v>
      </c>
      <c r="Z3" s="39">
        <v>0</v>
      </c>
      <c r="AA3" s="38"/>
      <c r="AB3" s="43">
        <f>IF($AB$1&lt;W3,0,IF($AB$1&gt;Y3,0,T3))</f>
      </c>
      <c r="AC3" s="43">
        <f>IF($AC$2&lt;U3,0,IF(AND($AC$2&gt;U3,$AC$2&lt;Y3),T3,IF(X3="REJET",0,T3-Z3)))</f>
      </c>
      <c r="AD3" s="1"/>
      <c r="AE3" s="23"/>
      <c r="AF3" s="24"/>
      <c r="AG3" s="25"/>
    </row>
    <row x14ac:dyDescent="0.25" r="4" customHeight="1" ht="18.75">
      <c r="A4" s="44" t="s">
        <v>47</v>
      </c>
      <c r="B4" s="37">
        <v>900</v>
      </c>
      <c r="C4" s="13" t="s">
        <v>3</v>
      </c>
      <c r="D4" s="44" t="s">
        <v>59</v>
      </c>
      <c r="E4" s="45">
        <v>45292</v>
      </c>
      <c r="F4" s="45">
        <v>45657</v>
      </c>
      <c r="G4" s="39">
        <v>2</v>
      </c>
      <c r="H4" s="13" t="s">
        <v>60</v>
      </c>
      <c r="I4" s="45">
        <v>27061</v>
      </c>
      <c r="J4" s="45">
        <v>45292</v>
      </c>
      <c r="K4" s="46" t="s">
        <v>50</v>
      </c>
      <c r="L4" s="13" t="s">
        <v>51</v>
      </c>
      <c r="M4" s="44" t="s">
        <v>52</v>
      </c>
      <c r="N4" s="13" t="s">
        <v>61</v>
      </c>
      <c r="O4" s="13" t="s">
        <v>62</v>
      </c>
      <c r="P4" s="44" t="s">
        <v>63</v>
      </c>
      <c r="Q4" s="45">
        <v>27061</v>
      </c>
      <c r="R4" s="44" t="s">
        <v>64</v>
      </c>
      <c r="S4" s="47" t="s">
        <v>57</v>
      </c>
      <c r="T4" s="48">
        <v>1200000</v>
      </c>
      <c r="U4" s="45">
        <v>45662</v>
      </c>
      <c r="V4" s="39">
        <v>2024</v>
      </c>
      <c r="W4" s="42">
        <v>45642</v>
      </c>
      <c r="X4" s="47" t="s">
        <v>65</v>
      </c>
      <c r="Y4" s="45">
        <v>45698</v>
      </c>
      <c r="Z4" s="49">
        <v>1000000</v>
      </c>
      <c r="AA4" s="48">
        <f>T4-Z4</f>
      </c>
      <c r="AB4" s="43">
        <f>IF($AB$1&lt;W4,0,IF($AB$1&gt;Y4,0,T4))</f>
      </c>
      <c r="AC4" s="43">
        <f>IF($AC$2&lt;U4,0,IF(AND($AC$2&gt;U4,$AC$2&lt;Y4),T4,IF(X4="REJET",0,T4-Z4)))</f>
      </c>
      <c r="AD4" s="1"/>
      <c r="AE4" s="23"/>
      <c r="AF4" s="24"/>
      <c r="AG4" s="25"/>
    </row>
    <row x14ac:dyDescent="0.25" r="5" customHeight="1" ht="18.75">
      <c r="A5" s="44" t="s">
        <v>47</v>
      </c>
      <c r="B5" s="37">
        <v>900</v>
      </c>
      <c r="C5" s="13" t="s">
        <v>3</v>
      </c>
      <c r="D5" s="44" t="s">
        <v>48</v>
      </c>
      <c r="E5" s="45">
        <v>45658</v>
      </c>
      <c r="F5" s="45">
        <v>46022</v>
      </c>
      <c r="G5" s="39">
        <v>3</v>
      </c>
      <c r="H5" s="13" t="s">
        <v>66</v>
      </c>
      <c r="I5" s="45">
        <v>24227</v>
      </c>
      <c r="J5" s="45">
        <v>45658</v>
      </c>
      <c r="K5" s="46" t="s">
        <v>50</v>
      </c>
      <c r="L5" s="13" t="s">
        <v>51</v>
      </c>
      <c r="M5" s="44" t="s">
        <v>52</v>
      </c>
      <c r="N5" s="13" t="s">
        <v>67</v>
      </c>
      <c r="O5" s="13" t="s">
        <v>54</v>
      </c>
      <c r="P5" s="44" t="s">
        <v>55</v>
      </c>
      <c r="Q5" s="45">
        <v>24227</v>
      </c>
      <c r="R5" s="44" t="s">
        <v>68</v>
      </c>
      <c r="S5" s="47" t="s">
        <v>57</v>
      </c>
      <c r="T5" s="48">
        <v>1200000</v>
      </c>
      <c r="U5" s="45">
        <v>45665</v>
      </c>
      <c r="V5" s="39">
        <v>2025</v>
      </c>
      <c r="W5" s="42">
        <v>45665</v>
      </c>
      <c r="X5" s="47" t="s">
        <v>58</v>
      </c>
      <c r="Y5" s="45">
        <v>45781</v>
      </c>
      <c r="Z5" s="39">
        <v>0</v>
      </c>
      <c r="AA5" s="45"/>
      <c r="AB5" s="43">
        <f>IF($AB$1&lt;W5,0,IF($AB$1&gt;Y5,0,T5))</f>
      </c>
      <c r="AC5" s="43">
        <f>IF($AC$2&lt;U5,0,IF(AND($AC$2&gt;U5,$AC$2&lt;Y5),T5,IF(X5="REJET",0,T5-Z5)))</f>
      </c>
      <c r="AD5" s="1"/>
      <c r="AE5" s="23"/>
      <c r="AF5" s="24"/>
      <c r="AG5" s="25"/>
    </row>
    <row x14ac:dyDescent="0.25" r="6" customHeight="1" ht="18.75">
      <c r="A6" s="13" t="s">
        <v>47</v>
      </c>
      <c r="B6" s="37">
        <v>900</v>
      </c>
      <c r="C6" s="13" t="s">
        <v>3</v>
      </c>
      <c r="D6" s="13" t="s">
        <v>48</v>
      </c>
      <c r="E6" s="38">
        <v>45658</v>
      </c>
      <c r="F6" s="38">
        <v>46022</v>
      </c>
      <c r="G6" s="39">
        <v>4</v>
      </c>
      <c r="H6" s="13" t="s">
        <v>69</v>
      </c>
      <c r="I6" s="38">
        <v>22605</v>
      </c>
      <c r="J6" s="38">
        <v>45658</v>
      </c>
      <c r="K6" s="40" t="s">
        <v>50</v>
      </c>
      <c r="L6" s="13" t="s">
        <v>51</v>
      </c>
      <c r="M6" s="13" t="s">
        <v>52</v>
      </c>
      <c r="N6" s="13" t="s">
        <v>70</v>
      </c>
      <c r="O6" s="13" t="s">
        <v>62</v>
      </c>
      <c r="P6" s="13" t="s">
        <v>63</v>
      </c>
      <c r="Q6" s="38">
        <v>22605</v>
      </c>
      <c r="R6" s="13" t="s">
        <v>71</v>
      </c>
      <c r="S6" s="41" t="s">
        <v>57</v>
      </c>
      <c r="T6" s="37">
        <v>1200000</v>
      </c>
      <c r="U6" s="38">
        <v>45665</v>
      </c>
      <c r="V6" s="39">
        <v>2025</v>
      </c>
      <c r="W6" s="42">
        <v>45665</v>
      </c>
      <c r="X6" s="41" t="s">
        <v>58</v>
      </c>
      <c r="Y6" s="38">
        <v>45782</v>
      </c>
      <c r="Z6" s="39">
        <v>0</v>
      </c>
      <c r="AA6" s="38"/>
      <c r="AB6" s="43">
        <f>IF($AB$1&lt;W6,0,IF($AB$1&gt;Y6,0,T6))</f>
      </c>
      <c r="AC6" s="43">
        <f>IF($AC$2&lt;U6,0,IF(AND($AC$2&gt;U6,$AC$2&lt;Y6),T6,IF(X6="REJET",0,T6-Z6)))</f>
      </c>
      <c r="AD6" s="1"/>
      <c r="AE6" s="23"/>
      <c r="AF6" s="24"/>
      <c r="AG6" s="25"/>
    </row>
    <row x14ac:dyDescent="0.25" r="7" customHeight="1" ht="18.75">
      <c r="A7" s="13" t="s">
        <v>47</v>
      </c>
      <c r="B7" s="37">
        <v>900</v>
      </c>
      <c r="C7" s="13" t="s">
        <v>3</v>
      </c>
      <c r="D7" s="13" t="s">
        <v>48</v>
      </c>
      <c r="E7" s="38">
        <v>45658</v>
      </c>
      <c r="F7" s="38">
        <v>46022</v>
      </c>
      <c r="G7" s="39">
        <v>5</v>
      </c>
      <c r="H7" s="13" t="s">
        <v>72</v>
      </c>
      <c r="I7" s="38">
        <v>26925</v>
      </c>
      <c r="J7" s="38">
        <v>45658</v>
      </c>
      <c r="K7" s="40" t="s">
        <v>50</v>
      </c>
      <c r="L7" s="13" t="s">
        <v>51</v>
      </c>
      <c r="M7" s="13" t="s">
        <v>52</v>
      </c>
      <c r="N7" s="13" t="s">
        <v>73</v>
      </c>
      <c r="O7" s="13" t="s">
        <v>54</v>
      </c>
      <c r="P7" s="13" t="s">
        <v>55</v>
      </c>
      <c r="Q7" s="38">
        <v>26925</v>
      </c>
      <c r="R7" s="13" t="s">
        <v>74</v>
      </c>
      <c r="S7" s="41" t="s">
        <v>75</v>
      </c>
      <c r="T7" s="37">
        <v>6000000</v>
      </c>
      <c r="U7" s="38">
        <v>45666</v>
      </c>
      <c r="V7" s="39">
        <v>2025</v>
      </c>
      <c r="W7" s="42">
        <v>45300</v>
      </c>
      <c r="X7" s="41" t="s">
        <v>6</v>
      </c>
      <c r="Y7" s="38"/>
      <c r="Z7" s="50"/>
      <c r="AA7" s="38"/>
      <c r="AB7" s="43">
        <f>IF($AB$1&lt;W7,0,IF($AB$1&gt;Y7,0,T7))</f>
      </c>
      <c r="AC7" s="43">
        <f>IF($AC$2&lt;U7,0,IF(AND($AC$2&gt;U7,$AC$2&lt;Y7),T7,IF(X7="REJET",0,T7-Z7)))</f>
      </c>
      <c r="AD7" s="1"/>
      <c r="AE7" s="23"/>
      <c r="AF7" s="24"/>
      <c r="AG7" s="25"/>
    </row>
    <row x14ac:dyDescent="0.25" r="8" customHeight="1" ht="18.75">
      <c r="A8" s="13" t="s">
        <v>47</v>
      </c>
      <c r="B8" s="37">
        <v>900</v>
      </c>
      <c r="C8" s="13" t="s">
        <v>3</v>
      </c>
      <c r="D8" s="13" t="s">
        <v>48</v>
      </c>
      <c r="E8" s="38">
        <v>45658</v>
      </c>
      <c r="F8" s="38">
        <v>46022</v>
      </c>
      <c r="G8" s="39">
        <v>6</v>
      </c>
      <c r="H8" s="13" t="s">
        <v>76</v>
      </c>
      <c r="I8" s="38">
        <v>24660</v>
      </c>
      <c r="J8" s="38">
        <v>45658</v>
      </c>
      <c r="K8" s="40" t="s">
        <v>50</v>
      </c>
      <c r="L8" s="13" t="s">
        <v>51</v>
      </c>
      <c r="M8" s="13" t="s">
        <v>52</v>
      </c>
      <c r="N8" s="13" t="s">
        <v>77</v>
      </c>
      <c r="O8" s="13" t="s">
        <v>54</v>
      </c>
      <c r="P8" s="13" t="s">
        <v>55</v>
      </c>
      <c r="Q8" s="38">
        <v>24660</v>
      </c>
      <c r="R8" s="13" t="s">
        <v>78</v>
      </c>
      <c r="S8" s="41" t="s">
        <v>57</v>
      </c>
      <c r="T8" s="37">
        <v>1200000</v>
      </c>
      <c r="U8" s="38">
        <v>45666</v>
      </c>
      <c r="V8" s="39">
        <v>2025</v>
      </c>
      <c r="W8" s="42">
        <v>45666</v>
      </c>
      <c r="X8" s="41" t="s">
        <v>58</v>
      </c>
      <c r="Y8" s="38">
        <v>45851</v>
      </c>
      <c r="Z8" s="39">
        <v>0</v>
      </c>
      <c r="AA8" s="38"/>
      <c r="AB8" s="43">
        <f>IF($AB$1&lt;W8,0,IF($AB$1&gt;Y8,0,T8))</f>
      </c>
      <c r="AC8" s="43">
        <f>IF($AC$2&lt;U8,0,IF(AND($AC$2&gt;U8,$AC$2&lt;Y8),T8,IF(X8="REJET",0,T8-Z8)))</f>
      </c>
      <c r="AD8" s="1"/>
      <c r="AE8" s="23"/>
      <c r="AF8" s="24"/>
      <c r="AG8" s="25"/>
    </row>
    <row x14ac:dyDescent="0.25" r="9" customHeight="1" ht="18.75">
      <c r="A9" s="13" t="s">
        <v>47</v>
      </c>
      <c r="B9" s="37">
        <v>900</v>
      </c>
      <c r="C9" s="13" t="s">
        <v>3</v>
      </c>
      <c r="D9" s="13" t="s">
        <v>48</v>
      </c>
      <c r="E9" s="38">
        <v>45658</v>
      </c>
      <c r="F9" s="38">
        <v>46022</v>
      </c>
      <c r="G9" s="39">
        <v>7</v>
      </c>
      <c r="H9" s="13" t="s">
        <v>79</v>
      </c>
      <c r="I9" s="38">
        <v>24551</v>
      </c>
      <c r="J9" s="38">
        <v>45658</v>
      </c>
      <c r="K9" s="40" t="s">
        <v>50</v>
      </c>
      <c r="L9" s="13" t="s">
        <v>51</v>
      </c>
      <c r="M9" s="13" t="s">
        <v>52</v>
      </c>
      <c r="N9" s="13" t="s">
        <v>80</v>
      </c>
      <c r="O9" s="13" t="s">
        <v>54</v>
      </c>
      <c r="P9" s="13" t="s">
        <v>55</v>
      </c>
      <c r="Q9" s="38">
        <v>24551</v>
      </c>
      <c r="R9" s="13" t="s">
        <v>81</v>
      </c>
      <c r="S9" s="41" t="s">
        <v>82</v>
      </c>
      <c r="T9" s="37">
        <v>6000000</v>
      </c>
      <c r="U9" s="38">
        <v>45667</v>
      </c>
      <c r="V9" s="39">
        <v>2025</v>
      </c>
      <c r="W9" s="42">
        <v>45662</v>
      </c>
      <c r="X9" s="41" t="s">
        <v>65</v>
      </c>
      <c r="Y9" s="38">
        <v>45812</v>
      </c>
      <c r="Z9" s="49">
        <v>6000000</v>
      </c>
      <c r="AA9" s="48">
        <f>T9-Z9</f>
      </c>
      <c r="AB9" s="43">
        <f>IF($AB$1&lt;W9,0,IF($AB$1&gt;Y9,0,T9))</f>
      </c>
      <c r="AC9" s="43">
        <f>IF($AC$2&lt;U9,0,IF(AND($AC$2&gt;U9,$AC$2&lt;Y9),T9,IF(X9="REJET",0,T9-Z9)))</f>
      </c>
      <c r="AD9" s="1"/>
      <c r="AE9" s="23"/>
      <c r="AF9" s="24"/>
      <c r="AG9" s="25"/>
    </row>
    <row x14ac:dyDescent="0.25" r="10" customHeight="1" ht="18.75">
      <c r="A10" s="13" t="s">
        <v>47</v>
      </c>
      <c r="B10" s="37">
        <v>900</v>
      </c>
      <c r="C10" s="13" t="s">
        <v>3</v>
      </c>
      <c r="D10" s="13" t="s">
        <v>48</v>
      </c>
      <c r="E10" s="38">
        <v>45658</v>
      </c>
      <c r="F10" s="38">
        <v>46022</v>
      </c>
      <c r="G10" s="39">
        <v>8</v>
      </c>
      <c r="H10" s="13" t="s">
        <v>83</v>
      </c>
      <c r="I10" s="38">
        <v>27465</v>
      </c>
      <c r="J10" s="38">
        <v>45658</v>
      </c>
      <c r="K10" s="40" t="s">
        <v>50</v>
      </c>
      <c r="L10" s="13" t="s">
        <v>51</v>
      </c>
      <c r="M10" s="13" t="s">
        <v>52</v>
      </c>
      <c r="N10" s="13" t="s">
        <v>84</v>
      </c>
      <c r="O10" s="13" t="s">
        <v>54</v>
      </c>
      <c r="P10" s="13" t="s">
        <v>55</v>
      </c>
      <c r="Q10" s="38">
        <v>27465</v>
      </c>
      <c r="R10" s="13" t="s">
        <v>85</v>
      </c>
      <c r="S10" s="41" t="s">
        <v>57</v>
      </c>
      <c r="T10" s="37">
        <v>1200000</v>
      </c>
      <c r="U10" s="38">
        <v>45670</v>
      </c>
      <c r="V10" s="39">
        <v>2025</v>
      </c>
      <c r="W10" s="42">
        <v>45670</v>
      </c>
      <c r="X10" s="41" t="s">
        <v>6</v>
      </c>
      <c r="Y10" s="38"/>
      <c r="Z10" s="50"/>
      <c r="AA10" s="38"/>
      <c r="AB10" s="43">
        <f>IF($AB$1&lt;W10,0,IF($AB$1&gt;Y10,0,T10))</f>
      </c>
      <c r="AC10" s="43">
        <f>IF($AC$2&lt;U10,0,IF(AND($AC$2&gt;U10,$AC$2&lt;Y10),T10,IF(X10="REJET",0,T10-Z10)))</f>
      </c>
      <c r="AD10" s="1"/>
      <c r="AE10" s="23"/>
      <c r="AF10" s="24"/>
      <c r="AG10" s="25"/>
    </row>
    <row x14ac:dyDescent="0.25" r="11" customHeight="1" ht="18.75">
      <c r="A11" s="13" t="s">
        <v>47</v>
      </c>
      <c r="B11" s="37">
        <v>900</v>
      </c>
      <c r="C11" s="13" t="s">
        <v>3</v>
      </c>
      <c r="D11" s="13" t="s">
        <v>48</v>
      </c>
      <c r="E11" s="38">
        <v>45658</v>
      </c>
      <c r="F11" s="38">
        <v>46022</v>
      </c>
      <c r="G11" s="39">
        <v>9</v>
      </c>
      <c r="H11" s="13" t="s">
        <v>86</v>
      </c>
      <c r="I11" s="38">
        <v>27952</v>
      </c>
      <c r="J11" s="38">
        <v>45658</v>
      </c>
      <c r="K11" s="40" t="s">
        <v>50</v>
      </c>
      <c r="L11" s="13" t="s">
        <v>51</v>
      </c>
      <c r="M11" s="13" t="s">
        <v>52</v>
      </c>
      <c r="N11" s="13" t="s">
        <v>87</v>
      </c>
      <c r="O11" s="13" t="s">
        <v>54</v>
      </c>
      <c r="P11" s="13" t="s">
        <v>55</v>
      </c>
      <c r="Q11" s="38">
        <v>27952</v>
      </c>
      <c r="R11" s="13" t="s">
        <v>88</v>
      </c>
      <c r="S11" s="41" t="s">
        <v>57</v>
      </c>
      <c r="T11" s="37">
        <v>1200000</v>
      </c>
      <c r="U11" s="38">
        <v>44951</v>
      </c>
      <c r="V11" s="39">
        <v>2025</v>
      </c>
      <c r="W11" s="42">
        <v>44939</v>
      </c>
      <c r="X11" s="41" t="s">
        <v>6</v>
      </c>
      <c r="Y11" s="38"/>
      <c r="Z11" s="50"/>
      <c r="AA11" s="38"/>
      <c r="AB11" s="43">
        <f>IF($AB$1&lt;W11,0,IF($AB$1&gt;Y11,0,T11))</f>
      </c>
      <c r="AC11" s="43">
        <f>IF($AC$2&lt;U11,0,IF(AND($AC$2&gt;U11,$AC$2&lt;Y11),T11,IF(X11="REJET",0,T11-Z11)))</f>
      </c>
      <c r="AD11" s="1"/>
      <c r="AE11" s="23"/>
      <c r="AF11" s="24"/>
      <c r="AG11" s="25"/>
    </row>
    <row x14ac:dyDescent="0.25" r="12" customHeight="1" ht="18.75">
      <c r="A12" s="13" t="s">
        <v>47</v>
      </c>
      <c r="B12" s="37">
        <v>900</v>
      </c>
      <c r="C12" s="13" t="s">
        <v>3</v>
      </c>
      <c r="D12" s="13" t="s">
        <v>59</v>
      </c>
      <c r="E12" s="38">
        <v>45292</v>
      </c>
      <c r="F12" s="38">
        <v>45657</v>
      </c>
      <c r="G12" s="39">
        <v>10</v>
      </c>
      <c r="H12" s="13" t="s">
        <v>89</v>
      </c>
      <c r="I12" s="38">
        <v>24536</v>
      </c>
      <c r="J12" s="38">
        <v>45292</v>
      </c>
      <c r="K12" s="40" t="s">
        <v>50</v>
      </c>
      <c r="L12" s="13" t="s">
        <v>51</v>
      </c>
      <c r="M12" s="13" t="s">
        <v>52</v>
      </c>
      <c r="N12" s="13" t="s">
        <v>90</v>
      </c>
      <c r="O12" s="13" t="s">
        <v>54</v>
      </c>
      <c r="P12" s="13" t="s">
        <v>55</v>
      </c>
      <c r="Q12" s="38">
        <v>24536</v>
      </c>
      <c r="R12" s="13" t="s">
        <v>91</v>
      </c>
      <c r="S12" s="41" t="s">
        <v>57</v>
      </c>
      <c r="T12" s="37">
        <v>1200000</v>
      </c>
      <c r="U12" s="38">
        <v>45641</v>
      </c>
      <c r="V12" s="39">
        <v>2024</v>
      </c>
      <c r="W12" s="42">
        <v>45533</v>
      </c>
      <c r="X12" s="41" t="s">
        <v>65</v>
      </c>
      <c r="Y12" s="38">
        <v>45698</v>
      </c>
      <c r="Z12" s="49">
        <v>200000</v>
      </c>
      <c r="AA12" s="48">
        <f>T12-Z12</f>
      </c>
      <c r="AB12" s="43">
        <f>IF($AB$1&lt;W12,0,IF($AB$1&gt;Y12,0,T12))</f>
      </c>
      <c r="AC12" s="43">
        <f>IF($AC$2&lt;U12,0,IF(AND($AC$2&gt;U12,$AC$2&lt;Y12),T12,IF(X12="REJET",0,T12-Z12)))</f>
      </c>
      <c r="AD12" s="1"/>
      <c r="AE12" s="23"/>
      <c r="AF12" s="24"/>
      <c r="AG12" s="25"/>
    </row>
    <row x14ac:dyDescent="0.25" r="13" customHeight="1" ht="18.75">
      <c r="A13" s="13" t="s">
        <v>47</v>
      </c>
      <c r="B13" s="37">
        <v>900</v>
      </c>
      <c r="C13" s="13" t="s">
        <v>3</v>
      </c>
      <c r="D13" s="13" t="s">
        <v>48</v>
      </c>
      <c r="E13" s="38">
        <v>45658</v>
      </c>
      <c r="F13" s="38">
        <v>46022</v>
      </c>
      <c r="G13" s="39">
        <v>11</v>
      </c>
      <c r="H13" s="13" t="s">
        <v>92</v>
      </c>
      <c r="I13" s="38">
        <v>27900</v>
      </c>
      <c r="J13" s="38">
        <v>45658</v>
      </c>
      <c r="K13" s="40" t="s">
        <v>50</v>
      </c>
      <c r="L13" s="13" t="s">
        <v>51</v>
      </c>
      <c r="M13" s="13" t="s">
        <v>52</v>
      </c>
      <c r="N13" s="13" t="s">
        <v>93</v>
      </c>
      <c r="O13" s="13" t="s">
        <v>62</v>
      </c>
      <c r="P13" s="13" t="s">
        <v>63</v>
      </c>
      <c r="Q13" s="38">
        <v>27900</v>
      </c>
      <c r="R13" s="13" t="s">
        <v>94</v>
      </c>
      <c r="S13" s="41" t="s">
        <v>57</v>
      </c>
      <c r="T13" s="37">
        <v>1200000</v>
      </c>
      <c r="U13" s="38">
        <v>45673</v>
      </c>
      <c r="V13" s="39">
        <v>2025</v>
      </c>
      <c r="W13" s="42">
        <v>45673</v>
      </c>
      <c r="X13" s="41" t="s">
        <v>6</v>
      </c>
      <c r="Y13" s="38"/>
      <c r="Z13" s="50"/>
      <c r="AA13" s="38"/>
      <c r="AB13" s="43">
        <f>IF($AB$1&lt;W13,0,IF($AB$1&gt;Y13,0,T13))</f>
      </c>
      <c r="AC13" s="43">
        <f>IF($AC$2&lt;U13,0,IF(AND($AC$2&gt;U13,$AC$2&lt;Y13),T13,IF(X13="REJET",0,T13-Z13)))</f>
      </c>
      <c r="AD13" s="1"/>
      <c r="AE13" s="23"/>
      <c r="AF13" s="24"/>
      <c r="AG13" s="25"/>
    </row>
    <row x14ac:dyDescent="0.25" r="14" customHeight="1" ht="18.75">
      <c r="A14" s="13" t="s">
        <v>47</v>
      </c>
      <c r="B14" s="37">
        <v>900</v>
      </c>
      <c r="C14" s="13" t="s">
        <v>3</v>
      </c>
      <c r="D14" s="13" t="s">
        <v>48</v>
      </c>
      <c r="E14" s="38">
        <v>45658</v>
      </c>
      <c r="F14" s="38">
        <v>46022</v>
      </c>
      <c r="G14" s="39">
        <v>12</v>
      </c>
      <c r="H14" s="13" t="s">
        <v>95</v>
      </c>
      <c r="I14" s="38">
        <v>24295</v>
      </c>
      <c r="J14" s="38">
        <v>45658</v>
      </c>
      <c r="K14" s="40" t="s">
        <v>50</v>
      </c>
      <c r="L14" s="13" t="s">
        <v>51</v>
      </c>
      <c r="M14" s="13" t="s">
        <v>52</v>
      </c>
      <c r="N14" s="13" t="s">
        <v>96</v>
      </c>
      <c r="O14" s="13" t="s">
        <v>54</v>
      </c>
      <c r="P14" s="13" t="s">
        <v>55</v>
      </c>
      <c r="Q14" s="38">
        <v>24295</v>
      </c>
      <c r="R14" s="13" t="s">
        <v>97</v>
      </c>
      <c r="S14" s="41" t="s">
        <v>57</v>
      </c>
      <c r="T14" s="37">
        <v>1200000</v>
      </c>
      <c r="U14" s="38">
        <v>45676</v>
      </c>
      <c r="V14" s="39">
        <v>2025</v>
      </c>
      <c r="W14" s="42">
        <v>45676</v>
      </c>
      <c r="X14" s="41" t="s">
        <v>6</v>
      </c>
      <c r="Y14" s="38"/>
      <c r="Z14" s="50"/>
      <c r="AA14" s="38"/>
      <c r="AB14" s="43">
        <f>IF($AB$1&lt;W14,0,IF($AB$1&gt;Y14,0,T14))</f>
      </c>
      <c r="AC14" s="43">
        <f>IF($AC$2&lt;U14,0,IF(AND($AC$2&gt;U14,$AC$2&lt;Y14),T14,IF(X14="REJET",0,T14-Z14)))</f>
      </c>
      <c r="AD14" s="1"/>
      <c r="AE14" s="23"/>
      <c r="AF14" s="24"/>
      <c r="AG14" s="25"/>
    </row>
    <row x14ac:dyDescent="0.25" r="15" customHeight="1" ht="18.75">
      <c r="A15" s="13" t="s">
        <v>47</v>
      </c>
      <c r="B15" s="37">
        <v>900</v>
      </c>
      <c r="C15" s="13" t="s">
        <v>3</v>
      </c>
      <c r="D15" s="13" t="s">
        <v>48</v>
      </c>
      <c r="E15" s="38">
        <v>45658</v>
      </c>
      <c r="F15" s="38">
        <v>46022</v>
      </c>
      <c r="G15" s="39">
        <v>13</v>
      </c>
      <c r="H15" s="13" t="s">
        <v>98</v>
      </c>
      <c r="I15" s="38">
        <v>24219</v>
      </c>
      <c r="J15" s="38">
        <v>45658</v>
      </c>
      <c r="K15" s="40" t="s">
        <v>50</v>
      </c>
      <c r="L15" s="13" t="s">
        <v>51</v>
      </c>
      <c r="M15" s="13" t="s">
        <v>52</v>
      </c>
      <c r="N15" s="13" t="s">
        <v>99</v>
      </c>
      <c r="O15" s="13" t="s">
        <v>54</v>
      </c>
      <c r="P15" s="13" t="s">
        <v>55</v>
      </c>
      <c r="Q15" s="38">
        <v>24219</v>
      </c>
      <c r="R15" s="13" t="s">
        <v>100</v>
      </c>
      <c r="S15" s="41" t="s">
        <v>82</v>
      </c>
      <c r="T15" s="37">
        <v>6000000</v>
      </c>
      <c r="U15" s="38">
        <v>45676</v>
      </c>
      <c r="V15" s="39">
        <v>2025</v>
      </c>
      <c r="W15" s="42">
        <v>45673</v>
      </c>
      <c r="X15" s="41" t="s">
        <v>65</v>
      </c>
      <c r="Y15" s="38">
        <v>45762</v>
      </c>
      <c r="Z15" s="49">
        <v>6000000</v>
      </c>
      <c r="AA15" s="48">
        <f>T15-Z15</f>
      </c>
      <c r="AB15" s="43">
        <f>IF($AB$1&lt;W15,0,IF($AB$1&gt;Y15,0,T15))</f>
      </c>
      <c r="AC15" s="43">
        <f>IF($AC$2&lt;U15,0,IF(AND($AC$2&gt;U15,$AC$2&lt;Y15),T15,IF(X15="REJET",0,T15-Z15)))</f>
      </c>
      <c r="AD15" s="1"/>
      <c r="AE15" s="23"/>
      <c r="AF15" s="24"/>
      <c r="AG15" s="25"/>
    </row>
    <row x14ac:dyDescent="0.25" r="16" customHeight="1" ht="18.75">
      <c r="A16" s="13" t="s">
        <v>47</v>
      </c>
      <c r="B16" s="37">
        <v>900</v>
      </c>
      <c r="C16" s="13" t="s">
        <v>3</v>
      </c>
      <c r="D16" s="13" t="s">
        <v>48</v>
      </c>
      <c r="E16" s="38">
        <v>45658</v>
      </c>
      <c r="F16" s="38">
        <v>46022</v>
      </c>
      <c r="G16" s="39">
        <v>14</v>
      </c>
      <c r="H16" s="13" t="s">
        <v>101</v>
      </c>
      <c r="I16" s="38">
        <v>24481</v>
      </c>
      <c r="J16" s="38">
        <v>45658</v>
      </c>
      <c r="K16" s="40" t="s">
        <v>50</v>
      </c>
      <c r="L16" s="13" t="s">
        <v>51</v>
      </c>
      <c r="M16" s="13" t="s">
        <v>52</v>
      </c>
      <c r="N16" s="13" t="s">
        <v>102</v>
      </c>
      <c r="O16" s="13" t="s">
        <v>54</v>
      </c>
      <c r="P16" s="13" t="s">
        <v>55</v>
      </c>
      <c r="Q16" s="38">
        <v>24481</v>
      </c>
      <c r="R16" s="13" t="s">
        <v>103</v>
      </c>
      <c r="S16" s="41" t="s">
        <v>82</v>
      </c>
      <c r="T16" s="37">
        <v>6000000</v>
      </c>
      <c r="U16" s="38">
        <v>45678</v>
      </c>
      <c r="V16" s="39">
        <v>2025</v>
      </c>
      <c r="W16" s="42">
        <v>45678</v>
      </c>
      <c r="X16" s="41" t="s">
        <v>65</v>
      </c>
      <c r="Y16" s="38">
        <v>45818</v>
      </c>
      <c r="Z16" s="49">
        <v>6000000</v>
      </c>
      <c r="AA16" s="48">
        <f>T16-Z16</f>
      </c>
      <c r="AB16" s="43">
        <f>IF($AB$1&lt;W16,0,IF($AB$1&gt;Y16,0,T16))</f>
      </c>
      <c r="AC16" s="43">
        <f>IF($AC$2&lt;U16,0,IF(AND($AC$2&gt;U16,$AC$2&lt;Y16),T16,IF(X16="REJET",0,T16-Z16)))</f>
      </c>
      <c r="AD16" s="1"/>
      <c r="AE16" s="23"/>
      <c r="AF16" s="24"/>
      <c r="AG16" s="25"/>
    </row>
    <row x14ac:dyDescent="0.25" r="17" customHeight="1" ht="18.75">
      <c r="A17" s="13" t="s">
        <v>47</v>
      </c>
      <c r="B17" s="37">
        <v>900</v>
      </c>
      <c r="C17" s="13" t="s">
        <v>3</v>
      </c>
      <c r="D17" s="13" t="s">
        <v>48</v>
      </c>
      <c r="E17" s="38">
        <v>45658</v>
      </c>
      <c r="F17" s="38">
        <v>46022</v>
      </c>
      <c r="G17" s="39">
        <v>15</v>
      </c>
      <c r="H17" s="13" t="s">
        <v>104</v>
      </c>
      <c r="I17" s="38">
        <v>33982</v>
      </c>
      <c r="J17" s="38">
        <v>45658</v>
      </c>
      <c r="K17" s="40" t="s">
        <v>50</v>
      </c>
      <c r="L17" s="13" t="s">
        <v>51</v>
      </c>
      <c r="M17" s="13" t="s">
        <v>52</v>
      </c>
      <c r="N17" s="13" t="s">
        <v>105</v>
      </c>
      <c r="O17" s="13" t="s">
        <v>54</v>
      </c>
      <c r="P17" s="13" t="s">
        <v>55</v>
      </c>
      <c r="Q17" s="38">
        <v>33982</v>
      </c>
      <c r="R17" s="13" t="s">
        <v>106</v>
      </c>
      <c r="S17" s="41" t="s">
        <v>82</v>
      </c>
      <c r="T17" s="37">
        <v>6000000</v>
      </c>
      <c r="U17" s="38">
        <v>45685</v>
      </c>
      <c r="V17" s="39">
        <v>2025</v>
      </c>
      <c r="W17" s="42">
        <v>45681</v>
      </c>
      <c r="X17" s="41" t="s">
        <v>6</v>
      </c>
      <c r="Y17" s="38"/>
      <c r="Z17" s="50"/>
      <c r="AA17" s="38"/>
      <c r="AB17" s="43">
        <f>IF($AB$1&lt;W17,0,IF($AB$1&gt;Y17,0,T17))</f>
      </c>
      <c r="AC17" s="43">
        <f>IF($AC$2&lt;U17,0,IF(AND($AC$2&gt;U17,$AC$2&lt;Y17),T17,IF(X17="REJET",0,T17-Z17)))</f>
      </c>
      <c r="AD17" s="1"/>
      <c r="AE17" s="23"/>
      <c r="AF17" s="24"/>
      <c r="AG17" s="25"/>
    </row>
    <row x14ac:dyDescent="0.25" r="18" customHeight="1" ht="18.75">
      <c r="A18" s="13" t="s">
        <v>47</v>
      </c>
      <c r="B18" s="37">
        <v>900</v>
      </c>
      <c r="C18" s="13" t="s">
        <v>3</v>
      </c>
      <c r="D18" s="13" t="s">
        <v>48</v>
      </c>
      <c r="E18" s="38">
        <v>45658</v>
      </c>
      <c r="F18" s="38">
        <v>46022</v>
      </c>
      <c r="G18" s="39">
        <v>16</v>
      </c>
      <c r="H18" s="13" t="s">
        <v>107</v>
      </c>
      <c r="I18" s="38">
        <v>26870</v>
      </c>
      <c r="J18" s="38">
        <v>45658</v>
      </c>
      <c r="K18" s="40" t="s">
        <v>50</v>
      </c>
      <c r="L18" s="13" t="s">
        <v>51</v>
      </c>
      <c r="M18" s="13" t="s">
        <v>52</v>
      </c>
      <c r="N18" s="13" t="s">
        <v>108</v>
      </c>
      <c r="O18" s="13" t="s">
        <v>54</v>
      </c>
      <c r="P18" s="13" t="s">
        <v>55</v>
      </c>
      <c r="Q18" s="38">
        <v>26870</v>
      </c>
      <c r="R18" s="13" t="s">
        <v>109</v>
      </c>
      <c r="S18" s="41" t="s">
        <v>82</v>
      </c>
      <c r="T18" s="37">
        <v>6000000</v>
      </c>
      <c r="U18" s="38">
        <v>45686</v>
      </c>
      <c r="V18" s="39">
        <v>2025</v>
      </c>
      <c r="W18" s="42">
        <v>45686</v>
      </c>
      <c r="X18" s="41" t="s">
        <v>65</v>
      </c>
      <c r="Y18" s="38">
        <v>45754</v>
      </c>
      <c r="Z18" s="49">
        <v>6000000</v>
      </c>
      <c r="AA18" s="48">
        <f>T18-Z18</f>
      </c>
      <c r="AB18" s="43">
        <f>IF($AB$1&lt;W18,0,IF($AB$1&gt;Y18,0,T18))</f>
      </c>
      <c r="AC18" s="43">
        <f>IF($AC$2&lt;U18,0,IF(AND($AC$2&gt;U18,$AC$2&lt;Y18),T18,IF(X18="REJET",0,T18-Z18)))</f>
      </c>
      <c r="AD18" s="1"/>
      <c r="AE18" s="23"/>
      <c r="AF18" s="24"/>
      <c r="AG18" s="25"/>
    </row>
    <row x14ac:dyDescent="0.25" r="19" customHeight="1" ht="18.75">
      <c r="A19" s="13" t="s">
        <v>47</v>
      </c>
      <c r="B19" s="37">
        <v>900</v>
      </c>
      <c r="C19" s="13" t="s">
        <v>3</v>
      </c>
      <c r="D19" s="13" t="s">
        <v>48</v>
      </c>
      <c r="E19" s="38">
        <v>45658</v>
      </c>
      <c r="F19" s="38">
        <v>46022</v>
      </c>
      <c r="G19" s="39">
        <v>17</v>
      </c>
      <c r="H19" s="13" t="s">
        <v>110</v>
      </c>
      <c r="I19" s="38">
        <v>22622</v>
      </c>
      <c r="J19" s="38">
        <v>45658</v>
      </c>
      <c r="K19" s="40" t="s">
        <v>50</v>
      </c>
      <c r="L19" s="13" t="s">
        <v>51</v>
      </c>
      <c r="M19" s="13" t="s">
        <v>52</v>
      </c>
      <c r="N19" s="13" t="s">
        <v>111</v>
      </c>
      <c r="O19" s="13" t="s">
        <v>54</v>
      </c>
      <c r="P19" s="13" t="s">
        <v>55</v>
      </c>
      <c r="Q19" s="38">
        <v>22622</v>
      </c>
      <c r="R19" s="13" t="s">
        <v>112</v>
      </c>
      <c r="S19" s="41" t="s">
        <v>82</v>
      </c>
      <c r="T19" s="37">
        <v>6000000</v>
      </c>
      <c r="U19" s="38">
        <v>45689</v>
      </c>
      <c r="V19" s="39">
        <v>2025</v>
      </c>
      <c r="W19" s="42">
        <v>45689</v>
      </c>
      <c r="X19" s="41" t="s">
        <v>65</v>
      </c>
      <c r="Y19" s="38">
        <v>45818</v>
      </c>
      <c r="Z19" s="49">
        <v>6000000</v>
      </c>
      <c r="AA19" s="48">
        <f>T19-Z19</f>
      </c>
      <c r="AB19" s="43">
        <f>IF($AB$1&lt;W19,0,IF($AB$1&gt;Y19,0,T19))</f>
      </c>
      <c r="AC19" s="43">
        <f>IF($AC$2&lt;U19,0,IF(AND($AC$2&gt;U19,$AC$2&lt;Y19),T19,IF(X19="REJET",0,T19-Z19)))</f>
      </c>
      <c r="AD19" s="1"/>
      <c r="AE19" s="23"/>
      <c r="AF19" s="24"/>
      <c r="AG19" s="25"/>
    </row>
    <row x14ac:dyDescent="0.25" r="20" customHeight="1" ht="18.75">
      <c r="A20" s="13" t="s">
        <v>47</v>
      </c>
      <c r="B20" s="37">
        <v>900</v>
      </c>
      <c r="C20" s="13" t="s">
        <v>3</v>
      </c>
      <c r="D20" s="13" t="s">
        <v>48</v>
      </c>
      <c r="E20" s="38">
        <v>45658</v>
      </c>
      <c r="F20" s="38">
        <v>46022</v>
      </c>
      <c r="G20" s="39">
        <v>18</v>
      </c>
      <c r="H20" s="13" t="s">
        <v>113</v>
      </c>
      <c r="I20" s="38">
        <v>25753</v>
      </c>
      <c r="J20" s="38">
        <v>45658</v>
      </c>
      <c r="K20" s="40" t="s">
        <v>50</v>
      </c>
      <c r="L20" s="13" t="s">
        <v>51</v>
      </c>
      <c r="M20" s="13" t="s">
        <v>52</v>
      </c>
      <c r="N20" s="13" t="s">
        <v>114</v>
      </c>
      <c r="O20" s="13" t="s">
        <v>54</v>
      </c>
      <c r="P20" s="13" t="s">
        <v>55</v>
      </c>
      <c r="Q20" s="38">
        <v>25753</v>
      </c>
      <c r="R20" s="13" t="s">
        <v>115</v>
      </c>
      <c r="S20" s="41" t="s">
        <v>57</v>
      </c>
      <c r="T20" s="37">
        <v>1200000</v>
      </c>
      <c r="U20" s="38">
        <v>45684</v>
      </c>
      <c r="V20" s="39">
        <v>2025</v>
      </c>
      <c r="W20" s="42">
        <v>45684</v>
      </c>
      <c r="X20" s="41" t="s">
        <v>6</v>
      </c>
      <c r="Y20" s="38"/>
      <c r="Z20" s="50"/>
      <c r="AA20" s="38"/>
      <c r="AB20" s="43">
        <f>IF($AB$1&lt;W20,0,IF($AB$1&gt;Y20,0,T20))</f>
      </c>
      <c r="AC20" s="43">
        <f>IF($AC$2&lt;U20,0,IF(AND($AC$2&gt;U20,$AC$2&lt;Y20),T20,IF(X20="REJET",0,T20-Z20)))</f>
      </c>
      <c r="AD20" s="1"/>
      <c r="AE20" s="23"/>
      <c r="AF20" s="24"/>
      <c r="AG20" s="25"/>
    </row>
    <row x14ac:dyDescent="0.25" r="21" customHeight="1" ht="18.75">
      <c r="A21" s="13" t="s">
        <v>47</v>
      </c>
      <c r="B21" s="37">
        <v>900</v>
      </c>
      <c r="C21" s="13" t="s">
        <v>3</v>
      </c>
      <c r="D21" s="13" t="s">
        <v>48</v>
      </c>
      <c r="E21" s="38">
        <v>45658</v>
      </c>
      <c r="F21" s="38">
        <v>46022</v>
      </c>
      <c r="G21" s="39">
        <v>19</v>
      </c>
      <c r="H21" s="13" t="s">
        <v>116</v>
      </c>
      <c r="I21" s="38">
        <v>25184</v>
      </c>
      <c r="J21" s="38">
        <v>45658</v>
      </c>
      <c r="K21" s="40" t="s">
        <v>50</v>
      </c>
      <c r="L21" s="13" t="s">
        <v>51</v>
      </c>
      <c r="M21" s="13" t="s">
        <v>52</v>
      </c>
      <c r="N21" s="13" t="s">
        <v>117</v>
      </c>
      <c r="O21" s="13" t="s">
        <v>54</v>
      </c>
      <c r="P21" s="13" t="s">
        <v>55</v>
      </c>
      <c r="Q21" s="38">
        <v>25184</v>
      </c>
      <c r="R21" s="13" t="s">
        <v>118</v>
      </c>
      <c r="S21" s="41" t="s">
        <v>57</v>
      </c>
      <c r="T21" s="37">
        <v>1200000</v>
      </c>
      <c r="U21" s="38">
        <v>45684</v>
      </c>
      <c r="V21" s="39">
        <v>2025</v>
      </c>
      <c r="W21" s="42">
        <v>45684</v>
      </c>
      <c r="X21" s="41" t="s">
        <v>58</v>
      </c>
      <c r="Y21" s="38">
        <v>45851</v>
      </c>
      <c r="Z21" s="39">
        <v>0</v>
      </c>
      <c r="AA21" s="38"/>
      <c r="AB21" s="43">
        <f>IF($AB$1&lt;W21,0,IF($AB$1&gt;Y21,0,T21))</f>
      </c>
      <c r="AC21" s="43">
        <f>IF($AC$2&lt;U21,0,IF(AND($AC$2&gt;U21,$AC$2&lt;Y21),T21,IF(X21="REJET",0,T21-Z21)))</f>
      </c>
      <c r="AD21" s="1"/>
      <c r="AE21" s="23"/>
      <c r="AF21" s="24"/>
      <c r="AG21" s="25"/>
    </row>
    <row x14ac:dyDescent="0.25" r="22" customHeight="1" ht="18.75">
      <c r="A22" s="13" t="s">
        <v>47</v>
      </c>
      <c r="B22" s="37">
        <v>900</v>
      </c>
      <c r="C22" s="13" t="s">
        <v>3</v>
      </c>
      <c r="D22" s="13" t="s">
        <v>48</v>
      </c>
      <c r="E22" s="38">
        <v>45658</v>
      </c>
      <c r="F22" s="38">
        <v>46022</v>
      </c>
      <c r="G22" s="39">
        <v>20</v>
      </c>
      <c r="H22" s="13" t="s">
        <v>119</v>
      </c>
      <c r="I22" s="38">
        <v>32512</v>
      </c>
      <c r="J22" s="38">
        <v>45658</v>
      </c>
      <c r="K22" s="40" t="s">
        <v>50</v>
      </c>
      <c r="L22" s="13" t="s">
        <v>51</v>
      </c>
      <c r="M22" s="13" t="s">
        <v>52</v>
      </c>
      <c r="N22" s="13" t="s">
        <v>120</v>
      </c>
      <c r="O22" s="13" t="s">
        <v>62</v>
      </c>
      <c r="P22" s="13" t="s">
        <v>63</v>
      </c>
      <c r="Q22" s="38">
        <v>32512</v>
      </c>
      <c r="R22" s="13" t="s">
        <v>121</v>
      </c>
      <c r="S22" s="41" t="s">
        <v>57</v>
      </c>
      <c r="T22" s="37">
        <v>1200000</v>
      </c>
      <c r="U22" s="38">
        <v>45687</v>
      </c>
      <c r="V22" s="39">
        <v>2025</v>
      </c>
      <c r="W22" s="42">
        <v>45687</v>
      </c>
      <c r="X22" s="41" t="s">
        <v>58</v>
      </c>
      <c r="Y22" s="38">
        <v>45851</v>
      </c>
      <c r="Z22" s="39">
        <v>0</v>
      </c>
      <c r="AA22" s="38"/>
      <c r="AB22" s="43">
        <f>IF($AB$1&lt;W22,0,IF($AB$1&gt;Y22,0,T22))</f>
      </c>
      <c r="AC22" s="43">
        <f>IF($AC$2&lt;U22,0,IF(AND($AC$2&gt;U22,$AC$2&lt;Y22),T22,IF(X22="REJET",0,T22-Z22)))</f>
      </c>
      <c r="AD22" s="1"/>
      <c r="AE22" s="23"/>
      <c r="AF22" s="24"/>
      <c r="AG22" s="25"/>
    </row>
    <row x14ac:dyDescent="0.25" r="23" customHeight="1" ht="18.75">
      <c r="A23" s="13" t="s">
        <v>47</v>
      </c>
      <c r="B23" s="37">
        <v>900</v>
      </c>
      <c r="C23" s="13" t="s">
        <v>3</v>
      </c>
      <c r="D23" s="13" t="s">
        <v>48</v>
      </c>
      <c r="E23" s="38">
        <v>45658</v>
      </c>
      <c r="F23" s="38">
        <v>46022</v>
      </c>
      <c r="G23" s="39">
        <v>21</v>
      </c>
      <c r="H23" s="13" t="s">
        <v>122</v>
      </c>
      <c r="I23" s="38">
        <v>29896</v>
      </c>
      <c r="J23" s="38">
        <v>45658</v>
      </c>
      <c r="K23" s="40" t="s">
        <v>50</v>
      </c>
      <c r="L23" s="13" t="s">
        <v>51</v>
      </c>
      <c r="M23" s="13" t="s">
        <v>52</v>
      </c>
      <c r="N23" s="13" t="s">
        <v>123</v>
      </c>
      <c r="O23" s="13" t="s">
        <v>62</v>
      </c>
      <c r="P23" s="13" t="s">
        <v>63</v>
      </c>
      <c r="Q23" s="38">
        <v>29896</v>
      </c>
      <c r="R23" s="13" t="s">
        <v>124</v>
      </c>
      <c r="S23" s="41" t="s">
        <v>57</v>
      </c>
      <c r="T23" s="37">
        <v>1200000</v>
      </c>
      <c r="U23" s="38">
        <v>45686</v>
      </c>
      <c r="V23" s="39">
        <v>2025</v>
      </c>
      <c r="W23" s="42">
        <v>45686</v>
      </c>
      <c r="X23" s="41" t="s">
        <v>58</v>
      </c>
      <c r="Y23" s="38">
        <v>45764</v>
      </c>
      <c r="Z23" s="39">
        <v>0</v>
      </c>
      <c r="AA23" s="38"/>
      <c r="AB23" s="43">
        <f>IF($AB$1&lt;W23,0,IF($AB$1&gt;Y23,0,T23))</f>
      </c>
      <c r="AC23" s="43">
        <f>IF($AC$2&lt;U23,0,IF(AND($AC$2&gt;U23,$AC$2&lt;Y23),T23,IF(X23="REJET",0,T23-Z23)))</f>
      </c>
      <c r="AD23" s="1"/>
      <c r="AE23" s="23"/>
      <c r="AF23" s="24"/>
      <c r="AG23" s="25"/>
    </row>
    <row x14ac:dyDescent="0.25" r="24" customHeight="1" ht="18.75">
      <c r="A24" s="13" t="s">
        <v>47</v>
      </c>
      <c r="B24" s="37">
        <v>900</v>
      </c>
      <c r="C24" s="13" t="s">
        <v>3</v>
      </c>
      <c r="D24" s="13" t="s">
        <v>48</v>
      </c>
      <c r="E24" s="38">
        <v>45658</v>
      </c>
      <c r="F24" s="38">
        <v>46022</v>
      </c>
      <c r="G24" s="39">
        <v>22</v>
      </c>
      <c r="H24" s="13" t="s">
        <v>125</v>
      </c>
      <c r="I24" s="38">
        <v>33280</v>
      </c>
      <c r="J24" s="38">
        <v>45658</v>
      </c>
      <c r="K24" s="40" t="s">
        <v>50</v>
      </c>
      <c r="L24" s="13" t="s">
        <v>51</v>
      </c>
      <c r="M24" s="13" t="s">
        <v>52</v>
      </c>
      <c r="N24" s="13" t="s">
        <v>126</v>
      </c>
      <c r="O24" s="13" t="s">
        <v>62</v>
      </c>
      <c r="P24" s="13" t="s">
        <v>63</v>
      </c>
      <c r="Q24" s="38">
        <v>33280</v>
      </c>
      <c r="R24" s="13" t="s">
        <v>127</v>
      </c>
      <c r="S24" s="41" t="s">
        <v>57</v>
      </c>
      <c r="T24" s="37">
        <v>1200000</v>
      </c>
      <c r="U24" s="38">
        <v>45686</v>
      </c>
      <c r="V24" s="39">
        <v>2025</v>
      </c>
      <c r="W24" s="42">
        <v>45686</v>
      </c>
      <c r="X24" s="41" t="s">
        <v>58</v>
      </c>
      <c r="Y24" s="38">
        <v>45851</v>
      </c>
      <c r="Z24" s="39">
        <v>0</v>
      </c>
      <c r="AA24" s="38"/>
      <c r="AB24" s="43">
        <f>IF($AB$1&lt;W24,0,IF($AB$1&gt;Y24,0,T24))</f>
      </c>
      <c r="AC24" s="43">
        <f>IF($AC$2&lt;U24,0,IF(AND($AC$2&gt;U24,$AC$2&lt;Y24),T24,IF(X24="REJET",0,T24-Z24)))</f>
      </c>
      <c r="AD24" s="1"/>
      <c r="AE24" s="23"/>
      <c r="AF24" s="24"/>
      <c r="AG24" s="25"/>
    </row>
    <row x14ac:dyDescent="0.25" r="25" customHeight="1" ht="18.75">
      <c r="A25" s="13" t="s">
        <v>47</v>
      </c>
      <c r="B25" s="37">
        <v>900</v>
      </c>
      <c r="C25" s="13" t="s">
        <v>3</v>
      </c>
      <c r="D25" s="13" t="s">
        <v>48</v>
      </c>
      <c r="E25" s="38">
        <v>45658</v>
      </c>
      <c r="F25" s="38">
        <v>46022</v>
      </c>
      <c r="G25" s="39">
        <v>23</v>
      </c>
      <c r="H25" s="13" t="s">
        <v>128</v>
      </c>
      <c r="I25" s="38">
        <v>25607</v>
      </c>
      <c r="J25" s="38">
        <v>45658</v>
      </c>
      <c r="K25" s="40" t="s">
        <v>50</v>
      </c>
      <c r="L25" s="13" t="s">
        <v>51</v>
      </c>
      <c r="M25" s="13" t="s">
        <v>52</v>
      </c>
      <c r="N25" s="13" t="s">
        <v>129</v>
      </c>
      <c r="O25" s="13" t="s">
        <v>54</v>
      </c>
      <c r="P25" s="13" t="s">
        <v>55</v>
      </c>
      <c r="Q25" s="38">
        <v>25607</v>
      </c>
      <c r="R25" s="13" t="s">
        <v>130</v>
      </c>
      <c r="S25" s="41" t="s">
        <v>82</v>
      </c>
      <c r="T25" s="37">
        <v>6000000</v>
      </c>
      <c r="U25" s="38">
        <v>45691</v>
      </c>
      <c r="V25" s="39">
        <v>2025</v>
      </c>
      <c r="W25" s="42">
        <v>45690</v>
      </c>
      <c r="X25" s="41" t="s">
        <v>65</v>
      </c>
      <c r="Y25" s="38">
        <v>45824</v>
      </c>
      <c r="Z25" s="49">
        <v>4500000</v>
      </c>
      <c r="AA25" s="48">
        <f>T25-Z25</f>
      </c>
      <c r="AB25" s="43">
        <f>IF($AB$1&lt;W25,0,IF($AB$1&gt;Y25,0,T25))</f>
      </c>
      <c r="AC25" s="43">
        <f>IF($AC$2&lt;U25,0,IF(AND($AC$2&gt;U25,$AC$2&lt;Y25),T25,IF(X25="REJET",0,T25-Z25)))</f>
      </c>
      <c r="AD25" s="1"/>
      <c r="AE25" s="23"/>
      <c r="AF25" s="24"/>
      <c r="AG25" s="25"/>
    </row>
    <row x14ac:dyDescent="0.25" r="26" customHeight="1" ht="18.75">
      <c r="A26" s="13" t="s">
        <v>47</v>
      </c>
      <c r="B26" s="37">
        <v>900</v>
      </c>
      <c r="C26" s="13" t="s">
        <v>3</v>
      </c>
      <c r="D26" s="13" t="s">
        <v>48</v>
      </c>
      <c r="E26" s="38">
        <v>45658</v>
      </c>
      <c r="F26" s="38">
        <v>46022</v>
      </c>
      <c r="G26" s="39">
        <v>24</v>
      </c>
      <c r="H26" s="13" t="s">
        <v>131</v>
      </c>
      <c r="I26" s="38">
        <v>23773</v>
      </c>
      <c r="J26" s="38">
        <v>45658</v>
      </c>
      <c r="K26" s="40" t="s">
        <v>50</v>
      </c>
      <c r="L26" s="13" t="s">
        <v>51</v>
      </c>
      <c r="M26" s="13" t="s">
        <v>52</v>
      </c>
      <c r="N26" s="13" t="s">
        <v>132</v>
      </c>
      <c r="O26" s="13" t="s">
        <v>62</v>
      </c>
      <c r="P26" s="13" t="s">
        <v>63</v>
      </c>
      <c r="Q26" s="38">
        <v>23773</v>
      </c>
      <c r="R26" s="13" t="s">
        <v>133</v>
      </c>
      <c r="S26" s="41" t="s">
        <v>57</v>
      </c>
      <c r="T26" s="37">
        <v>1200000</v>
      </c>
      <c r="U26" s="38">
        <v>45692</v>
      </c>
      <c r="V26" s="39">
        <v>2025</v>
      </c>
      <c r="W26" s="42">
        <v>45692</v>
      </c>
      <c r="X26" s="41" t="s">
        <v>58</v>
      </c>
      <c r="Y26" s="38">
        <v>45851</v>
      </c>
      <c r="Z26" s="39">
        <v>0</v>
      </c>
      <c r="AA26" s="38"/>
      <c r="AB26" s="43">
        <f>IF($AB$1&lt;W26,0,IF($AB$1&gt;Y26,0,T26))</f>
      </c>
      <c r="AC26" s="43">
        <f>IF($AC$2&lt;U26,0,IF(AND($AC$2&gt;U26,$AC$2&lt;Y26),T26,IF(X26="REJET",0,T26-Z26)))</f>
      </c>
      <c r="AD26" s="1"/>
      <c r="AE26" s="23"/>
      <c r="AF26" s="24"/>
      <c r="AG26" s="25"/>
    </row>
    <row x14ac:dyDescent="0.25" r="27" customHeight="1" ht="18.75">
      <c r="A27" s="13" t="s">
        <v>47</v>
      </c>
      <c r="B27" s="37">
        <v>900</v>
      </c>
      <c r="C27" s="13" t="s">
        <v>3</v>
      </c>
      <c r="D27" s="13" t="s">
        <v>48</v>
      </c>
      <c r="E27" s="38">
        <v>45658</v>
      </c>
      <c r="F27" s="38">
        <v>46022</v>
      </c>
      <c r="G27" s="39">
        <v>25</v>
      </c>
      <c r="H27" s="13" t="s">
        <v>134</v>
      </c>
      <c r="I27" s="38">
        <v>23011</v>
      </c>
      <c r="J27" s="38">
        <v>45658</v>
      </c>
      <c r="K27" s="40" t="s">
        <v>50</v>
      </c>
      <c r="L27" s="13" t="s">
        <v>51</v>
      </c>
      <c r="M27" s="13" t="s">
        <v>52</v>
      </c>
      <c r="N27" s="13" t="s">
        <v>135</v>
      </c>
      <c r="O27" s="13" t="s">
        <v>54</v>
      </c>
      <c r="P27" s="13" t="s">
        <v>55</v>
      </c>
      <c r="Q27" s="38">
        <v>23011</v>
      </c>
      <c r="R27" s="13" t="s">
        <v>136</v>
      </c>
      <c r="S27" s="41" t="s">
        <v>82</v>
      </c>
      <c r="T27" s="37">
        <v>6000000</v>
      </c>
      <c r="U27" s="38">
        <v>45696</v>
      </c>
      <c r="V27" s="39">
        <v>2025</v>
      </c>
      <c r="W27" s="42">
        <v>45694</v>
      </c>
      <c r="X27" s="41" t="s">
        <v>6</v>
      </c>
      <c r="Y27" s="38"/>
      <c r="Z27" s="50"/>
      <c r="AA27" s="38"/>
      <c r="AB27" s="43">
        <f>IF($AB$1&lt;W27,0,IF($AB$1&gt;Y27,0,T27))</f>
      </c>
      <c r="AC27" s="43">
        <f>IF($AC$2&lt;U27,0,IF(AND($AC$2&gt;U27,$AC$2&lt;Y27),T27,IF(X27="REJET",0,T27-Z27)))</f>
      </c>
      <c r="AD27" s="1"/>
      <c r="AE27" s="23"/>
      <c r="AF27" s="24"/>
      <c r="AG27" s="25"/>
    </row>
    <row x14ac:dyDescent="0.25" r="28" customHeight="1" ht="18.75">
      <c r="A28" s="13" t="s">
        <v>47</v>
      </c>
      <c r="B28" s="37">
        <v>900</v>
      </c>
      <c r="C28" s="13" t="s">
        <v>3</v>
      </c>
      <c r="D28" s="13" t="s">
        <v>48</v>
      </c>
      <c r="E28" s="38">
        <v>45658</v>
      </c>
      <c r="F28" s="38">
        <v>46022</v>
      </c>
      <c r="G28" s="39">
        <v>26</v>
      </c>
      <c r="H28" s="13" t="s">
        <v>137</v>
      </c>
      <c r="I28" s="38">
        <v>23091</v>
      </c>
      <c r="J28" s="38">
        <v>45658</v>
      </c>
      <c r="K28" s="40" t="s">
        <v>50</v>
      </c>
      <c r="L28" s="13" t="s">
        <v>51</v>
      </c>
      <c r="M28" s="13" t="s">
        <v>52</v>
      </c>
      <c r="N28" s="13" t="s">
        <v>138</v>
      </c>
      <c r="O28" s="13" t="s">
        <v>54</v>
      </c>
      <c r="P28" s="13" t="s">
        <v>55</v>
      </c>
      <c r="Q28" s="38">
        <v>23091</v>
      </c>
      <c r="R28" s="13" t="s">
        <v>139</v>
      </c>
      <c r="S28" s="41" t="s">
        <v>57</v>
      </c>
      <c r="T28" s="37">
        <v>1200000</v>
      </c>
      <c r="U28" s="38">
        <v>45684</v>
      </c>
      <c r="V28" s="39">
        <v>2025</v>
      </c>
      <c r="W28" s="42">
        <v>45684</v>
      </c>
      <c r="X28" s="41" t="s">
        <v>6</v>
      </c>
      <c r="Y28" s="38"/>
      <c r="Z28" s="50"/>
      <c r="AA28" s="38"/>
      <c r="AB28" s="43">
        <f>IF($AB$1&lt;W28,0,IF($AB$1&gt;Y28,0,T28))</f>
      </c>
      <c r="AC28" s="43">
        <f>IF($AC$2&lt;U28,0,IF(AND($AC$2&gt;U28,$AC$2&lt;Y28),T28,IF(X28="REJET",0,T28-Z28)))</f>
      </c>
      <c r="AD28" s="1"/>
      <c r="AE28" s="23"/>
      <c r="AF28" s="24"/>
      <c r="AG28" s="25"/>
    </row>
    <row x14ac:dyDescent="0.25" r="29" customHeight="1" ht="18.75">
      <c r="A29" s="13" t="s">
        <v>47</v>
      </c>
      <c r="B29" s="37">
        <v>900</v>
      </c>
      <c r="C29" s="13" t="s">
        <v>3</v>
      </c>
      <c r="D29" s="13" t="s">
        <v>48</v>
      </c>
      <c r="E29" s="38">
        <v>45658</v>
      </c>
      <c r="F29" s="38">
        <v>46022</v>
      </c>
      <c r="G29" s="39">
        <v>27</v>
      </c>
      <c r="H29" s="13" t="s">
        <v>140</v>
      </c>
      <c r="I29" s="38">
        <v>30090</v>
      </c>
      <c r="J29" s="38">
        <v>45658</v>
      </c>
      <c r="K29" s="40" t="s">
        <v>50</v>
      </c>
      <c r="L29" s="13" t="s">
        <v>51</v>
      </c>
      <c r="M29" s="13" t="s">
        <v>52</v>
      </c>
      <c r="N29" s="13" t="s">
        <v>141</v>
      </c>
      <c r="O29" s="13" t="s">
        <v>54</v>
      </c>
      <c r="P29" s="13" t="s">
        <v>55</v>
      </c>
      <c r="Q29" s="38">
        <v>30090</v>
      </c>
      <c r="R29" s="13" t="s">
        <v>142</v>
      </c>
      <c r="S29" s="41" t="s">
        <v>82</v>
      </c>
      <c r="T29" s="37">
        <v>6000000</v>
      </c>
      <c r="U29" s="38">
        <v>45704</v>
      </c>
      <c r="V29" s="39">
        <v>2025</v>
      </c>
      <c r="W29" s="42">
        <v>45703</v>
      </c>
      <c r="X29" s="41" t="s">
        <v>65</v>
      </c>
      <c r="Y29" s="38">
        <v>45812</v>
      </c>
      <c r="Z29" s="49">
        <v>6000000</v>
      </c>
      <c r="AA29" s="48">
        <f>T29-Z29</f>
      </c>
      <c r="AB29" s="43">
        <f>IF($AB$1&lt;W29,0,IF($AB$1&gt;Y29,0,T29))</f>
      </c>
      <c r="AC29" s="43">
        <f>IF($AC$2&lt;U29,0,IF(AND($AC$2&gt;U29,$AC$2&lt;Y29),T29,IF(X29="REJET",0,T29-Z29)))</f>
      </c>
      <c r="AD29" s="1"/>
      <c r="AE29" s="23"/>
      <c r="AF29" s="24"/>
      <c r="AG29" s="25"/>
    </row>
    <row x14ac:dyDescent="0.25" r="30" customHeight="1" ht="18.75">
      <c r="A30" s="13" t="s">
        <v>47</v>
      </c>
      <c r="B30" s="37">
        <v>900</v>
      </c>
      <c r="C30" s="13" t="s">
        <v>3</v>
      </c>
      <c r="D30" s="13" t="s">
        <v>59</v>
      </c>
      <c r="E30" s="38">
        <v>45292</v>
      </c>
      <c r="F30" s="38">
        <v>45657</v>
      </c>
      <c r="G30" s="39">
        <v>28</v>
      </c>
      <c r="H30" s="13" t="s">
        <v>143</v>
      </c>
      <c r="I30" s="38">
        <v>25442</v>
      </c>
      <c r="J30" s="38">
        <v>45292</v>
      </c>
      <c r="K30" s="40" t="s">
        <v>50</v>
      </c>
      <c r="L30" s="13" t="s">
        <v>51</v>
      </c>
      <c r="M30" s="13" t="s">
        <v>52</v>
      </c>
      <c r="N30" s="13" t="s">
        <v>144</v>
      </c>
      <c r="O30" s="13" t="s">
        <v>62</v>
      </c>
      <c r="P30" s="13" t="s">
        <v>63</v>
      </c>
      <c r="Q30" s="38">
        <v>25442</v>
      </c>
      <c r="R30" s="13" t="s">
        <v>145</v>
      </c>
      <c r="S30" s="41" t="s">
        <v>57</v>
      </c>
      <c r="T30" s="37">
        <v>1200000</v>
      </c>
      <c r="U30" s="38">
        <v>45459</v>
      </c>
      <c r="V30" s="39">
        <v>2024</v>
      </c>
      <c r="W30" s="42">
        <v>45432</v>
      </c>
      <c r="X30" s="41" t="s">
        <v>65</v>
      </c>
      <c r="Y30" s="38">
        <v>45768</v>
      </c>
      <c r="Z30" s="49">
        <v>1200000</v>
      </c>
      <c r="AA30" s="48">
        <f>T30-Z30</f>
      </c>
      <c r="AB30" s="43">
        <f>IF($AB$1&lt;W30,0,IF($AB$1&gt;Y30,0,T30))</f>
      </c>
      <c r="AC30" s="43">
        <f>IF($AC$2&lt;U30,0,IF(AND($AC$2&gt;U30,$AC$2&lt;Y30),T30,IF(X30="REJET",0,T30-Z30)))</f>
      </c>
      <c r="AD30" s="1"/>
      <c r="AE30" s="23"/>
      <c r="AF30" s="24"/>
      <c r="AG30" s="25"/>
    </row>
    <row x14ac:dyDescent="0.25" r="31" customHeight="1" ht="18.75">
      <c r="A31" s="13" t="s">
        <v>47</v>
      </c>
      <c r="B31" s="37">
        <v>900</v>
      </c>
      <c r="C31" s="13" t="s">
        <v>3</v>
      </c>
      <c r="D31" s="13" t="s">
        <v>48</v>
      </c>
      <c r="E31" s="38">
        <v>45658</v>
      </c>
      <c r="F31" s="38">
        <v>46022</v>
      </c>
      <c r="G31" s="39">
        <v>29</v>
      </c>
      <c r="H31" s="13" t="s">
        <v>146</v>
      </c>
      <c r="I31" s="38">
        <v>26273</v>
      </c>
      <c r="J31" s="38">
        <v>45658</v>
      </c>
      <c r="K31" s="40" t="s">
        <v>50</v>
      </c>
      <c r="L31" s="13" t="s">
        <v>51</v>
      </c>
      <c r="M31" s="13" t="s">
        <v>52</v>
      </c>
      <c r="N31" s="13" t="s">
        <v>147</v>
      </c>
      <c r="O31" s="13" t="s">
        <v>54</v>
      </c>
      <c r="P31" s="13" t="s">
        <v>55</v>
      </c>
      <c r="Q31" s="38">
        <v>26273</v>
      </c>
      <c r="R31" s="13" t="s">
        <v>148</v>
      </c>
      <c r="S31" s="41" t="s">
        <v>82</v>
      </c>
      <c r="T31" s="37">
        <v>6000000</v>
      </c>
      <c r="U31" s="38">
        <v>45708</v>
      </c>
      <c r="V31" s="39">
        <v>2025</v>
      </c>
      <c r="W31" s="42">
        <v>45706</v>
      </c>
      <c r="X31" s="41" t="s">
        <v>65</v>
      </c>
      <c r="Y31" s="38">
        <v>45812</v>
      </c>
      <c r="Z31" s="49">
        <v>8500000</v>
      </c>
      <c r="AA31" s="48">
        <f>T31-Z31</f>
      </c>
      <c r="AB31" s="43">
        <f>IF($AB$1&lt;W31,0,IF($AB$1&gt;Y31,0,T31))</f>
      </c>
      <c r="AC31" s="43">
        <f>IF($AC$2&lt;U31,0,IF(AND($AC$2&gt;U31,$AC$2&lt;Y31),T31,IF(X31="REJET",0,T31-Z31)))</f>
      </c>
      <c r="AD31" s="1"/>
      <c r="AE31" s="23"/>
      <c r="AF31" s="24"/>
      <c r="AG31" s="25"/>
    </row>
    <row x14ac:dyDescent="0.25" r="32" customHeight="1" ht="18.75">
      <c r="A32" s="13" t="s">
        <v>47</v>
      </c>
      <c r="B32" s="37">
        <v>900</v>
      </c>
      <c r="C32" s="13" t="s">
        <v>3</v>
      </c>
      <c r="D32" s="13" t="s">
        <v>48</v>
      </c>
      <c r="E32" s="38">
        <v>45658</v>
      </c>
      <c r="F32" s="38">
        <v>46022</v>
      </c>
      <c r="G32" s="39">
        <v>30</v>
      </c>
      <c r="H32" s="13" t="s">
        <v>149</v>
      </c>
      <c r="I32" s="38">
        <v>27250</v>
      </c>
      <c r="J32" s="38">
        <v>45658</v>
      </c>
      <c r="K32" s="40" t="s">
        <v>50</v>
      </c>
      <c r="L32" s="13" t="s">
        <v>51</v>
      </c>
      <c r="M32" s="13" t="s">
        <v>52</v>
      </c>
      <c r="N32" s="13" t="s">
        <v>150</v>
      </c>
      <c r="O32" s="13" t="s">
        <v>54</v>
      </c>
      <c r="P32" s="13" t="s">
        <v>55</v>
      </c>
      <c r="Q32" s="38">
        <v>27250</v>
      </c>
      <c r="R32" s="13" t="s">
        <v>151</v>
      </c>
      <c r="S32" s="41" t="s">
        <v>82</v>
      </c>
      <c r="T32" s="37">
        <v>6000000</v>
      </c>
      <c r="U32" s="38">
        <v>45711</v>
      </c>
      <c r="V32" s="39">
        <v>2025</v>
      </c>
      <c r="W32" s="42">
        <v>45711</v>
      </c>
      <c r="X32" s="41" t="s">
        <v>65</v>
      </c>
      <c r="Y32" s="38">
        <v>45812</v>
      </c>
      <c r="Z32" s="49">
        <v>6000000</v>
      </c>
      <c r="AA32" s="48">
        <f>T32-Z32</f>
      </c>
      <c r="AB32" s="43">
        <f>IF($AB$1&lt;W32,0,IF($AB$1&gt;Y32,0,T32))</f>
      </c>
      <c r="AC32" s="43">
        <f>IF($AC$2&lt;U32,0,IF(AND($AC$2&gt;U32,$AC$2&lt;Y32),T32,IF(X32="REJET",0,T32-Z32)))</f>
      </c>
      <c r="AD32" s="1"/>
      <c r="AE32" s="23"/>
      <c r="AF32" s="24"/>
      <c r="AG32" s="25"/>
    </row>
    <row x14ac:dyDescent="0.25" r="33" customHeight="1" ht="18.75">
      <c r="A33" s="13" t="s">
        <v>47</v>
      </c>
      <c r="B33" s="37">
        <v>900</v>
      </c>
      <c r="C33" s="13" t="s">
        <v>3</v>
      </c>
      <c r="D33" s="13" t="s">
        <v>59</v>
      </c>
      <c r="E33" s="38">
        <v>45292</v>
      </c>
      <c r="F33" s="38">
        <v>45657</v>
      </c>
      <c r="G33" s="39">
        <v>31</v>
      </c>
      <c r="H33" s="13" t="s">
        <v>152</v>
      </c>
      <c r="I33" s="38">
        <v>26254</v>
      </c>
      <c r="J33" s="38">
        <v>45292</v>
      </c>
      <c r="K33" s="40" t="s">
        <v>50</v>
      </c>
      <c r="L33" s="13" t="s">
        <v>51</v>
      </c>
      <c r="M33" s="13" t="s">
        <v>52</v>
      </c>
      <c r="N33" s="13" t="s">
        <v>153</v>
      </c>
      <c r="O33" s="13" t="s">
        <v>62</v>
      </c>
      <c r="P33" s="13" t="s">
        <v>63</v>
      </c>
      <c r="Q33" s="38">
        <v>26254</v>
      </c>
      <c r="R33" s="13" t="s">
        <v>154</v>
      </c>
      <c r="S33" s="41" t="s">
        <v>57</v>
      </c>
      <c r="T33" s="37">
        <v>1200000</v>
      </c>
      <c r="U33" s="38">
        <v>45510</v>
      </c>
      <c r="V33" s="39">
        <v>2024</v>
      </c>
      <c r="W33" s="42">
        <v>45347</v>
      </c>
      <c r="X33" s="41" t="s">
        <v>65</v>
      </c>
      <c r="Y33" s="38">
        <v>45768</v>
      </c>
      <c r="Z33" s="49">
        <v>1200000</v>
      </c>
      <c r="AA33" s="48">
        <f>T33-Z33</f>
      </c>
      <c r="AB33" s="43">
        <f>IF($AB$1&lt;W33,0,IF($AB$1&gt;Y33,0,T33))</f>
      </c>
      <c r="AC33" s="43">
        <f>IF($AC$2&lt;U33,0,IF(AND($AC$2&gt;U33,$AC$2&lt;Y33),T33,IF(X33="REJET",0,T33-Z33)))</f>
      </c>
      <c r="AD33" s="1"/>
      <c r="AE33" s="23"/>
      <c r="AF33" s="24"/>
      <c r="AG33" s="25"/>
    </row>
    <row x14ac:dyDescent="0.25" r="34" customHeight="1" ht="18.75">
      <c r="A34" s="13" t="s">
        <v>47</v>
      </c>
      <c r="B34" s="37">
        <v>900</v>
      </c>
      <c r="C34" s="13" t="s">
        <v>3</v>
      </c>
      <c r="D34" s="13" t="s">
        <v>48</v>
      </c>
      <c r="E34" s="38">
        <v>45658</v>
      </c>
      <c r="F34" s="38">
        <v>46022</v>
      </c>
      <c r="G34" s="39">
        <v>32</v>
      </c>
      <c r="H34" s="13" t="s">
        <v>155</v>
      </c>
      <c r="I34" s="38">
        <v>24337</v>
      </c>
      <c r="J34" s="38">
        <v>45658</v>
      </c>
      <c r="K34" s="40" t="s">
        <v>50</v>
      </c>
      <c r="L34" s="13" t="s">
        <v>51</v>
      </c>
      <c r="M34" s="13" t="s">
        <v>52</v>
      </c>
      <c r="N34" s="13" t="s">
        <v>156</v>
      </c>
      <c r="O34" s="13" t="s">
        <v>54</v>
      </c>
      <c r="P34" s="13" t="s">
        <v>55</v>
      </c>
      <c r="Q34" s="38">
        <v>24337</v>
      </c>
      <c r="R34" s="13" t="s">
        <v>157</v>
      </c>
      <c r="S34" s="41" t="s">
        <v>75</v>
      </c>
      <c r="T34" s="37">
        <v>6000000</v>
      </c>
      <c r="U34" s="38">
        <v>45713</v>
      </c>
      <c r="V34" s="39">
        <v>2025</v>
      </c>
      <c r="W34" s="42">
        <v>45713</v>
      </c>
      <c r="X34" s="41" t="s">
        <v>6</v>
      </c>
      <c r="Y34" s="38"/>
      <c r="Z34" s="50"/>
      <c r="AA34" s="38"/>
      <c r="AB34" s="43">
        <f>IF($AB$1&lt;W34,0,IF($AB$1&gt;Y34,0,T34))</f>
      </c>
      <c r="AC34" s="43">
        <f>IF($AC$2&lt;U34,0,IF(AND($AC$2&gt;U34,$AC$2&lt;Y34),T34,IF(X34="REJET",0,T34-Z34)))</f>
      </c>
      <c r="AD34" s="1"/>
      <c r="AE34" s="23"/>
      <c r="AF34" s="24"/>
      <c r="AG34" s="25"/>
    </row>
    <row x14ac:dyDescent="0.25" r="35" customHeight="1" ht="18.75">
      <c r="A35" s="13" t="s">
        <v>47</v>
      </c>
      <c r="B35" s="37">
        <v>900</v>
      </c>
      <c r="C35" s="13" t="s">
        <v>3</v>
      </c>
      <c r="D35" s="13" t="s">
        <v>48</v>
      </c>
      <c r="E35" s="38">
        <v>45658</v>
      </c>
      <c r="F35" s="38">
        <v>46022</v>
      </c>
      <c r="G35" s="39">
        <v>33</v>
      </c>
      <c r="H35" s="13" t="s">
        <v>158</v>
      </c>
      <c r="I35" s="38">
        <v>24769</v>
      </c>
      <c r="J35" s="38">
        <v>45658</v>
      </c>
      <c r="K35" s="40" t="s">
        <v>50</v>
      </c>
      <c r="L35" s="13" t="s">
        <v>51</v>
      </c>
      <c r="M35" s="13" t="s">
        <v>52</v>
      </c>
      <c r="N35" s="13" t="s">
        <v>159</v>
      </c>
      <c r="O35" s="13" t="s">
        <v>54</v>
      </c>
      <c r="P35" s="13" t="s">
        <v>55</v>
      </c>
      <c r="Q35" s="38">
        <v>24769</v>
      </c>
      <c r="R35" s="13" t="s">
        <v>160</v>
      </c>
      <c r="S35" s="41" t="s">
        <v>82</v>
      </c>
      <c r="T35" s="37">
        <v>6000000</v>
      </c>
      <c r="U35" s="38">
        <v>45714</v>
      </c>
      <c r="V35" s="39">
        <v>2025</v>
      </c>
      <c r="W35" s="42">
        <v>45713</v>
      </c>
      <c r="X35" s="41" t="s">
        <v>65</v>
      </c>
      <c r="Y35" s="38">
        <v>45818</v>
      </c>
      <c r="Z35" s="49">
        <v>4500000</v>
      </c>
      <c r="AA35" s="48">
        <f>T35-Z35</f>
      </c>
      <c r="AB35" s="43">
        <f>IF($AB$1&lt;W35,0,IF($AB$1&gt;Y35,0,T35))</f>
      </c>
      <c r="AC35" s="43">
        <f>IF($AC$2&lt;U35,0,IF(AND($AC$2&gt;U35,$AC$2&lt;Y35),T35,IF(X35="REJET",0,T35-Z35)))</f>
      </c>
      <c r="AD35" s="1"/>
      <c r="AE35" s="23"/>
      <c r="AF35" s="24"/>
      <c r="AG35" s="25"/>
    </row>
    <row x14ac:dyDescent="0.25" r="36" customHeight="1" ht="18.75">
      <c r="A36" s="13" t="s">
        <v>47</v>
      </c>
      <c r="B36" s="37">
        <v>900</v>
      </c>
      <c r="C36" s="13" t="s">
        <v>3</v>
      </c>
      <c r="D36" s="13" t="s">
        <v>48</v>
      </c>
      <c r="E36" s="38">
        <v>45658</v>
      </c>
      <c r="F36" s="38">
        <v>46022</v>
      </c>
      <c r="G36" s="39">
        <v>34</v>
      </c>
      <c r="H36" s="13" t="s">
        <v>161</v>
      </c>
      <c r="I36" s="38">
        <v>26448</v>
      </c>
      <c r="J36" s="38">
        <v>45658</v>
      </c>
      <c r="K36" s="40" t="s">
        <v>50</v>
      </c>
      <c r="L36" s="13" t="s">
        <v>51</v>
      </c>
      <c r="M36" s="13" t="s">
        <v>52</v>
      </c>
      <c r="N36" s="13" t="s">
        <v>162</v>
      </c>
      <c r="O36" s="13" t="s">
        <v>54</v>
      </c>
      <c r="P36" s="13" t="s">
        <v>55</v>
      </c>
      <c r="Q36" s="38">
        <v>26448</v>
      </c>
      <c r="R36" s="13" t="s">
        <v>163</v>
      </c>
      <c r="S36" s="41" t="s">
        <v>57</v>
      </c>
      <c r="T36" s="37">
        <v>1200000</v>
      </c>
      <c r="U36" s="38">
        <v>45715</v>
      </c>
      <c r="V36" s="39">
        <v>2025</v>
      </c>
      <c r="W36" s="42">
        <v>45713</v>
      </c>
      <c r="X36" s="41" t="s">
        <v>65</v>
      </c>
      <c r="Y36" s="38">
        <v>45809</v>
      </c>
      <c r="Z36" s="49">
        <v>1200000</v>
      </c>
      <c r="AA36" s="48">
        <f>T36-Z36</f>
      </c>
      <c r="AB36" s="43">
        <f>IF($AB$1&lt;W36,0,IF($AB$1&gt;Y36,0,T36))</f>
      </c>
      <c r="AC36" s="43">
        <f>IF($AC$2&lt;U36,0,IF(AND($AC$2&gt;U36,$AC$2&lt;Y36),T36,IF(X36="REJET",0,T36-Z36)))</f>
      </c>
      <c r="AD36" s="1"/>
      <c r="AE36" s="23"/>
      <c r="AF36" s="24"/>
      <c r="AG36" s="25"/>
    </row>
    <row x14ac:dyDescent="0.25" r="37" customHeight="1" ht="18.75">
      <c r="A37" s="13" t="s">
        <v>47</v>
      </c>
      <c r="B37" s="37">
        <v>900</v>
      </c>
      <c r="C37" s="13" t="s">
        <v>3</v>
      </c>
      <c r="D37" s="13" t="s">
        <v>48</v>
      </c>
      <c r="E37" s="38">
        <v>45658</v>
      </c>
      <c r="F37" s="38">
        <v>46022</v>
      </c>
      <c r="G37" s="39">
        <v>35</v>
      </c>
      <c r="H37" s="13" t="s">
        <v>164</v>
      </c>
      <c r="I37" s="38">
        <v>24560</v>
      </c>
      <c r="J37" s="38">
        <v>45658</v>
      </c>
      <c r="K37" s="40" t="s">
        <v>50</v>
      </c>
      <c r="L37" s="13" t="s">
        <v>51</v>
      </c>
      <c r="M37" s="13" t="s">
        <v>52</v>
      </c>
      <c r="N37" s="13" t="s">
        <v>165</v>
      </c>
      <c r="O37" s="13" t="s">
        <v>54</v>
      </c>
      <c r="P37" s="13" t="s">
        <v>55</v>
      </c>
      <c r="Q37" s="38">
        <v>24560</v>
      </c>
      <c r="R37" s="13" t="s">
        <v>166</v>
      </c>
      <c r="S37" s="41" t="s">
        <v>57</v>
      </c>
      <c r="T37" s="37">
        <v>1200000</v>
      </c>
      <c r="U37" s="38">
        <v>45718</v>
      </c>
      <c r="V37" s="39">
        <v>2025</v>
      </c>
      <c r="W37" s="42">
        <v>45718</v>
      </c>
      <c r="X37" s="41" t="s">
        <v>58</v>
      </c>
      <c r="Y37" s="38">
        <v>45851</v>
      </c>
      <c r="Z37" s="39">
        <v>0</v>
      </c>
      <c r="AA37" s="38"/>
      <c r="AB37" s="43">
        <f>IF($AB$1&lt;W37,0,IF($AB$1&gt;Y37,0,T37))</f>
      </c>
      <c r="AC37" s="43">
        <f>IF($AC$2&lt;U37,0,IF(AND($AC$2&gt;U37,$AC$2&lt;Y37),T37,IF(X37="REJET",0,T37-Z37)))</f>
      </c>
      <c r="AD37" s="1"/>
      <c r="AE37" s="23"/>
      <c r="AF37" s="24"/>
      <c r="AG37" s="25"/>
    </row>
    <row x14ac:dyDescent="0.25" r="38" customHeight="1" ht="18.75">
      <c r="A38" s="13" t="s">
        <v>47</v>
      </c>
      <c r="B38" s="37">
        <v>900</v>
      </c>
      <c r="C38" s="13" t="s">
        <v>3</v>
      </c>
      <c r="D38" s="13" t="s">
        <v>48</v>
      </c>
      <c r="E38" s="38">
        <v>45658</v>
      </c>
      <c r="F38" s="38">
        <v>46022</v>
      </c>
      <c r="G38" s="39">
        <v>36</v>
      </c>
      <c r="H38" s="13" t="s">
        <v>167</v>
      </c>
      <c r="I38" s="38">
        <v>33573</v>
      </c>
      <c r="J38" s="38">
        <v>45658</v>
      </c>
      <c r="K38" s="40" t="s">
        <v>50</v>
      </c>
      <c r="L38" s="13" t="s">
        <v>51</v>
      </c>
      <c r="M38" s="13" t="s">
        <v>52</v>
      </c>
      <c r="N38" s="13" t="s">
        <v>168</v>
      </c>
      <c r="O38" s="13" t="s">
        <v>54</v>
      </c>
      <c r="P38" s="13" t="s">
        <v>55</v>
      </c>
      <c r="Q38" s="38">
        <v>33573</v>
      </c>
      <c r="R38" s="13" t="s">
        <v>169</v>
      </c>
      <c r="S38" s="41" t="s">
        <v>75</v>
      </c>
      <c r="T38" s="37">
        <v>6000000</v>
      </c>
      <c r="U38" s="38">
        <v>45718</v>
      </c>
      <c r="V38" s="39">
        <v>2025</v>
      </c>
      <c r="W38" s="42">
        <v>45718</v>
      </c>
      <c r="X38" s="41" t="s">
        <v>6</v>
      </c>
      <c r="Y38" s="38"/>
      <c r="Z38" s="50"/>
      <c r="AA38" s="38"/>
      <c r="AB38" s="43">
        <f>IF($AB$1&lt;W38,0,IF($AB$1&gt;Y38,0,T38))</f>
      </c>
      <c r="AC38" s="43">
        <f>IF($AC$2&lt;U38,0,IF(AND($AC$2&gt;U38,$AC$2&lt;Y38),T38,IF(X38="REJET",0,T38-Z38)))</f>
      </c>
      <c r="AD38" s="1"/>
      <c r="AE38" s="23"/>
      <c r="AF38" s="24"/>
      <c r="AG38" s="25"/>
    </row>
    <row x14ac:dyDescent="0.25" r="39" customHeight="1" ht="18.75">
      <c r="A39" s="13" t="s">
        <v>47</v>
      </c>
      <c r="B39" s="37">
        <v>900</v>
      </c>
      <c r="C39" s="13" t="s">
        <v>3</v>
      </c>
      <c r="D39" s="13" t="s">
        <v>48</v>
      </c>
      <c r="E39" s="38">
        <v>45658</v>
      </c>
      <c r="F39" s="38">
        <v>46022</v>
      </c>
      <c r="G39" s="39">
        <v>37</v>
      </c>
      <c r="H39" s="13" t="s">
        <v>170</v>
      </c>
      <c r="I39" s="38">
        <v>25239</v>
      </c>
      <c r="J39" s="38">
        <v>45658</v>
      </c>
      <c r="K39" s="40" t="s">
        <v>50</v>
      </c>
      <c r="L39" s="13" t="s">
        <v>51</v>
      </c>
      <c r="M39" s="13" t="s">
        <v>52</v>
      </c>
      <c r="N39" s="13" t="s">
        <v>171</v>
      </c>
      <c r="O39" s="13" t="s">
        <v>54</v>
      </c>
      <c r="P39" s="13" t="s">
        <v>55</v>
      </c>
      <c r="Q39" s="38">
        <v>25239</v>
      </c>
      <c r="R39" s="13" t="s">
        <v>172</v>
      </c>
      <c r="S39" s="41" t="s">
        <v>57</v>
      </c>
      <c r="T39" s="37">
        <v>1200000</v>
      </c>
      <c r="U39" s="38">
        <v>45719</v>
      </c>
      <c r="V39" s="39">
        <v>2025</v>
      </c>
      <c r="W39" s="42">
        <v>45708</v>
      </c>
      <c r="X39" s="41" t="s">
        <v>58</v>
      </c>
      <c r="Y39" s="38">
        <v>45782</v>
      </c>
      <c r="Z39" s="39">
        <v>0</v>
      </c>
      <c r="AA39" s="38"/>
      <c r="AB39" s="43">
        <f>IF($AB$1&lt;W39,0,IF($AB$1&gt;Y39,0,T39))</f>
      </c>
      <c r="AC39" s="43">
        <f>IF($AC$2&lt;U39,0,IF(AND($AC$2&gt;U39,$AC$2&lt;Y39),T39,IF(X39="REJET",0,T39-Z39)))</f>
      </c>
      <c r="AD39" s="1"/>
      <c r="AE39" s="23"/>
      <c r="AF39" s="24"/>
      <c r="AG39" s="25"/>
    </row>
    <row x14ac:dyDescent="0.25" r="40" customHeight="1" ht="18.75">
      <c r="A40" s="13" t="s">
        <v>47</v>
      </c>
      <c r="B40" s="37">
        <v>900</v>
      </c>
      <c r="C40" s="13" t="s">
        <v>3</v>
      </c>
      <c r="D40" s="13" t="s">
        <v>48</v>
      </c>
      <c r="E40" s="38">
        <v>45658</v>
      </c>
      <c r="F40" s="38">
        <v>46022</v>
      </c>
      <c r="G40" s="39">
        <v>38</v>
      </c>
      <c r="H40" s="13" t="s">
        <v>173</v>
      </c>
      <c r="I40" s="38">
        <v>23006</v>
      </c>
      <c r="J40" s="38">
        <v>45658</v>
      </c>
      <c r="K40" s="40" t="s">
        <v>50</v>
      </c>
      <c r="L40" s="13" t="s">
        <v>51</v>
      </c>
      <c r="M40" s="13" t="s">
        <v>52</v>
      </c>
      <c r="N40" s="13" t="s">
        <v>174</v>
      </c>
      <c r="O40" s="13" t="s">
        <v>54</v>
      </c>
      <c r="P40" s="13" t="s">
        <v>55</v>
      </c>
      <c r="Q40" s="38">
        <v>23006</v>
      </c>
      <c r="R40" s="13" t="s">
        <v>175</v>
      </c>
      <c r="S40" s="41" t="s">
        <v>57</v>
      </c>
      <c r="T40" s="37">
        <v>1200000</v>
      </c>
      <c r="U40" s="38">
        <v>45719</v>
      </c>
      <c r="V40" s="39">
        <v>2025</v>
      </c>
      <c r="W40" s="42">
        <v>45719</v>
      </c>
      <c r="X40" s="41" t="s">
        <v>6</v>
      </c>
      <c r="Y40" s="38"/>
      <c r="Z40" s="50"/>
      <c r="AA40" s="38"/>
      <c r="AB40" s="43">
        <f>IF($AB$1&lt;W40,0,IF($AB$1&gt;Y40,0,T40))</f>
      </c>
      <c r="AC40" s="43">
        <f>IF($AC$2&lt;U40,0,IF(AND($AC$2&gt;U40,$AC$2&lt;Y40),T40,IF(X40="REJET",0,T40-Z40)))</f>
      </c>
      <c r="AD40" s="1"/>
      <c r="AE40" s="23"/>
      <c r="AF40" s="24"/>
      <c r="AG40" s="25"/>
    </row>
    <row x14ac:dyDescent="0.25" r="41" customHeight="1" ht="18.75">
      <c r="A41" s="13" t="s">
        <v>47</v>
      </c>
      <c r="B41" s="37">
        <v>900</v>
      </c>
      <c r="C41" s="13" t="s">
        <v>3</v>
      </c>
      <c r="D41" s="13" t="s">
        <v>48</v>
      </c>
      <c r="E41" s="38">
        <v>45658</v>
      </c>
      <c r="F41" s="38">
        <v>46022</v>
      </c>
      <c r="G41" s="39">
        <v>39</v>
      </c>
      <c r="H41" s="13" t="s">
        <v>176</v>
      </c>
      <c r="I41" s="38">
        <v>32628</v>
      </c>
      <c r="J41" s="38">
        <v>45658</v>
      </c>
      <c r="K41" s="40" t="s">
        <v>50</v>
      </c>
      <c r="L41" s="13" t="s">
        <v>51</v>
      </c>
      <c r="M41" s="13" t="s">
        <v>52</v>
      </c>
      <c r="N41" s="13" t="s">
        <v>177</v>
      </c>
      <c r="O41" s="13" t="s">
        <v>54</v>
      </c>
      <c r="P41" s="13" t="s">
        <v>55</v>
      </c>
      <c r="Q41" s="38">
        <v>32628</v>
      </c>
      <c r="R41" s="13" t="s">
        <v>178</v>
      </c>
      <c r="S41" s="41" t="s">
        <v>75</v>
      </c>
      <c r="T41" s="37">
        <v>6000000</v>
      </c>
      <c r="U41" s="38">
        <v>45719</v>
      </c>
      <c r="V41" s="39">
        <v>2025</v>
      </c>
      <c r="W41" s="42">
        <v>45719</v>
      </c>
      <c r="X41" s="41" t="s">
        <v>6</v>
      </c>
      <c r="Y41" s="38"/>
      <c r="Z41" s="50"/>
      <c r="AA41" s="38"/>
      <c r="AB41" s="43">
        <f>IF($AB$1&lt;W41,0,IF($AB$1&gt;Y41,0,T41))</f>
      </c>
      <c r="AC41" s="43">
        <f>IF($AC$2&lt;U41,0,IF(AND($AC$2&gt;U41,$AC$2&lt;Y41),T41,IF(X41="REJET",0,T41-Z41)))</f>
      </c>
      <c r="AD41" s="1"/>
      <c r="AE41" s="23"/>
      <c r="AF41" s="24"/>
      <c r="AG41" s="25"/>
    </row>
    <row x14ac:dyDescent="0.25" r="42" customHeight="1" ht="18.75">
      <c r="A42" s="13" t="s">
        <v>47</v>
      </c>
      <c r="B42" s="37">
        <v>900</v>
      </c>
      <c r="C42" s="13" t="s">
        <v>3</v>
      </c>
      <c r="D42" s="13" t="s">
        <v>48</v>
      </c>
      <c r="E42" s="38">
        <v>45658</v>
      </c>
      <c r="F42" s="38">
        <v>46022</v>
      </c>
      <c r="G42" s="39">
        <v>40</v>
      </c>
      <c r="H42" s="13" t="s">
        <v>179</v>
      </c>
      <c r="I42" s="38">
        <v>24454</v>
      </c>
      <c r="J42" s="38">
        <v>45658</v>
      </c>
      <c r="K42" s="40" t="s">
        <v>50</v>
      </c>
      <c r="L42" s="13" t="s">
        <v>51</v>
      </c>
      <c r="M42" s="13" t="s">
        <v>52</v>
      </c>
      <c r="N42" s="13" t="s">
        <v>180</v>
      </c>
      <c r="O42" s="13" t="s">
        <v>54</v>
      </c>
      <c r="P42" s="13" t="s">
        <v>55</v>
      </c>
      <c r="Q42" s="38">
        <v>24454</v>
      </c>
      <c r="R42" s="13" t="s">
        <v>181</v>
      </c>
      <c r="S42" s="41" t="s">
        <v>57</v>
      </c>
      <c r="T42" s="37">
        <v>1200000</v>
      </c>
      <c r="U42" s="38">
        <v>45724</v>
      </c>
      <c r="V42" s="39">
        <v>2025</v>
      </c>
      <c r="W42" s="42">
        <v>45724</v>
      </c>
      <c r="X42" s="41" t="s">
        <v>58</v>
      </c>
      <c r="Y42" s="38">
        <v>45851</v>
      </c>
      <c r="Z42" s="39">
        <v>0</v>
      </c>
      <c r="AA42" s="38"/>
      <c r="AB42" s="43">
        <f>IF($AB$1&lt;W42,0,IF($AB$1&gt;Y42,0,T42))</f>
      </c>
      <c r="AC42" s="43">
        <f>IF($AC$2&lt;U42,0,IF(AND($AC$2&gt;U42,$AC$2&lt;Y42),T42,IF(X42="REJET",0,T42-Z42)))</f>
      </c>
      <c r="AD42" s="1"/>
      <c r="AE42" s="23"/>
      <c r="AF42" s="24"/>
      <c r="AG42" s="25"/>
    </row>
    <row x14ac:dyDescent="0.25" r="43" customHeight="1" ht="18.75">
      <c r="A43" s="13" t="s">
        <v>47</v>
      </c>
      <c r="B43" s="37">
        <v>900</v>
      </c>
      <c r="C43" s="13" t="s">
        <v>3</v>
      </c>
      <c r="D43" s="13" t="s">
        <v>48</v>
      </c>
      <c r="E43" s="38">
        <v>45658</v>
      </c>
      <c r="F43" s="38">
        <v>46022</v>
      </c>
      <c r="G43" s="39">
        <v>41</v>
      </c>
      <c r="H43" s="13" t="s">
        <v>182</v>
      </c>
      <c r="I43" s="38">
        <v>23018</v>
      </c>
      <c r="J43" s="38">
        <v>45658</v>
      </c>
      <c r="K43" s="40" t="s">
        <v>50</v>
      </c>
      <c r="L43" s="13" t="s">
        <v>51</v>
      </c>
      <c r="M43" s="13" t="s">
        <v>52</v>
      </c>
      <c r="N43" s="13" t="s">
        <v>183</v>
      </c>
      <c r="O43" s="13" t="s">
        <v>54</v>
      </c>
      <c r="P43" s="13" t="s">
        <v>55</v>
      </c>
      <c r="Q43" s="38">
        <v>23018</v>
      </c>
      <c r="R43" s="13" t="s">
        <v>184</v>
      </c>
      <c r="S43" s="41" t="s">
        <v>57</v>
      </c>
      <c r="T43" s="37">
        <v>1200000</v>
      </c>
      <c r="U43" s="38">
        <v>45727</v>
      </c>
      <c r="V43" s="39">
        <v>2025</v>
      </c>
      <c r="W43" s="42">
        <v>45727</v>
      </c>
      <c r="X43" s="41" t="s">
        <v>6</v>
      </c>
      <c r="Y43" s="38"/>
      <c r="Z43" s="50"/>
      <c r="AA43" s="38"/>
      <c r="AB43" s="43">
        <f>IF($AB$1&lt;W43,0,IF($AB$1&gt;Y43,0,T43))</f>
      </c>
      <c r="AC43" s="43">
        <f>IF($AC$2&lt;U43,0,IF(AND($AC$2&gt;U43,$AC$2&lt;Y43),T43,IF(X43="REJET",0,T43-Z43)))</f>
      </c>
      <c r="AD43" s="1"/>
      <c r="AE43" s="23"/>
      <c r="AF43" s="24"/>
      <c r="AG43" s="25"/>
    </row>
    <row x14ac:dyDescent="0.25" r="44" customHeight="1" ht="18.75">
      <c r="A44" s="13" t="s">
        <v>47</v>
      </c>
      <c r="B44" s="37">
        <v>900</v>
      </c>
      <c r="C44" s="13" t="s">
        <v>3</v>
      </c>
      <c r="D44" s="13" t="s">
        <v>48</v>
      </c>
      <c r="E44" s="38">
        <v>45658</v>
      </c>
      <c r="F44" s="38">
        <v>46022</v>
      </c>
      <c r="G44" s="39">
        <v>42</v>
      </c>
      <c r="H44" s="13" t="s">
        <v>185</v>
      </c>
      <c r="I44" s="38">
        <v>28767</v>
      </c>
      <c r="J44" s="38">
        <v>45658</v>
      </c>
      <c r="K44" s="40" t="s">
        <v>50</v>
      </c>
      <c r="L44" s="13" t="s">
        <v>51</v>
      </c>
      <c r="M44" s="13" t="s">
        <v>52</v>
      </c>
      <c r="N44" s="13" t="s">
        <v>186</v>
      </c>
      <c r="O44" s="13" t="s">
        <v>54</v>
      </c>
      <c r="P44" s="13" t="s">
        <v>55</v>
      </c>
      <c r="Q44" s="38">
        <v>28767</v>
      </c>
      <c r="R44" s="13" t="s">
        <v>187</v>
      </c>
      <c r="S44" s="41" t="s">
        <v>57</v>
      </c>
      <c r="T44" s="37">
        <v>1200000</v>
      </c>
      <c r="U44" s="38">
        <v>45732</v>
      </c>
      <c r="V44" s="39">
        <v>2025</v>
      </c>
      <c r="W44" s="42">
        <v>45732</v>
      </c>
      <c r="X44" s="41" t="s">
        <v>6</v>
      </c>
      <c r="Y44" s="38"/>
      <c r="Z44" s="50"/>
      <c r="AA44" s="38"/>
      <c r="AB44" s="43">
        <f>IF($AB$1&lt;W44,0,IF($AB$1&gt;Y44,0,T44))</f>
      </c>
      <c r="AC44" s="43">
        <f>IF($AC$2&lt;U44,0,IF(AND($AC$2&gt;U44,$AC$2&lt;Y44),T44,IF(X44="REJET",0,T44-Z44)))</f>
      </c>
      <c r="AD44" s="1"/>
      <c r="AE44" s="23"/>
      <c r="AF44" s="24"/>
      <c r="AG44" s="25"/>
    </row>
    <row x14ac:dyDescent="0.25" r="45" customHeight="1" ht="18.75">
      <c r="A45" s="13" t="s">
        <v>47</v>
      </c>
      <c r="B45" s="37">
        <v>900</v>
      </c>
      <c r="C45" s="13" t="s">
        <v>3</v>
      </c>
      <c r="D45" s="13" t="s">
        <v>48</v>
      </c>
      <c r="E45" s="38">
        <v>45658</v>
      </c>
      <c r="F45" s="38">
        <v>46022</v>
      </c>
      <c r="G45" s="39">
        <v>43</v>
      </c>
      <c r="H45" s="13" t="s">
        <v>188</v>
      </c>
      <c r="I45" s="38">
        <v>22677</v>
      </c>
      <c r="J45" s="38">
        <v>45658</v>
      </c>
      <c r="K45" s="40" t="s">
        <v>50</v>
      </c>
      <c r="L45" s="13" t="s">
        <v>51</v>
      </c>
      <c r="M45" s="13" t="s">
        <v>52</v>
      </c>
      <c r="N45" s="13" t="s">
        <v>189</v>
      </c>
      <c r="O45" s="13" t="s">
        <v>54</v>
      </c>
      <c r="P45" s="13" t="s">
        <v>55</v>
      </c>
      <c r="Q45" s="38">
        <v>22677</v>
      </c>
      <c r="R45" s="13" t="s">
        <v>190</v>
      </c>
      <c r="S45" s="41" t="s">
        <v>82</v>
      </c>
      <c r="T45" s="37">
        <v>6000000</v>
      </c>
      <c r="U45" s="38">
        <v>45734</v>
      </c>
      <c r="V45" s="39">
        <v>2025</v>
      </c>
      <c r="W45" s="42">
        <v>45732</v>
      </c>
      <c r="X45" s="41" t="s">
        <v>6</v>
      </c>
      <c r="Y45" s="38"/>
      <c r="Z45" s="50"/>
      <c r="AA45" s="38"/>
      <c r="AB45" s="43">
        <f>IF($AB$1&lt;W45,0,IF($AB$1&gt;Y45,0,T45))</f>
      </c>
      <c r="AC45" s="43">
        <f>IF($AC$2&lt;U45,0,IF(AND($AC$2&gt;U45,$AC$2&lt;Y45),T45,IF(X45="REJET",0,T45-Z45)))</f>
      </c>
      <c r="AD45" s="1"/>
      <c r="AE45" s="23"/>
      <c r="AF45" s="24"/>
      <c r="AG45" s="25"/>
    </row>
    <row x14ac:dyDescent="0.25" r="46" customHeight="1" ht="18.75">
      <c r="A46" s="13" t="s">
        <v>47</v>
      </c>
      <c r="B46" s="37">
        <v>900</v>
      </c>
      <c r="C46" s="13" t="s">
        <v>3</v>
      </c>
      <c r="D46" s="13" t="s">
        <v>48</v>
      </c>
      <c r="E46" s="38">
        <v>45658</v>
      </c>
      <c r="F46" s="38">
        <v>46022</v>
      </c>
      <c r="G46" s="39">
        <v>44</v>
      </c>
      <c r="H46" s="13" t="s">
        <v>191</v>
      </c>
      <c r="I46" s="38">
        <v>27782</v>
      </c>
      <c r="J46" s="38">
        <v>45658</v>
      </c>
      <c r="K46" s="40" t="s">
        <v>50</v>
      </c>
      <c r="L46" s="13" t="s">
        <v>51</v>
      </c>
      <c r="M46" s="13" t="s">
        <v>52</v>
      </c>
      <c r="N46" s="13" t="s">
        <v>192</v>
      </c>
      <c r="O46" s="13" t="s">
        <v>54</v>
      </c>
      <c r="P46" s="13" t="s">
        <v>55</v>
      </c>
      <c r="Q46" s="38">
        <v>27782</v>
      </c>
      <c r="R46" s="13" t="s">
        <v>193</v>
      </c>
      <c r="S46" s="41" t="s">
        <v>57</v>
      </c>
      <c r="T46" s="37">
        <v>1200000</v>
      </c>
      <c r="U46" s="38">
        <v>45734</v>
      </c>
      <c r="V46" s="39">
        <v>2025</v>
      </c>
      <c r="W46" s="42">
        <v>45713</v>
      </c>
      <c r="X46" s="41" t="s">
        <v>65</v>
      </c>
      <c r="Y46" s="38">
        <v>45823</v>
      </c>
      <c r="Z46" s="49">
        <v>1200000</v>
      </c>
      <c r="AA46" s="48">
        <f>T46-Z46</f>
      </c>
      <c r="AB46" s="43">
        <f>IF($AB$1&lt;W46,0,IF($AB$1&gt;Y46,0,T46))</f>
      </c>
      <c r="AC46" s="43">
        <f>IF($AC$2&lt;U46,0,IF(AND($AC$2&gt;U46,$AC$2&lt;Y46),T46,IF(X46="REJET",0,T46-Z46)))</f>
      </c>
      <c r="AD46" s="1"/>
      <c r="AE46" s="23"/>
      <c r="AF46" s="24"/>
      <c r="AG46" s="25"/>
    </row>
    <row x14ac:dyDescent="0.25" r="47" customHeight="1" ht="18.75">
      <c r="A47" s="13" t="s">
        <v>47</v>
      </c>
      <c r="B47" s="37">
        <v>900</v>
      </c>
      <c r="C47" s="13" t="s">
        <v>3</v>
      </c>
      <c r="D47" s="13" t="s">
        <v>48</v>
      </c>
      <c r="E47" s="38">
        <v>45658</v>
      </c>
      <c r="F47" s="38">
        <v>46022</v>
      </c>
      <c r="G47" s="39">
        <v>45</v>
      </c>
      <c r="H47" s="13" t="s">
        <v>194</v>
      </c>
      <c r="I47" s="38">
        <v>25876</v>
      </c>
      <c r="J47" s="38">
        <v>45658</v>
      </c>
      <c r="K47" s="40" t="s">
        <v>50</v>
      </c>
      <c r="L47" s="13" t="s">
        <v>51</v>
      </c>
      <c r="M47" s="13" t="s">
        <v>52</v>
      </c>
      <c r="N47" s="13" t="s">
        <v>195</v>
      </c>
      <c r="O47" s="13" t="s">
        <v>62</v>
      </c>
      <c r="P47" s="13" t="s">
        <v>63</v>
      </c>
      <c r="Q47" s="38">
        <v>25876</v>
      </c>
      <c r="R47" s="13" t="s">
        <v>196</v>
      </c>
      <c r="S47" s="41" t="s">
        <v>82</v>
      </c>
      <c r="T47" s="37">
        <v>6000000</v>
      </c>
      <c r="U47" s="38">
        <v>45736</v>
      </c>
      <c r="V47" s="39">
        <v>2025</v>
      </c>
      <c r="W47" s="42">
        <v>45735</v>
      </c>
      <c r="X47" s="41" t="s">
        <v>65</v>
      </c>
      <c r="Y47" s="38">
        <v>45823</v>
      </c>
      <c r="Z47" s="49">
        <v>6000000</v>
      </c>
      <c r="AA47" s="48">
        <f>T47-Z47</f>
      </c>
      <c r="AB47" s="43">
        <f>IF($AB$1&lt;W47,0,IF($AB$1&gt;Y47,0,T47))</f>
      </c>
      <c r="AC47" s="43">
        <f>IF($AC$2&lt;U47,0,IF(AND($AC$2&gt;U47,$AC$2&lt;Y47),T47,IF(X47="REJET",0,T47-Z47)))</f>
      </c>
      <c r="AD47" s="1"/>
      <c r="AE47" s="23"/>
      <c r="AF47" s="24"/>
      <c r="AG47" s="25"/>
    </row>
    <row x14ac:dyDescent="0.25" r="48" customHeight="1" ht="18.75">
      <c r="A48" s="13" t="s">
        <v>47</v>
      </c>
      <c r="B48" s="37">
        <v>900</v>
      </c>
      <c r="C48" s="13" t="s">
        <v>3</v>
      </c>
      <c r="D48" s="13" t="s">
        <v>48</v>
      </c>
      <c r="E48" s="38">
        <v>45658</v>
      </c>
      <c r="F48" s="38">
        <v>46022</v>
      </c>
      <c r="G48" s="39">
        <v>46</v>
      </c>
      <c r="H48" s="13" t="s">
        <v>197</v>
      </c>
      <c r="I48" s="38">
        <v>29209</v>
      </c>
      <c r="J48" s="38">
        <v>45658</v>
      </c>
      <c r="K48" s="40" t="s">
        <v>50</v>
      </c>
      <c r="L48" s="13" t="s">
        <v>51</v>
      </c>
      <c r="M48" s="13" t="s">
        <v>52</v>
      </c>
      <c r="N48" s="13" t="s">
        <v>198</v>
      </c>
      <c r="O48" s="13" t="s">
        <v>62</v>
      </c>
      <c r="P48" s="13" t="s">
        <v>63</v>
      </c>
      <c r="Q48" s="38">
        <v>29209</v>
      </c>
      <c r="R48" s="13" t="s">
        <v>199</v>
      </c>
      <c r="S48" s="41" t="s">
        <v>57</v>
      </c>
      <c r="T48" s="37">
        <v>1200000</v>
      </c>
      <c r="U48" s="38">
        <v>45738</v>
      </c>
      <c r="V48" s="39">
        <v>2025</v>
      </c>
      <c r="W48" s="42">
        <v>45707</v>
      </c>
      <c r="X48" s="41" t="s">
        <v>65</v>
      </c>
      <c r="Y48" s="38">
        <v>45809</v>
      </c>
      <c r="Z48" s="49">
        <v>1200000</v>
      </c>
      <c r="AA48" s="48">
        <f>T48-Z48</f>
      </c>
      <c r="AB48" s="43">
        <f>IF($AB$1&lt;W48,0,IF($AB$1&gt;Y48,0,T48))</f>
      </c>
      <c r="AC48" s="43">
        <f>IF($AC$2&lt;U48,0,IF(AND($AC$2&gt;U48,$AC$2&lt;Y48),T48,IF(X48="REJET",0,T48-Z48)))</f>
      </c>
      <c r="AD48" s="1"/>
      <c r="AE48" s="23"/>
      <c r="AF48" s="24"/>
      <c r="AG48" s="25"/>
    </row>
    <row x14ac:dyDescent="0.25" r="49" customHeight="1" ht="18.75">
      <c r="A49" s="13" t="s">
        <v>47</v>
      </c>
      <c r="B49" s="37">
        <v>900</v>
      </c>
      <c r="C49" s="13" t="s">
        <v>3</v>
      </c>
      <c r="D49" s="13" t="s">
        <v>48</v>
      </c>
      <c r="E49" s="38">
        <v>45658</v>
      </c>
      <c r="F49" s="38">
        <v>46022</v>
      </c>
      <c r="G49" s="39">
        <v>47</v>
      </c>
      <c r="H49" s="13" t="s">
        <v>200</v>
      </c>
      <c r="I49" s="38">
        <v>24276</v>
      </c>
      <c r="J49" s="38">
        <v>45658</v>
      </c>
      <c r="K49" s="40" t="s">
        <v>50</v>
      </c>
      <c r="L49" s="13" t="s">
        <v>51</v>
      </c>
      <c r="M49" s="13" t="s">
        <v>52</v>
      </c>
      <c r="N49" s="13" t="s">
        <v>201</v>
      </c>
      <c r="O49" s="13" t="s">
        <v>54</v>
      </c>
      <c r="P49" s="13" t="s">
        <v>55</v>
      </c>
      <c r="Q49" s="38">
        <v>24276</v>
      </c>
      <c r="R49" s="13" t="s">
        <v>202</v>
      </c>
      <c r="S49" s="41" t="s">
        <v>57</v>
      </c>
      <c r="T49" s="37">
        <v>1200000</v>
      </c>
      <c r="U49" s="38">
        <v>45739</v>
      </c>
      <c r="V49" s="39">
        <v>2025</v>
      </c>
      <c r="W49" s="42">
        <v>45739</v>
      </c>
      <c r="X49" s="41" t="s">
        <v>6</v>
      </c>
      <c r="Y49" s="38"/>
      <c r="Z49" s="50"/>
      <c r="AA49" s="38"/>
      <c r="AB49" s="43">
        <f>IF($AB$1&lt;W49,0,IF($AB$1&gt;Y49,0,T49))</f>
      </c>
      <c r="AC49" s="43">
        <f>IF($AC$2&lt;U49,0,IF(AND($AC$2&gt;U49,$AC$2&lt;Y49),T49,IF(X49="REJET",0,T49-Z49)))</f>
      </c>
      <c r="AD49" s="1"/>
      <c r="AE49" s="23"/>
      <c r="AF49" s="24"/>
      <c r="AG49" s="25"/>
    </row>
    <row x14ac:dyDescent="0.25" r="50" customHeight="1" ht="18.75">
      <c r="A50" s="13" t="s">
        <v>47</v>
      </c>
      <c r="B50" s="37">
        <v>900</v>
      </c>
      <c r="C50" s="13" t="s">
        <v>3</v>
      </c>
      <c r="D50" s="13" t="s">
        <v>48</v>
      </c>
      <c r="E50" s="38">
        <v>45658</v>
      </c>
      <c r="F50" s="38">
        <v>46022</v>
      </c>
      <c r="G50" s="39">
        <v>48</v>
      </c>
      <c r="H50" s="13" t="s">
        <v>203</v>
      </c>
      <c r="I50" s="38">
        <v>26254</v>
      </c>
      <c r="J50" s="38">
        <v>45658</v>
      </c>
      <c r="K50" s="40" t="s">
        <v>50</v>
      </c>
      <c r="L50" s="13" t="s">
        <v>51</v>
      </c>
      <c r="M50" s="13" t="s">
        <v>52</v>
      </c>
      <c r="N50" s="13" t="s">
        <v>204</v>
      </c>
      <c r="O50" s="13" t="s">
        <v>62</v>
      </c>
      <c r="P50" s="13" t="s">
        <v>63</v>
      </c>
      <c r="Q50" s="38">
        <v>26254</v>
      </c>
      <c r="R50" s="13" t="s">
        <v>205</v>
      </c>
      <c r="S50" s="41" t="s">
        <v>82</v>
      </c>
      <c r="T50" s="37">
        <v>4800000</v>
      </c>
      <c r="U50" s="38">
        <v>45740</v>
      </c>
      <c r="V50" s="39">
        <v>2025</v>
      </c>
      <c r="W50" s="42">
        <v>45736</v>
      </c>
      <c r="X50" s="41" t="s">
        <v>65</v>
      </c>
      <c r="Y50" s="38">
        <v>45838</v>
      </c>
      <c r="Z50" s="49">
        <v>4800000</v>
      </c>
      <c r="AA50" s="48">
        <f>T50-Z50</f>
      </c>
      <c r="AB50" s="43">
        <f>IF($AB$1&lt;W50,0,IF($AB$1&gt;Y50,0,T50))</f>
      </c>
      <c r="AC50" s="43">
        <f>IF($AC$2&lt;U50,0,IF(AND($AC$2&gt;U50,$AC$2&lt;Y50),T50,IF(X50="REJET",0,T50-Z50)))</f>
      </c>
      <c r="AD50" s="1"/>
      <c r="AE50" s="23"/>
      <c r="AF50" s="24"/>
      <c r="AG50" s="25"/>
    </row>
    <row x14ac:dyDescent="0.25" r="51" customHeight="1" ht="18.75">
      <c r="A51" s="13" t="s">
        <v>47</v>
      </c>
      <c r="B51" s="37">
        <v>900</v>
      </c>
      <c r="C51" s="13" t="s">
        <v>3</v>
      </c>
      <c r="D51" s="13" t="s">
        <v>48</v>
      </c>
      <c r="E51" s="38">
        <v>45658</v>
      </c>
      <c r="F51" s="38">
        <v>46022</v>
      </c>
      <c r="G51" s="39">
        <v>49</v>
      </c>
      <c r="H51" s="13" t="s">
        <v>206</v>
      </c>
      <c r="I51" s="38">
        <v>23905</v>
      </c>
      <c r="J51" s="38">
        <v>45658</v>
      </c>
      <c r="K51" s="40" t="s">
        <v>50</v>
      </c>
      <c r="L51" s="13" t="s">
        <v>51</v>
      </c>
      <c r="M51" s="13" t="s">
        <v>52</v>
      </c>
      <c r="N51" s="13" t="s">
        <v>207</v>
      </c>
      <c r="O51" s="13" t="s">
        <v>54</v>
      </c>
      <c r="P51" s="13" t="s">
        <v>55</v>
      </c>
      <c r="Q51" s="38">
        <v>23905</v>
      </c>
      <c r="R51" s="13" t="s">
        <v>208</v>
      </c>
      <c r="S51" s="41" t="s">
        <v>82</v>
      </c>
      <c r="T51" s="37">
        <v>6000000</v>
      </c>
      <c r="U51" s="38">
        <v>45742</v>
      </c>
      <c r="V51" s="39">
        <v>2025</v>
      </c>
      <c r="W51" s="42">
        <v>45740</v>
      </c>
      <c r="X51" s="41" t="s">
        <v>65</v>
      </c>
      <c r="Y51" s="38">
        <v>45838</v>
      </c>
      <c r="Z51" s="49">
        <v>6000000</v>
      </c>
      <c r="AA51" s="48">
        <f>T51-Z51</f>
      </c>
      <c r="AB51" s="43">
        <f>IF($AB$1&lt;W51,0,IF($AB$1&gt;Y51,0,T51))</f>
      </c>
      <c r="AC51" s="43">
        <f>IF($AC$2&lt;U51,0,IF(AND($AC$2&gt;U51,$AC$2&lt;Y51),T51,IF(X51="REJET",0,T51-Z51)))</f>
      </c>
      <c r="AD51" s="1"/>
      <c r="AE51" s="23"/>
      <c r="AF51" s="24"/>
      <c r="AG51" s="25"/>
    </row>
    <row x14ac:dyDescent="0.25" r="52" customHeight="1" ht="18.75">
      <c r="A52" s="13" t="s">
        <v>47</v>
      </c>
      <c r="B52" s="37">
        <v>900</v>
      </c>
      <c r="C52" s="13" t="s">
        <v>3</v>
      </c>
      <c r="D52" s="13" t="s">
        <v>48</v>
      </c>
      <c r="E52" s="38">
        <v>45658</v>
      </c>
      <c r="F52" s="38">
        <v>46022</v>
      </c>
      <c r="G52" s="39">
        <v>50</v>
      </c>
      <c r="H52" s="13" t="s">
        <v>209</v>
      </c>
      <c r="I52" s="38">
        <v>27100</v>
      </c>
      <c r="J52" s="38">
        <v>45658</v>
      </c>
      <c r="K52" s="40" t="s">
        <v>50</v>
      </c>
      <c r="L52" s="13" t="s">
        <v>51</v>
      </c>
      <c r="M52" s="13" t="s">
        <v>52</v>
      </c>
      <c r="N52" s="13" t="s">
        <v>210</v>
      </c>
      <c r="O52" s="13" t="s">
        <v>54</v>
      </c>
      <c r="P52" s="13" t="s">
        <v>55</v>
      </c>
      <c r="Q52" s="38">
        <v>27100</v>
      </c>
      <c r="R52" s="13" t="s">
        <v>211</v>
      </c>
      <c r="S52" s="41" t="s">
        <v>57</v>
      </c>
      <c r="T52" s="37">
        <v>1200000</v>
      </c>
      <c r="U52" s="38">
        <v>45742</v>
      </c>
      <c r="V52" s="39">
        <v>2025</v>
      </c>
      <c r="W52" s="42">
        <v>45742</v>
      </c>
      <c r="X52" s="41" t="s">
        <v>6</v>
      </c>
      <c r="Y52" s="38"/>
      <c r="Z52" s="50"/>
      <c r="AA52" s="38"/>
      <c r="AB52" s="43">
        <f>IF($AB$1&lt;W52,0,IF($AB$1&gt;Y52,0,T52))</f>
      </c>
      <c r="AC52" s="43">
        <f>IF($AC$2&lt;U52,0,IF(AND($AC$2&gt;U52,$AC$2&lt;Y52),T52,IF(X52="REJET",0,T52-Z52)))</f>
      </c>
      <c r="AD52" s="1"/>
      <c r="AE52" s="23"/>
      <c r="AF52" s="24"/>
      <c r="AG52" s="25"/>
    </row>
    <row x14ac:dyDescent="0.25" r="53" customHeight="1" ht="18.75">
      <c r="A53" s="13" t="s">
        <v>47</v>
      </c>
      <c r="B53" s="37">
        <v>900</v>
      </c>
      <c r="C53" s="13" t="s">
        <v>3</v>
      </c>
      <c r="D53" s="13" t="s">
        <v>48</v>
      </c>
      <c r="E53" s="38">
        <v>45658</v>
      </c>
      <c r="F53" s="38">
        <v>46022</v>
      </c>
      <c r="G53" s="39">
        <v>51</v>
      </c>
      <c r="H53" s="13" t="s">
        <v>212</v>
      </c>
      <c r="I53" s="38">
        <v>29793</v>
      </c>
      <c r="J53" s="38">
        <v>45658</v>
      </c>
      <c r="K53" s="40" t="s">
        <v>50</v>
      </c>
      <c r="L53" s="13" t="s">
        <v>51</v>
      </c>
      <c r="M53" s="13" t="s">
        <v>52</v>
      </c>
      <c r="N53" s="13" t="s">
        <v>213</v>
      </c>
      <c r="O53" s="13" t="s">
        <v>62</v>
      </c>
      <c r="P53" s="13" t="s">
        <v>63</v>
      </c>
      <c r="Q53" s="38">
        <v>29793</v>
      </c>
      <c r="R53" s="13" t="s">
        <v>214</v>
      </c>
      <c r="S53" s="41" t="s">
        <v>57</v>
      </c>
      <c r="T53" s="37">
        <v>1200000</v>
      </c>
      <c r="U53" s="38">
        <v>45743</v>
      </c>
      <c r="V53" s="39">
        <v>2025</v>
      </c>
      <c r="W53" s="42">
        <v>45711</v>
      </c>
      <c r="X53" s="41" t="s">
        <v>65</v>
      </c>
      <c r="Y53" s="38">
        <v>45812</v>
      </c>
      <c r="Z53" s="49">
        <v>1200000</v>
      </c>
      <c r="AA53" s="48">
        <f>T53-Z53</f>
      </c>
      <c r="AB53" s="43">
        <f>IF($AB$1&lt;W53,0,IF($AB$1&gt;Y53,0,T53))</f>
      </c>
      <c r="AC53" s="43">
        <f>IF($AC$2&lt;U53,0,IF(AND($AC$2&gt;U53,$AC$2&lt;Y53),T53,IF(X53="REJET",0,T53-Z53)))</f>
      </c>
      <c r="AD53" s="1"/>
      <c r="AE53" s="23"/>
      <c r="AF53" s="24"/>
      <c r="AG53" s="25"/>
    </row>
    <row x14ac:dyDescent="0.25" r="54" customHeight="1" ht="18.75">
      <c r="A54" s="13" t="s">
        <v>47</v>
      </c>
      <c r="B54" s="37">
        <v>900</v>
      </c>
      <c r="C54" s="13" t="s">
        <v>3</v>
      </c>
      <c r="D54" s="13" t="s">
        <v>48</v>
      </c>
      <c r="E54" s="38">
        <v>45658</v>
      </c>
      <c r="F54" s="38">
        <v>46022</v>
      </c>
      <c r="G54" s="39">
        <v>52</v>
      </c>
      <c r="H54" s="13" t="s">
        <v>215</v>
      </c>
      <c r="I54" s="38">
        <v>26983</v>
      </c>
      <c r="J54" s="38">
        <v>45658</v>
      </c>
      <c r="K54" s="40" t="s">
        <v>50</v>
      </c>
      <c r="L54" s="13" t="s">
        <v>51</v>
      </c>
      <c r="M54" s="13" t="s">
        <v>52</v>
      </c>
      <c r="N54" s="13" t="s">
        <v>216</v>
      </c>
      <c r="O54" s="13" t="s">
        <v>54</v>
      </c>
      <c r="P54" s="13" t="s">
        <v>55</v>
      </c>
      <c r="Q54" s="38">
        <v>26983</v>
      </c>
      <c r="R54" s="13" t="s">
        <v>217</v>
      </c>
      <c r="S54" s="41" t="s">
        <v>57</v>
      </c>
      <c r="T54" s="37">
        <v>1200000</v>
      </c>
      <c r="U54" s="38">
        <v>45743</v>
      </c>
      <c r="V54" s="39">
        <v>2025</v>
      </c>
      <c r="W54" s="42">
        <v>45743</v>
      </c>
      <c r="X54" s="41" t="s">
        <v>6</v>
      </c>
      <c r="Y54" s="38"/>
      <c r="Z54" s="50"/>
      <c r="AA54" s="38"/>
      <c r="AB54" s="43">
        <f>IF($AB$1&lt;W54,0,IF($AB$1&gt;Y54,0,T54))</f>
      </c>
      <c r="AC54" s="43">
        <f>IF($AC$2&lt;U54,0,IF(AND($AC$2&gt;U54,$AC$2&lt;Y54),T54,IF(X54="REJET",0,T54-Z54)))</f>
      </c>
      <c r="AD54" s="1"/>
      <c r="AE54" s="23"/>
      <c r="AF54" s="24"/>
      <c r="AG54" s="25"/>
    </row>
    <row x14ac:dyDescent="0.25" r="55" customHeight="1" ht="18.75">
      <c r="A55" s="13" t="s">
        <v>47</v>
      </c>
      <c r="B55" s="37">
        <v>900</v>
      </c>
      <c r="C55" s="13" t="s">
        <v>3</v>
      </c>
      <c r="D55" s="13" t="s">
        <v>48</v>
      </c>
      <c r="E55" s="38">
        <v>45658</v>
      </c>
      <c r="F55" s="38">
        <v>46022</v>
      </c>
      <c r="G55" s="39">
        <v>53</v>
      </c>
      <c r="H55" s="13" t="s">
        <v>218</v>
      </c>
      <c r="I55" s="38">
        <v>31660</v>
      </c>
      <c r="J55" s="38">
        <v>45658</v>
      </c>
      <c r="K55" s="40" t="s">
        <v>50</v>
      </c>
      <c r="L55" s="13" t="s">
        <v>51</v>
      </c>
      <c r="M55" s="13" t="s">
        <v>52</v>
      </c>
      <c r="N55" s="13" t="s">
        <v>219</v>
      </c>
      <c r="O55" s="13" t="s">
        <v>62</v>
      </c>
      <c r="P55" s="13" t="s">
        <v>63</v>
      </c>
      <c r="Q55" s="38">
        <v>31660</v>
      </c>
      <c r="R55" s="13" t="s">
        <v>220</v>
      </c>
      <c r="S55" s="41" t="s">
        <v>57</v>
      </c>
      <c r="T55" s="37">
        <v>1200000</v>
      </c>
      <c r="U55" s="38">
        <v>45753</v>
      </c>
      <c r="V55" s="39">
        <v>2025</v>
      </c>
      <c r="W55" s="42">
        <v>45742</v>
      </c>
      <c r="X55" s="41" t="s">
        <v>65</v>
      </c>
      <c r="Y55" s="38">
        <v>45809</v>
      </c>
      <c r="Z55" s="49">
        <v>1200000</v>
      </c>
      <c r="AA55" s="48">
        <f>T55-Z55</f>
      </c>
      <c r="AB55" s="43">
        <f>IF($AB$1&lt;W55,0,IF($AB$1&gt;Y55,0,T55))</f>
      </c>
      <c r="AC55" s="43">
        <f>IF($AC$2&lt;U55,0,IF(AND($AC$2&gt;U55,$AC$2&lt;Y55),T55,IF(X55="REJET",0,T55-Z55)))</f>
      </c>
      <c r="AD55" s="1"/>
      <c r="AE55" s="23"/>
      <c r="AF55" s="24"/>
      <c r="AG55" s="25"/>
    </row>
    <row x14ac:dyDescent="0.25" r="56" customHeight="1" ht="18.75">
      <c r="A56" s="13" t="s">
        <v>47</v>
      </c>
      <c r="B56" s="37">
        <v>900</v>
      </c>
      <c r="C56" s="13" t="s">
        <v>3</v>
      </c>
      <c r="D56" s="13" t="s">
        <v>48</v>
      </c>
      <c r="E56" s="38">
        <v>45658</v>
      </c>
      <c r="F56" s="38">
        <v>46022</v>
      </c>
      <c r="G56" s="39">
        <v>54</v>
      </c>
      <c r="H56" s="13" t="s">
        <v>221</v>
      </c>
      <c r="I56" s="38">
        <v>23365</v>
      </c>
      <c r="J56" s="38">
        <v>45658</v>
      </c>
      <c r="K56" s="40" t="s">
        <v>50</v>
      </c>
      <c r="L56" s="13" t="s">
        <v>51</v>
      </c>
      <c r="M56" s="13" t="s">
        <v>52</v>
      </c>
      <c r="N56" s="13" t="s">
        <v>222</v>
      </c>
      <c r="O56" s="13" t="s">
        <v>54</v>
      </c>
      <c r="P56" s="13" t="s">
        <v>55</v>
      </c>
      <c r="Q56" s="38">
        <v>23365</v>
      </c>
      <c r="R56" s="13" t="s">
        <v>223</v>
      </c>
      <c r="S56" s="41" t="s">
        <v>82</v>
      </c>
      <c r="T56" s="37">
        <v>6000000</v>
      </c>
      <c r="U56" s="38">
        <v>45754</v>
      </c>
      <c r="V56" s="39">
        <v>2025</v>
      </c>
      <c r="W56" s="42">
        <v>45750</v>
      </c>
      <c r="X56" s="41" t="s">
        <v>6</v>
      </c>
      <c r="Y56" s="38"/>
      <c r="Z56" s="50"/>
      <c r="AA56" s="38"/>
      <c r="AB56" s="43">
        <f>IF($AB$1&lt;W56,0,IF($AB$1&gt;Y56,0,T56))</f>
      </c>
      <c r="AC56" s="43">
        <f>IF($AC$2&lt;U56,0,IF(AND($AC$2&gt;U56,$AC$2&lt;Y56),T56,IF(X56="REJET",0,T56-Z56)))</f>
      </c>
      <c r="AD56" s="1"/>
      <c r="AE56" s="23"/>
      <c r="AF56" s="24"/>
      <c r="AG56" s="25"/>
    </row>
    <row x14ac:dyDescent="0.25" r="57" customHeight="1" ht="18.75">
      <c r="A57" s="13" t="s">
        <v>47</v>
      </c>
      <c r="B57" s="37">
        <v>900</v>
      </c>
      <c r="C57" s="13" t="s">
        <v>3</v>
      </c>
      <c r="D57" s="13" t="s">
        <v>48</v>
      </c>
      <c r="E57" s="38">
        <v>45658</v>
      </c>
      <c r="F57" s="38">
        <v>46022</v>
      </c>
      <c r="G57" s="39">
        <v>55</v>
      </c>
      <c r="H57" s="13" t="s">
        <v>224</v>
      </c>
      <c r="I57" s="38">
        <v>29249</v>
      </c>
      <c r="J57" s="38">
        <v>45658</v>
      </c>
      <c r="K57" s="40" t="s">
        <v>50</v>
      </c>
      <c r="L57" s="13" t="s">
        <v>51</v>
      </c>
      <c r="M57" s="13" t="s">
        <v>52</v>
      </c>
      <c r="N57" s="13" t="s">
        <v>225</v>
      </c>
      <c r="O57" s="13" t="s">
        <v>62</v>
      </c>
      <c r="P57" s="13" t="s">
        <v>63</v>
      </c>
      <c r="Q57" s="38">
        <v>29249</v>
      </c>
      <c r="R57" s="13" t="s">
        <v>226</v>
      </c>
      <c r="S57" s="41" t="s">
        <v>57</v>
      </c>
      <c r="T57" s="37">
        <v>1200000</v>
      </c>
      <c r="U57" s="38">
        <v>45757</v>
      </c>
      <c r="V57" s="39">
        <v>2025</v>
      </c>
      <c r="W57" s="42">
        <v>45757</v>
      </c>
      <c r="X57" s="41" t="s">
        <v>6</v>
      </c>
      <c r="Y57" s="38"/>
      <c r="Z57" s="50"/>
      <c r="AA57" s="38"/>
      <c r="AB57" s="43">
        <f>IF($AB$1&lt;W57,0,IF($AB$1&gt;Y57,0,T57))</f>
      </c>
      <c r="AC57" s="43">
        <f>IF($AC$2&lt;U57,0,IF(AND($AC$2&gt;U57,$AC$2&lt;Y57),T57,IF(X57="REJET",0,T57-Z57)))</f>
      </c>
      <c r="AD57" s="1"/>
      <c r="AE57" s="23"/>
      <c r="AF57" s="24"/>
      <c r="AG57" s="25"/>
    </row>
    <row x14ac:dyDescent="0.25" r="58" customHeight="1" ht="18.75">
      <c r="A58" s="13" t="s">
        <v>47</v>
      </c>
      <c r="B58" s="37">
        <v>900</v>
      </c>
      <c r="C58" s="13" t="s">
        <v>3</v>
      </c>
      <c r="D58" s="13" t="s">
        <v>48</v>
      </c>
      <c r="E58" s="38">
        <v>45658</v>
      </c>
      <c r="F58" s="38">
        <v>46022</v>
      </c>
      <c r="G58" s="39">
        <v>56</v>
      </c>
      <c r="H58" s="13" t="s">
        <v>227</v>
      </c>
      <c r="I58" s="38">
        <v>29067</v>
      </c>
      <c r="J58" s="38">
        <v>45658</v>
      </c>
      <c r="K58" s="40" t="s">
        <v>50</v>
      </c>
      <c r="L58" s="13" t="s">
        <v>51</v>
      </c>
      <c r="M58" s="13" t="s">
        <v>52</v>
      </c>
      <c r="N58" s="13" t="s">
        <v>228</v>
      </c>
      <c r="O58" s="13" t="s">
        <v>54</v>
      </c>
      <c r="P58" s="13" t="s">
        <v>55</v>
      </c>
      <c r="Q58" s="38">
        <v>29067</v>
      </c>
      <c r="R58" s="13" t="s">
        <v>229</v>
      </c>
      <c r="S58" s="41" t="s">
        <v>57</v>
      </c>
      <c r="T58" s="37">
        <v>1200000</v>
      </c>
      <c r="U58" s="38">
        <v>45762</v>
      </c>
      <c r="V58" s="39">
        <v>2025</v>
      </c>
      <c r="W58" s="42">
        <v>45762</v>
      </c>
      <c r="X58" s="41" t="s">
        <v>6</v>
      </c>
      <c r="Y58" s="38"/>
      <c r="Z58" s="50"/>
      <c r="AA58" s="38"/>
      <c r="AB58" s="43">
        <f>IF($AB$1&lt;W58,0,IF($AB$1&gt;Y58,0,T58))</f>
      </c>
      <c r="AC58" s="43">
        <f>IF($AC$2&lt;U58,0,IF(AND($AC$2&gt;U58,$AC$2&lt;Y58),T58,IF(X58="REJET",0,T58-Z58)))</f>
      </c>
      <c r="AD58" s="1"/>
      <c r="AE58" s="23"/>
      <c r="AF58" s="24"/>
      <c r="AG58" s="25"/>
    </row>
    <row x14ac:dyDescent="0.25" r="59" customHeight="1" ht="18.75">
      <c r="A59" s="13" t="s">
        <v>47</v>
      </c>
      <c r="B59" s="37">
        <v>900</v>
      </c>
      <c r="C59" s="13" t="s">
        <v>3</v>
      </c>
      <c r="D59" s="13" t="s">
        <v>48</v>
      </c>
      <c r="E59" s="38">
        <v>45658</v>
      </c>
      <c r="F59" s="38">
        <v>46022</v>
      </c>
      <c r="G59" s="39">
        <v>57</v>
      </c>
      <c r="H59" s="13" t="s">
        <v>230</v>
      </c>
      <c r="I59" s="38">
        <v>24204</v>
      </c>
      <c r="J59" s="38">
        <v>45658</v>
      </c>
      <c r="K59" s="40" t="s">
        <v>50</v>
      </c>
      <c r="L59" s="13" t="s">
        <v>51</v>
      </c>
      <c r="M59" s="13" t="s">
        <v>52</v>
      </c>
      <c r="N59" s="13" t="s">
        <v>231</v>
      </c>
      <c r="O59" s="13" t="s">
        <v>54</v>
      </c>
      <c r="P59" s="13" t="s">
        <v>55</v>
      </c>
      <c r="Q59" s="38">
        <v>24204</v>
      </c>
      <c r="R59" s="13" t="s">
        <v>232</v>
      </c>
      <c r="S59" s="41" t="s">
        <v>57</v>
      </c>
      <c r="T59" s="37">
        <v>1200000</v>
      </c>
      <c r="U59" s="38">
        <v>45762</v>
      </c>
      <c r="V59" s="39">
        <v>2025</v>
      </c>
      <c r="W59" s="42">
        <v>45769</v>
      </c>
      <c r="X59" s="41" t="s">
        <v>65</v>
      </c>
      <c r="Y59" s="38">
        <v>45824</v>
      </c>
      <c r="Z59" s="49">
        <v>1000000</v>
      </c>
      <c r="AA59" s="48">
        <f>T59-Z59</f>
      </c>
      <c r="AB59" s="43">
        <f>IF($AB$1&lt;W59,0,IF($AB$1&gt;Y59,0,T59))</f>
      </c>
      <c r="AC59" s="43">
        <f>IF($AC$2&lt;U59,0,IF(AND($AC$2&gt;U59,$AC$2&lt;Y59),T59,IF(X59="REJET",0,T59-Z59)))</f>
      </c>
      <c r="AD59" s="1"/>
      <c r="AE59" s="23"/>
      <c r="AF59" s="24"/>
      <c r="AG59" s="25"/>
    </row>
    <row x14ac:dyDescent="0.25" r="60" customHeight="1" ht="18.75">
      <c r="A60" s="13" t="s">
        <v>47</v>
      </c>
      <c r="B60" s="37">
        <v>900</v>
      </c>
      <c r="C60" s="13" t="s">
        <v>3</v>
      </c>
      <c r="D60" s="13" t="s">
        <v>48</v>
      </c>
      <c r="E60" s="38">
        <v>45658</v>
      </c>
      <c r="F60" s="38">
        <v>46022</v>
      </c>
      <c r="G60" s="39">
        <v>58</v>
      </c>
      <c r="H60" s="13" t="s">
        <v>233</v>
      </c>
      <c r="I60" s="38">
        <v>24011</v>
      </c>
      <c r="J60" s="38">
        <v>45658</v>
      </c>
      <c r="K60" s="40" t="s">
        <v>50</v>
      </c>
      <c r="L60" s="13" t="s">
        <v>51</v>
      </c>
      <c r="M60" s="13" t="s">
        <v>52</v>
      </c>
      <c r="N60" s="13" t="s">
        <v>234</v>
      </c>
      <c r="O60" s="13" t="s">
        <v>54</v>
      </c>
      <c r="P60" s="13" t="s">
        <v>55</v>
      </c>
      <c r="Q60" s="38">
        <v>24011</v>
      </c>
      <c r="R60" s="13" t="s">
        <v>235</v>
      </c>
      <c r="S60" s="41" t="s">
        <v>82</v>
      </c>
      <c r="T60" s="37">
        <v>6000000</v>
      </c>
      <c r="U60" s="38">
        <v>45762</v>
      </c>
      <c r="V60" s="39">
        <v>2025</v>
      </c>
      <c r="W60" s="42">
        <v>45760</v>
      </c>
      <c r="X60" s="41" t="s">
        <v>6</v>
      </c>
      <c r="Y60" s="38"/>
      <c r="Z60" s="50"/>
      <c r="AA60" s="38"/>
      <c r="AB60" s="43">
        <f>IF($AB$1&lt;W60,0,IF($AB$1&gt;Y60,0,T60))</f>
      </c>
      <c r="AC60" s="43">
        <f>IF($AC$2&lt;U60,0,IF(AND($AC$2&gt;U60,$AC$2&lt;Y60),T60,IF(X60="REJET",0,T60-Z60)))</f>
      </c>
      <c r="AD60" s="1"/>
      <c r="AE60" s="23"/>
      <c r="AF60" s="24"/>
      <c r="AG60" s="25"/>
    </row>
    <row x14ac:dyDescent="0.25" r="61" customHeight="1" ht="18.75">
      <c r="A61" s="13" t="s">
        <v>47</v>
      </c>
      <c r="B61" s="37">
        <v>900</v>
      </c>
      <c r="C61" s="13" t="s">
        <v>3</v>
      </c>
      <c r="D61" s="13" t="s">
        <v>48</v>
      </c>
      <c r="E61" s="38">
        <v>45658</v>
      </c>
      <c r="F61" s="38">
        <v>46022</v>
      </c>
      <c r="G61" s="39">
        <v>59</v>
      </c>
      <c r="H61" s="13" t="s">
        <v>236</v>
      </c>
      <c r="I61" s="38">
        <v>24638</v>
      </c>
      <c r="J61" s="38">
        <v>45658</v>
      </c>
      <c r="K61" s="40" t="s">
        <v>50</v>
      </c>
      <c r="L61" s="13" t="s">
        <v>51</v>
      </c>
      <c r="M61" s="13" t="s">
        <v>52</v>
      </c>
      <c r="N61" s="13" t="s">
        <v>237</v>
      </c>
      <c r="O61" s="13" t="s">
        <v>54</v>
      </c>
      <c r="P61" s="13" t="s">
        <v>55</v>
      </c>
      <c r="Q61" s="38">
        <v>24638</v>
      </c>
      <c r="R61" s="13" t="s">
        <v>238</v>
      </c>
      <c r="S61" s="41" t="s">
        <v>82</v>
      </c>
      <c r="T61" s="37">
        <v>6000000</v>
      </c>
      <c r="U61" s="38">
        <v>45764</v>
      </c>
      <c r="V61" s="39">
        <v>2025</v>
      </c>
      <c r="W61" s="42">
        <v>45763</v>
      </c>
      <c r="X61" s="41" t="s">
        <v>6</v>
      </c>
      <c r="Y61" s="38"/>
      <c r="Z61" s="50"/>
      <c r="AA61" s="38"/>
      <c r="AB61" s="43">
        <f>IF($AB$1&lt;W61,0,IF($AB$1&gt;Y61,0,T61))</f>
      </c>
      <c r="AC61" s="43">
        <f>IF($AC$2&lt;U61,0,IF(AND($AC$2&gt;U61,$AC$2&lt;Y61),T61,IF(X61="REJET",0,T61-Z61)))</f>
      </c>
      <c r="AD61" s="1"/>
      <c r="AE61" s="23"/>
      <c r="AF61" s="24"/>
      <c r="AG61" s="25"/>
    </row>
    <row x14ac:dyDescent="0.25" r="62" customHeight="1" ht="18.75">
      <c r="A62" s="13" t="s">
        <v>47</v>
      </c>
      <c r="B62" s="37">
        <v>900</v>
      </c>
      <c r="C62" s="13" t="s">
        <v>3</v>
      </c>
      <c r="D62" s="13" t="s">
        <v>48</v>
      </c>
      <c r="E62" s="38">
        <v>45658</v>
      </c>
      <c r="F62" s="38">
        <v>46022</v>
      </c>
      <c r="G62" s="39">
        <v>60</v>
      </c>
      <c r="H62" s="13" t="s">
        <v>239</v>
      </c>
      <c r="I62" s="38">
        <v>23357</v>
      </c>
      <c r="J62" s="38">
        <v>45658</v>
      </c>
      <c r="K62" s="40" t="s">
        <v>50</v>
      </c>
      <c r="L62" s="13" t="s">
        <v>51</v>
      </c>
      <c r="M62" s="13" t="s">
        <v>52</v>
      </c>
      <c r="N62" s="13" t="s">
        <v>240</v>
      </c>
      <c r="O62" s="13" t="s">
        <v>54</v>
      </c>
      <c r="P62" s="13" t="s">
        <v>55</v>
      </c>
      <c r="Q62" s="38">
        <v>23357</v>
      </c>
      <c r="R62" s="13" t="s">
        <v>241</v>
      </c>
      <c r="S62" s="41" t="s">
        <v>82</v>
      </c>
      <c r="T62" s="37">
        <v>6000000</v>
      </c>
      <c r="U62" s="38">
        <v>45764</v>
      </c>
      <c r="V62" s="39">
        <v>2025</v>
      </c>
      <c r="W62" s="42">
        <v>45764</v>
      </c>
      <c r="X62" s="41" t="s">
        <v>6</v>
      </c>
      <c r="Y62" s="38"/>
      <c r="Z62" s="50"/>
      <c r="AA62" s="38"/>
      <c r="AB62" s="43">
        <f>IF($AB$1&lt;W62,0,IF($AB$1&gt;Y62,0,T62))</f>
      </c>
      <c r="AC62" s="43">
        <f>IF($AC$2&lt;U62,0,IF(AND($AC$2&gt;U62,$AC$2&lt;Y62),T62,IF(X62="REJET",0,T62-Z62)))</f>
      </c>
      <c r="AD62" s="1"/>
      <c r="AE62" s="23"/>
      <c r="AF62" s="24"/>
      <c r="AG62" s="25"/>
    </row>
    <row x14ac:dyDescent="0.25" r="63" customHeight="1" ht="18.75">
      <c r="A63" s="13" t="s">
        <v>47</v>
      </c>
      <c r="B63" s="37">
        <v>900</v>
      </c>
      <c r="C63" s="13" t="s">
        <v>3</v>
      </c>
      <c r="D63" s="13" t="s">
        <v>48</v>
      </c>
      <c r="E63" s="38">
        <v>45658</v>
      </c>
      <c r="F63" s="38">
        <v>46022</v>
      </c>
      <c r="G63" s="39">
        <v>61</v>
      </c>
      <c r="H63" s="13" t="s">
        <v>242</v>
      </c>
      <c r="I63" s="38">
        <v>25532</v>
      </c>
      <c r="J63" s="38">
        <v>45658</v>
      </c>
      <c r="K63" s="40" t="s">
        <v>50</v>
      </c>
      <c r="L63" s="13" t="s">
        <v>51</v>
      </c>
      <c r="M63" s="13" t="s">
        <v>52</v>
      </c>
      <c r="N63" s="13" t="s">
        <v>243</v>
      </c>
      <c r="O63" s="13" t="s">
        <v>54</v>
      </c>
      <c r="P63" s="13" t="s">
        <v>55</v>
      </c>
      <c r="Q63" s="38">
        <v>25532</v>
      </c>
      <c r="R63" s="13" t="s">
        <v>244</v>
      </c>
      <c r="S63" s="41" t="s">
        <v>82</v>
      </c>
      <c r="T63" s="37">
        <v>6000000</v>
      </c>
      <c r="U63" s="38">
        <v>45766</v>
      </c>
      <c r="V63" s="39">
        <v>2025</v>
      </c>
      <c r="W63" s="42">
        <v>45766</v>
      </c>
      <c r="X63" s="41" t="s">
        <v>65</v>
      </c>
      <c r="Y63" s="38">
        <v>45823</v>
      </c>
      <c r="Z63" s="49">
        <v>6000000</v>
      </c>
      <c r="AA63" s="48">
        <f>T63-Z63</f>
      </c>
      <c r="AB63" s="43">
        <f>IF($AB$1&lt;W63,0,IF($AB$1&gt;Y63,0,T63))</f>
      </c>
      <c r="AC63" s="43">
        <f>IF($AC$2&lt;U63,0,IF(AND($AC$2&gt;U63,$AC$2&lt;Y63),T63,IF(X63="REJET",0,T63-Z63)))</f>
      </c>
      <c r="AD63" s="1"/>
      <c r="AE63" s="23"/>
      <c r="AF63" s="24"/>
      <c r="AG63" s="25"/>
    </row>
    <row x14ac:dyDescent="0.25" r="64" customHeight="1" ht="18.75">
      <c r="A64" s="13" t="s">
        <v>47</v>
      </c>
      <c r="B64" s="37">
        <v>900</v>
      </c>
      <c r="C64" s="13" t="s">
        <v>3</v>
      </c>
      <c r="D64" s="13" t="s">
        <v>48</v>
      </c>
      <c r="E64" s="38">
        <v>45658</v>
      </c>
      <c r="F64" s="38">
        <v>46022</v>
      </c>
      <c r="G64" s="39">
        <v>62</v>
      </c>
      <c r="H64" s="13" t="s">
        <v>245</v>
      </c>
      <c r="I64" s="38">
        <v>24457</v>
      </c>
      <c r="J64" s="38">
        <v>45658</v>
      </c>
      <c r="K64" s="40" t="s">
        <v>50</v>
      </c>
      <c r="L64" s="13" t="s">
        <v>51</v>
      </c>
      <c r="M64" s="13" t="s">
        <v>52</v>
      </c>
      <c r="N64" s="13" t="s">
        <v>246</v>
      </c>
      <c r="O64" s="13" t="s">
        <v>54</v>
      </c>
      <c r="P64" s="13" t="s">
        <v>55</v>
      </c>
      <c r="Q64" s="38">
        <v>24457</v>
      </c>
      <c r="R64" s="13" t="s">
        <v>247</v>
      </c>
      <c r="S64" s="41" t="s">
        <v>82</v>
      </c>
      <c r="T64" s="37">
        <v>6000000</v>
      </c>
      <c r="U64" s="38">
        <v>45767</v>
      </c>
      <c r="V64" s="39">
        <v>2025</v>
      </c>
      <c r="W64" s="42">
        <v>45766</v>
      </c>
      <c r="X64" s="41" t="s">
        <v>65</v>
      </c>
      <c r="Y64" s="38">
        <v>45823</v>
      </c>
      <c r="Z64" s="49">
        <v>6000000</v>
      </c>
      <c r="AA64" s="48">
        <f>T64-Z64</f>
      </c>
      <c r="AB64" s="43">
        <f>IF($AB$1&lt;W64,0,IF($AB$1&gt;Y64,0,T64))</f>
      </c>
      <c r="AC64" s="43">
        <f>IF($AC$2&lt;U64,0,IF(AND($AC$2&gt;U64,$AC$2&lt;Y64),T64,IF(X64="REJET",0,T64-Z64)))</f>
      </c>
      <c r="AD64" s="1"/>
      <c r="AE64" s="23"/>
      <c r="AF64" s="24"/>
      <c r="AG64" s="25"/>
    </row>
    <row x14ac:dyDescent="0.25" r="65" customHeight="1" ht="18.75">
      <c r="A65" s="13" t="s">
        <v>47</v>
      </c>
      <c r="B65" s="37">
        <v>900</v>
      </c>
      <c r="C65" s="13" t="s">
        <v>3</v>
      </c>
      <c r="D65" s="13" t="s">
        <v>48</v>
      </c>
      <c r="E65" s="38">
        <v>45658</v>
      </c>
      <c r="F65" s="38">
        <v>46022</v>
      </c>
      <c r="G65" s="39">
        <v>63</v>
      </c>
      <c r="H65" s="13" t="s">
        <v>248</v>
      </c>
      <c r="I65" s="38">
        <v>24925</v>
      </c>
      <c r="J65" s="38">
        <v>45658</v>
      </c>
      <c r="K65" s="40" t="s">
        <v>50</v>
      </c>
      <c r="L65" s="13" t="s">
        <v>51</v>
      </c>
      <c r="M65" s="13" t="s">
        <v>52</v>
      </c>
      <c r="N65" s="13" t="s">
        <v>249</v>
      </c>
      <c r="O65" s="13" t="s">
        <v>54</v>
      </c>
      <c r="P65" s="13" t="s">
        <v>55</v>
      </c>
      <c r="Q65" s="38">
        <v>24925</v>
      </c>
      <c r="R65" s="13" t="s">
        <v>250</v>
      </c>
      <c r="S65" s="41" t="s">
        <v>82</v>
      </c>
      <c r="T65" s="37">
        <v>6000000</v>
      </c>
      <c r="U65" s="38">
        <v>45768</v>
      </c>
      <c r="V65" s="39">
        <v>2025</v>
      </c>
      <c r="W65" s="42">
        <v>45767</v>
      </c>
      <c r="X65" s="41" t="s">
        <v>6</v>
      </c>
      <c r="Y65" s="38"/>
      <c r="Z65" s="50"/>
      <c r="AA65" s="38"/>
      <c r="AB65" s="43">
        <f>IF($AB$1&lt;W65,0,IF($AB$1&gt;Y65,0,T65))</f>
      </c>
      <c r="AC65" s="43">
        <f>IF($AC$2&lt;U65,0,IF(AND($AC$2&gt;U65,$AC$2&lt;Y65),T65,IF(X65="REJET",0,T65-Z65)))</f>
      </c>
      <c r="AD65" s="1"/>
      <c r="AE65" s="23"/>
      <c r="AF65" s="24"/>
      <c r="AG65" s="25"/>
    </row>
    <row x14ac:dyDescent="0.25" r="66" customHeight="1" ht="18.75">
      <c r="A66" s="13" t="s">
        <v>47</v>
      </c>
      <c r="B66" s="37">
        <v>900</v>
      </c>
      <c r="C66" s="13" t="s">
        <v>3</v>
      </c>
      <c r="D66" s="13" t="s">
        <v>48</v>
      </c>
      <c r="E66" s="38">
        <v>45658</v>
      </c>
      <c r="F66" s="38">
        <v>46022</v>
      </c>
      <c r="G66" s="39">
        <v>64</v>
      </c>
      <c r="H66" s="13" t="s">
        <v>251</v>
      </c>
      <c r="I66" s="38">
        <v>22646</v>
      </c>
      <c r="J66" s="38">
        <v>45658</v>
      </c>
      <c r="K66" s="40" t="s">
        <v>50</v>
      </c>
      <c r="L66" s="13" t="s">
        <v>51</v>
      </c>
      <c r="M66" s="13" t="s">
        <v>52</v>
      </c>
      <c r="N66" s="13" t="s">
        <v>252</v>
      </c>
      <c r="O66" s="13" t="s">
        <v>54</v>
      </c>
      <c r="P66" s="13" t="s">
        <v>55</v>
      </c>
      <c r="Q66" s="38">
        <v>22646</v>
      </c>
      <c r="R66" s="13" t="s">
        <v>253</v>
      </c>
      <c r="S66" s="41" t="s">
        <v>82</v>
      </c>
      <c r="T66" s="37">
        <v>6000000</v>
      </c>
      <c r="U66" s="38">
        <v>45775</v>
      </c>
      <c r="V66" s="39">
        <v>2025</v>
      </c>
      <c r="W66" s="42">
        <v>45769</v>
      </c>
      <c r="X66" s="41" t="s">
        <v>6</v>
      </c>
      <c r="Y66" s="38"/>
      <c r="Z66" s="50"/>
      <c r="AA66" s="38"/>
      <c r="AB66" s="43">
        <f>IF($AB$1&lt;W66,0,IF($AB$1&gt;Y66,0,T66))</f>
      </c>
      <c r="AC66" s="43">
        <f>IF($AC$2&lt;U66,0,IF(AND($AC$2&gt;U66,$AC$2&lt;Y66),T66,IF(X66="REJET",0,T66-Z66)))</f>
      </c>
      <c r="AD66" s="1"/>
      <c r="AE66" s="23"/>
      <c r="AF66" s="24"/>
      <c r="AG66" s="25"/>
    </row>
    <row x14ac:dyDescent="0.25" r="67" customHeight="1" ht="18.75">
      <c r="A67" s="13" t="s">
        <v>47</v>
      </c>
      <c r="B67" s="37">
        <v>900</v>
      </c>
      <c r="C67" s="13" t="s">
        <v>3</v>
      </c>
      <c r="D67" s="13" t="s">
        <v>48</v>
      </c>
      <c r="E67" s="38">
        <v>45658</v>
      </c>
      <c r="F67" s="38">
        <v>46022</v>
      </c>
      <c r="G67" s="39">
        <v>65</v>
      </c>
      <c r="H67" s="13" t="s">
        <v>254</v>
      </c>
      <c r="I67" s="38">
        <v>24422</v>
      </c>
      <c r="J67" s="38">
        <v>45658</v>
      </c>
      <c r="K67" s="40" t="s">
        <v>50</v>
      </c>
      <c r="L67" s="13" t="s">
        <v>51</v>
      </c>
      <c r="M67" s="13" t="s">
        <v>52</v>
      </c>
      <c r="N67" s="13" t="s">
        <v>255</v>
      </c>
      <c r="O67" s="13" t="s">
        <v>54</v>
      </c>
      <c r="P67" s="13" t="s">
        <v>55</v>
      </c>
      <c r="Q67" s="38">
        <v>24422</v>
      </c>
      <c r="R67" s="13" t="s">
        <v>256</v>
      </c>
      <c r="S67" s="41" t="s">
        <v>57</v>
      </c>
      <c r="T67" s="37">
        <v>1200000</v>
      </c>
      <c r="U67" s="38">
        <v>45771</v>
      </c>
      <c r="V67" s="39">
        <v>2025</v>
      </c>
      <c r="W67" s="42">
        <v>45771</v>
      </c>
      <c r="X67" s="41" t="s">
        <v>6</v>
      </c>
      <c r="Y67" s="38"/>
      <c r="Z67" s="50"/>
      <c r="AA67" s="38"/>
      <c r="AB67" s="43">
        <f>IF($AB$1&lt;W67,0,IF($AB$1&gt;Y67,0,T67))</f>
      </c>
      <c r="AC67" s="43">
        <f>IF($AC$2&lt;U67,0,IF(AND($AC$2&gt;U67,$AC$2&lt;Y67),T67,IF(X67="REJET",0,T67-Z67)))</f>
      </c>
      <c r="AD67" s="1"/>
      <c r="AE67" s="23"/>
      <c r="AF67" s="24"/>
      <c r="AG67" s="25"/>
    </row>
    <row x14ac:dyDescent="0.25" r="68" customHeight="1" ht="18.75">
      <c r="A68" s="13" t="s">
        <v>47</v>
      </c>
      <c r="B68" s="37">
        <v>900</v>
      </c>
      <c r="C68" s="13" t="s">
        <v>3</v>
      </c>
      <c r="D68" s="13" t="s">
        <v>48</v>
      </c>
      <c r="E68" s="38">
        <v>45658</v>
      </c>
      <c r="F68" s="38">
        <v>46022</v>
      </c>
      <c r="G68" s="39">
        <v>66</v>
      </c>
      <c r="H68" s="13" t="s">
        <v>257</v>
      </c>
      <c r="I68" s="38">
        <v>25890</v>
      </c>
      <c r="J68" s="38">
        <v>45658</v>
      </c>
      <c r="K68" s="40" t="s">
        <v>50</v>
      </c>
      <c r="L68" s="13" t="s">
        <v>51</v>
      </c>
      <c r="M68" s="13" t="s">
        <v>52</v>
      </c>
      <c r="N68" s="13" t="s">
        <v>258</v>
      </c>
      <c r="O68" s="13" t="s">
        <v>54</v>
      </c>
      <c r="P68" s="13" t="s">
        <v>55</v>
      </c>
      <c r="Q68" s="38">
        <v>25890</v>
      </c>
      <c r="R68" s="13" t="s">
        <v>259</v>
      </c>
      <c r="S68" s="41" t="s">
        <v>82</v>
      </c>
      <c r="T68" s="37">
        <v>6000000</v>
      </c>
      <c r="U68" s="38">
        <v>45773</v>
      </c>
      <c r="V68" s="39">
        <v>2025</v>
      </c>
      <c r="W68" s="42">
        <v>45772</v>
      </c>
      <c r="X68" s="41" t="s">
        <v>6</v>
      </c>
      <c r="Y68" s="38"/>
      <c r="Z68" s="50"/>
      <c r="AA68" s="38"/>
      <c r="AB68" s="43">
        <f>IF($AB$1&lt;W68,0,IF($AB$1&gt;Y68,0,T68))</f>
      </c>
      <c r="AC68" s="43">
        <f>IF($AC$2&lt;U68,0,IF(AND($AC$2&gt;U68,$AC$2&lt;Y68),T68,IF(X68="REJET",0,T68-Z68)))</f>
      </c>
      <c r="AD68" s="1"/>
      <c r="AE68" s="23"/>
      <c r="AF68" s="24"/>
      <c r="AG68" s="25"/>
    </row>
    <row x14ac:dyDescent="0.25" r="69" customHeight="1" ht="18.75">
      <c r="A69" s="13" t="s">
        <v>47</v>
      </c>
      <c r="B69" s="37">
        <v>900</v>
      </c>
      <c r="C69" s="13" t="s">
        <v>3</v>
      </c>
      <c r="D69" s="13" t="s">
        <v>48</v>
      </c>
      <c r="E69" s="38">
        <v>45658</v>
      </c>
      <c r="F69" s="38">
        <v>46022</v>
      </c>
      <c r="G69" s="39">
        <v>67</v>
      </c>
      <c r="H69" s="13" t="s">
        <v>260</v>
      </c>
      <c r="I69" s="38">
        <v>27975</v>
      </c>
      <c r="J69" s="38">
        <v>45658</v>
      </c>
      <c r="K69" s="40" t="s">
        <v>50</v>
      </c>
      <c r="L69" s="13" t="s">
        <v>51</v>
      </c>
      <c r="M69" s="13" t="s">
        <v>52</v>
      </c>
      <c r="N69" s="13" t="s">
        <v>261</v>
      </c>
      <c r="O69" s="13" t="s">
        <v>54</v>
      </c>
      <c r="P69" s="13" t="s">
        <v>55</v>
      </c>
      <c r="Q69" s="38">
        <v>27975</v>
      </c>
      <c r="R69" s="13" t="s">
        <v>262</v>
      </c>
      <c r="S69" s="41" t="s">
        <v>57</v>
      </c>
      <c r="T69" s="37">
        <v>1200000</v>
      </c>
      <c r="U69" s="38">
        <v>45775</v>
      </c>
      <c r="V69" s="39">
        <v>2025</v>
      </c>
      <c r="W69" s="42">
        <v>45775</v>
      </c>
      <c r="X69" s="41" t="s">
        <v>6</v>
      </c>
      <c r="Y69" s="38"/>
      <c r="Z69" s="50"/>
      <c r="AA69" s="38"/>
      <c r="AB69" s="43">
        <f>IF($AB$1&lt;W69,0,IF($AB$1&gt;Y69,0,T69))</f>
      </c>
      <c r="AC69" s="43">
        <f>IF($AC$2&lt;U69,0,IF(AND($AC$2&gt;U69,$AC$2&lt;Y69),T69,IF(X69="REJET",0,T69-Z69)))</f>
      </c>
      <c r="AD69" s="1"/>
      <c r="AE69" s="23"/>
      <c r="AF69" s="24"/>
      <c r="AG69" s="25"/>
    </row>
    <row x14ac:dyDescent="0.25" r="70" customHeight="1" ht="18.75">
      <c r="A70" s="13" t="s">
        <v>47</v>
      </c>
      <c r="B70" s="37">
        <v>900</v>
      </c>
      <c r="C70" s="13" t="s">
        <v>3</v>
      </c>
      <c r="D70" s="13" t="s">
        <v>48</v>
      </c>
      <c r="E70" s="38">
        <v>45658</v>
      </c>
      <c r="F70" s="38">
        <v>46022</v>
      </c>
      <c r="G70" s="39">
        <v>68</v>
      </c>
      <c r="H70" s="13" t="s">
        <v>263</v>
      </c>
      <c r="I70" s="38">
        <v>29375</v>
      </c>
      <c r="J70" s="38">
        <v>45658</v>
      </c>
      <c r="K70" s="40" t="s">
        <v>50</v>
      </c>
      <c r="L70" s="13" t="s">
        <v>51</v>
      </c>
      <c r="M70" s="13" t="s">
        <v>52</v>
      </c>
      <c r="N70" s="13" t="s">
        <v>264</v>
      </c>
      <c r="O70" s="13" t="s">
        <v>62</v>
      </c>
      <c r="P70" s="13" t="s">
        <v>63</v>
      </c>
      <c r="Q70" s="38">
        <v>29375</v>
      </c>
      <c r="R70" s="13" t="s">
        <v>265</v>
      </c>
      <c r="S70" s="41" t="s">
        <v>57</v>
      </c>
      <c r="T70" s="37">
        <v>1200000</v>
      </c>
      <c r="U70" s="38">
        <v>45776</v>
      </c>
      <c r="V70" s="39">
        <v>2025</v>
      </c>
      <c r="W70" s="42">
        <v>45776</v>
      </c>
      <c r="X70" s="41" t="s">
        <v>6</v>
      </c>
      <c r="Y70" s="38"/>
      <c r="Z70" s="50"/>
      <c r="AA70" s="38"/>
      <c r="AB70" s="43">
        <f>IF($AB$1&lt;W70,0,IF($AB$1&gt;Y70,0,T70))</f>
      </c>
      <c r="AC70" s="43">
        <f>IF($AC$2&lt;U70,0,IF(AND($AC$2&gt;U70,$AC$2&lt;Y70),T70,IF(X70="REJET",0,T70-Z70)))</f>
      </c>
      <c r="AD70" s="1"/>
      <c r="AE70" s="23"/>
      <c r="AF70" s="24"/>
      <c r="AG70" s="25"/>
    </row>
    <row x14ac:dyDescent="0.25" r="71" customHeight="1" ht="18.75">
      <c r="A71" s="13" t="s">
        <v>47</v>
      </c>
      <c r="B71" s="37">
        <v>900</v>
      </c>
      <c r="C71" s="13" t="s">
        <v>3</v>
      </c>
      <c r="D71" s="13" t="s">
        <v>48</v>
      </c>
      <c r="E71" s="38">
        <v>45658</v>
      </c>
      <c r="F71" s="38">
        <v>46022</v>
      </c>
      <c r="G71" s="39">
        <v>69</v>
      </c>
      <c r="H71" s="13" t="s">
        <v>266</v>
      </c>
      <c r="I71" s="38">
        <v>25601</v>
      </c>
      <c r="J71" s="38">
        <v>45658</v>
      </c>
      <c r="K71" s="40" t="s">
        <v>50</v>
      </c>
      <c r="L71" s="13" t="s">
        <v>51</v>
      </c>
      <c r="M71" s="13" t="s">
        <v>52</v>
      </c>
      <c r="N71" s="13" t="s">
        <v>267</v>
      </c>
      <c r="O71" s="13" t="s">
        <v>54</v>
      </c>
      <c r="P71" s="13" t="s">
        <v>55</v>
      </c>
      <c r="Q71" s="38">
        <v>25601</v>
      </c>
      <c r="R71" s="13" t="s">
        <v>268</v>
      </c>
      <c r="S71" s="41" t="s">
        <v>57</v>
      </c>
      <c r="T71" s="37">
        <v>1200000</v>
      </c>
      <c r="U71" s="38">
        <v>45775</v>
      </c>
      <c r="V71" s="39">
        <v>2025</v>
      </c>
      <c r="W71" s="42">
        <v>45775</v>
      </c>
      <c r="X71" s="41" t="s">
        <v>6</v>
      </c>
      <c r="Y71" s="38"/>
      <c r="Z71" s="50"/>
      <c r="AA71" s="38"/>
      <c r="AB71" s="43">
        <f>IF($AB$1&lt;W71,0,IF($AB$1&gt;Y71,0,T71))</f>
      </c>
      <c r="AC71" s="43">
        <f>IF($AC$2&lt;U71,0,IF(AND($AC$2&gt;U71,$AC$2&lt;Y71),T71,IF(X71="REJET",0,T71-Z71)))</f>
      </c>
      <c r="AD71" s="1"/>
      <c r="AE71" s="23"/>
      <c r="AF71" s="24"/>
      <c r="AG71" s="25"/>
    </row>
    <row x14ac:dyDescent="0.25" r="72" customHeight="1" ht="18.75">
      <c r="A72" s="13" t="s">
        <v>47</v>
      </c>
      <c r="B72" s="37">
        <v>900</v>
      </c>
      <c r="C72" s="13" t="s">
        <v>3</v>
      </c>
      <c r="D72" s="13" t="s">
        <v>48</v>
      </c>
      <c r="E72" s="38">
        <v>45658</v>
      </c>
      <c r="F72" s="38">
        <v>46022</v>
      </c>
      <c r="G72" s="39">
        <v>70</v>
      </c>
      <c r="H72" s="13" t="s">
        <v>269</v>
      </c>
      <c r="I72" s="38">
        <v>24260</v>
      </c>
      <c r="J72" s="38">
        <v>45658</v>
      </c>
      <c r="K72" s="40" t="s">
        <v>50</v>
      </c>
      <c r="L72" s="13" t="s">
        <v>51</v>
      </c>
      <c r="M72" s="13" t="s">
        <v>52</v>
      </c>
      <c r="N72" s="13" t="s">
        <v>270</v>
      </c>
      <c r="O72" s="13" t="s">
        <v>54</v>
      </c>
      <c r="P72" s="13" t="s">
        <v>55</v>
      </c>
      <c r="Q72" s="38">
        <v>24260</v>
      </c>
      <c r="R72" s="13" t="s">
        <v>271</v>
      </c>
      <c r="S72" s="41" t="s">
        <v>57</v>
      </c>
      <c r="T72" s="37">
        <v>1200000</v>
      </c>
      <c r="U72" s="38">
        <v>45776</v>
      </c>
      <c r="V72" s="39">
        <v>2025</v>
      </c>
      <c r="W72" s="42">
        <v>45776</v>
      </c>
      <c r="X72" s="41" t="s">
        <v>6</v>
      </c>
      <c r="Y72" s="38"/>
      <c r="Z72" s="50"/>
      <c r="AA72" s="38"/>
      <c r="AB72" s="43">
        <f>IF($AB$1&lt;W72,0,IF($AB$1&gt;Y72,0,T72))</f>
      </c>
      <c r="AC72" s="43">
        <f>IF($AC$2&lt;U72,0,IF(AND($AC$2&gt;U72,$AC$2&lt;Y72),T72,IF(X72="REJET",0,T72-Z72)))</f>
      </c>
      <c r="AD72" s="1"/>
      <c r="AE72" s="23"/>
      <c r="AF72" s="24"/>
      <c r="AG72" s="25"/>
    </row>
    <row x14ac:dyDescent="0.25" r="73" customHeight="1" ht="18.75">
      <c r="A73" s="13" t="s">
        <v>47</v>
      </c>
      <c r="B73" s="37">
        <v>900</v>
      </c>
      <c r="C73" s="13" t="s">
        <v>3</v>
      </c>
      <c r="D73" s="13" t="s">
        <v>48</v>
      </c>
      <c r="E73" s="38">
        <v>45658</v>
      </c>
      <c r="F73" s="38">
        <v>46022</v>
      </c>
      <c r="G73" s="39">
        <v>71</v>
      </c>
      <c r="H73" s="13" t="s">
        <v>272</v>
      </c>
      <c r="I73" s="38">
        <v>25215</v>
      </c>
      <c r="J73" s="38">
        <v>45658</v>
      </c>
      <c r="K73" s="40" t="s">
        <v>50</v>
      </c>
      <c r="L73" s="13" t="s">
        <v>51</v>
      </c>
      <c r="M73" s="13" t="s">
        <v>52</v>
      </c>
      <c r="N73" s="13" t="s">
        <v>273</v>
      </c>
      <c r="O73" s="13" t="s">
        <v>62</v>
      </c>
      <c r="P73" s="13" t="s">
        <v>63</v>
      </c>
      <c r="Q73" s="38">
        <v>25215</v>
      </c>
      <c r="R73" s="13" t="s">
        <v>274</v>
      </c>
      <c r="S73" s="41" t="s">
        <v>57</v>
      </c>
      <c r="T73" s="37">
        <v>1200000</v>
      </c>
      <c r="U73" s="38">
        <v>45777</v>
      </c>
      <c r="V73" s="39">
        <v>2025</v>
      </c>
      <c r="W73" s="42">
        <v>45777</v>
      </c>
      <c r="X73" s="41" t="s">
        <v>6</v>
      </c>
      <c r="Y73" s="38"/>
      <c r="Z73" s="50"/>
      <c r="AA73" s="38"/>
      <c r="AB73" s="43">
        <f>IF($AB$1&lt;W73,0,IF($AB$1&gt;Y73,0,T73))</f>
      </c>
      <c r="AC73" s="43">
        <f>IF($AC$2&lt;U73,0,IF(AND($AC$2&gt;U73,$AC$2&lt;Y73),T73,IF(X73="REJET",0,T73-Z73)))</f>
      </c>
      <c r="AD73" s="1"/>
      <c r="AE73" s="23"/>
      <c r="AF73" s="24"/>
      <c r="AG73" s="25"/>
    </row>
    <row x14ac:dyDescent="0.25" r="74" customHeight="1" ht="18.75">
      <c r="A74" s="13" t="s">
        <v>47</v>
      </c>
      <c r="B74" s="37">
        <v>900</v>
      </c>
      <c r="C74" s="13" t="s">
        <v>3</v>
      </c>
      <c r="D74" s="13" t="s">
        <v>48</v>
      </c>
      <c r="E74" s="38">
        <v>45658</v>
      </c>
      <c r="F74" s="38">
        <v>46022</v>
      </c>
      <c r="G74" s="39">
        <v>72</v>
      </c>
      <c r="H74" s="13" t="s">
        <v>275</v>
      </c>
      <c r="I74" s="38">
        <v>25805</v>
      </c>
      <c r="J74" s="38">
        <v>45658</v>
      </c>
      <c r="K74" s="40" t="s">
        <v>50</v>
      </c>
      <c r="L74" s="13" t="s">
        <v>51</v>
      </c>
      <c r="M74" s="13" t="s">
        <v>52</v>
      </c>
      <c r="N74" s="13" t="s">
        <v>276</v>
      </c>
      <c r="O74" s="13" t="s">
        <v>54</v>
      </c>
      <c r="P74" s="13" t="s">
        <v>55</v>
      </c>
      <c r="Q74" s="38">
        <v>25805</v>
      </c>
      <c r="R74" s="13" t="s">
        <v>277</v>
      </c>
      <c r="S74" s="41" t="s">
        <v>82</v>
      </c>
      <c r="T74" s="37">
        <v>6000000</v>
      </c>
      <c r="U74" s="38">
        <v>45778</v>
      </c>
      <c r="V74" s="39">
        <v>2025</v>
      </c>
      <c r="W74" s="42">
        <v>45795</v>
      </c>
      <c r="X74" s="41" t="s">
        <v>6</v>
      </c>
      <c r="Y74" s="38"/>
      <c r="Z74" s="50"/>
      <c r="AA74" s="38"/>
      <c r="AB74" s="43">
        <f>IF($AB$1&lt;W74,0,IF($AB$1&gt;Y74,0,T74))</f>
      </c>
      <c r="AC74" s="43">
        <f>IF($AC$2&lt;U74,0,IF(AND($AC$2&gt;U74,$AC$2&lt;Y74),T74,IF(X74="REJET",0,T74-Z74)))</f>
      </c>
      <c r="AD74" s="1"/>
      <c r="AE74" s="23"/>
      <c r="AF74" s="24"/>
      <c r="AG74" s="25"/>
    </row>
    <row x14ac:dyDescent="0.25" r="75" customHeight="1" ht="18.75">
      <c r="A75" s="13" t="s">
        <v>47</v>
      </c>
      <c r="B75" s="37">
        <v>900</v>
      </c>
      <c r="C75" s="13" t="s">
        <v>3</v>
      </c>
      <c r="D75" s="13" t="s">
        <v>48</v>
      </c>
      <c r="E75" s="38">
        <v>45658</v>
      </c>
      <c r="F75" s="38">
        <v>46022</v>
      </c>
      <c r="G75" s="39">
        <v>73</v>
      </c>
      <c r="H75" s="13" t="s">
        <v>278</v>
      </c>
      <c r="I75" s="38">
        <v>27660</v>
      </c>
      <c r="J75" s="38">
        <v>45658</v>
      </c>
      <c r="K75" s="40" t="s">
        <v>50</v>
      </c>
      <c r="L75" s="13" t="s">
        <v>51</v>
      </c>
      <c r="M75" s="13" t="s">
        <v>52</v>
      </c>
      <c r="N75" s="13" t="s">
        <v>279</v>
      </c>
      <c r="O75" s="13" t="s">
        <v>62</v>
      </c>
      <c r="P75" s="13" t="s">
        <v>63</v>
      </c>
      <c r="Q75" s="38">
        <v>27660</v>
      </c>
      <c r="R75" s="13" t="s">
        <v>280</v>
      </c>
      <c r="S75" s="41" t="s">
        <v>75</v>
      </c>
      <c r="T75" s="37">
        <v>6000000</v>
      </c>
      <c r="U75" s="38">
        <v>45755</v>
      </c>
      <c r="V75" s="39">
        <v>2025</v>
      </c>
      <c r="W75" s="42">
        <v>45755</v>
      </c>
      <c r="X75" s="41" t="s">
        <v>6</v>
      </c>
      <c r="Y75" s="38"/>
      <c r="Z75" s="50"/>
      <c r="AA75" s="38"/>
      <c r="AB75" s="43">
        <f>IF($AB$1&lt;W75,0,IF($AB$1&gt;Y75,0,T75))</f>
      </c>
      <c r="AC75" s="43">
        <f>IF($AC$2&lt;U75,0,IF(AND($AC$2&gt;U75,$AC$2&lt;Y75),T75,IF(X75="REJET",0,T75-Z75)))</f>
      </c>
      <c r="AD75" s="1"/>
      <c r="AE75" s="23"/>
      <c r="AF75" s="24"/>
      <c r="AG75" s="25"/>
    </row>
    <row x14ac:dyDescent="0.25" r="76" customHeight="1" ht="18.75">
      <c r="A76" s="13" t="s">
        <v>47</v>
      </c>
      <c r="B76" s="37">
        <v>900</v>
      </c>
      <c r="C76" s="13" t="s">
        <v>3</v>
      </c>
      <c r="D76" s="13" t="s">
        <v>48</v>
      </c>
      <c r="E76" s="38">
        <v>45658</v>
      </c>
      <c r="F76" s="38">
        <v>46022</v>
      </c>
      <c r="G76" s="39">
        <v>74</v>
      </c>
      <c r="H76" s="13" t="s">
        <v>281</v>
      </c>
      <c r="I76" s="38">
        <v>25565</v>
      </c>
      <c r="J76" s="38">
        <v>45658</v>
      </c>
      <c r="K76" s="40" t="s">
        <v>50</v>
      </c>
      <c r="L76" s="13" t="s">
        <v>51</v>
      </c>
      <c r="M76" s="13" t="s">
        <v>52</v>
      </c>
      <c r="N76" s="13" t="s">
        <v>282</v>
      </c>
      <c r="O76" s="13" t="s">
        <v>54</v>
      </c>
      <c r="P76" s="13" t="s">
        <v>55</v>
      </c>
      <c r="Q76" s="38">
        <v>25565</v>
      </c>
      <c r="R76" s="13" t="s">
        <v>283</v>
      </c>
      <c r="S76" s="41" t="s">
        <v>57</v>
      </c>
      <c r="T76" s="37">
        <v>1200000</v>
      </c>
      <c r="U76" s="38">
        <v>45787</v>
      </c>
      <c r="V76" s="39">
        <v>2025</v>
      </c>
      <c r="W76" s="42">
        <v>45787</v>
      </c>
      <c r="X76" s="41" t="s">
        <v>6</v>
      </c>
      <c r="Y76" s="38"/>
      <c r="Z76" s="50"/>
      <c r="AA76" s="38"/>
      <c r="AB76" s="43">
        <f>IF($AB$1&lt;W76,0,IF($AB$1&gt;Y76,0,T76))</f>
      </c>
      <c r="AC76" s="43">
        <f>IF($AC$2&lt;U76,0,IF(AND($AC$2&gt;U76,$AC$2&lt;Y76),T76,IF(X76="REJET",0,T76-Z76)))</f>
      </c>
      <c r="AD76" s="1"/>
      <c r="AE76" s="23"/>
      <c r="AF76" s="24"/>
      <c r="AG76" s="25"/>
    </row>
    <row x14ac:dyDescent="0.25" r="77" customHeight="1" ht="18.75">
      <c r="A77" s="13" t="s">
        <v>47</v>
      </c>
      <c r="B77" s="37">
        <v>900</v>
      </c>
      <c r="C77" s="13" t="s">
        <v>3</v>
      </c>
      <c r="D77" s="13" t="s">
        <v>48</v>
      </c>
      <c r="E77" s="38">
        <v>45658</v>
      </c>
      <c r="F77" s="38">
        <v>46022</v>
      </c>
      <c r="G77" s="39">
        <v>75</v>
      </c>
      <c r="H77" s="13" t="s">
        <v>284</v>
      </c>
      <c r="I77" s="38">
        <v>29908</v>
      </c>
      <c r="J77" s="38">
        <v>45658</v>
      </c>
      <c r="K77" s="40" t="s">
        <v>50</v>
      </c>
      <c r="L77" s="13" t="s">
        <v>51</v>
      </c>
      <c r="M77" s="13" t="s">
        <v>52</v>
      </c>
      <c r="N77" s="13" t="s">
        <v>285</v>
      </c>
      <c r="O77" s="13" t="s">
        <v>62</v>
      </c>
      <c r="P77" s="13" t="s">
        <v>63</v>
      </c>
      <c r="Q77" s="38">
        <v>29908</v>
      </c>
      <c r="R77" s="13" t="s">
        <v>286</v>
      </c>
      <c r="S77" s="41" t="s">
        <v>57</v>
      </c>
      <c r="T77" s="37">
        <v>1200000</v>
      </c>
      <c r="U77" s="38">
        <v>45789</v>
      </c>
      <c r="V77" s="39">
        <v>2025</v>
      </c>
      <c r="W77" s="42">
        <v>45676</v>
      </c>
      <c r="X77" s="41" t="s">
        <v>65</v>
      </c>
      <c r="Y77" s="38">
        <v>45827</v>
      </c>
      <c r="Z77" s="49">
        <v>1200000</v>
      </c>
      <c r="AA77" s="48">
        <f>T77-Z77</f>
      </c>
      <c r="AB77" s="43">
        <f>IF($AB$1&lt;W77,0,IF($AB$1&gt;Y77,0,T77))</f>
      </c>
      <c r="AC77" s="43">
        <f>IF($AC$2&lt;U77,0,IF(AND($AC$2&gt;U77,$AC$2&lt;Y77),T77,IF(X77="REJET",0,T77-Z77)))</f>
      </c>
      <c r="AD77" s="1"/>
      <c r="AE77" s="23"/>
      <c r="AF77" s="24"/>
      <c r="AG77" s="25"/>
    </row>
    <row x14ac:dyDescent="0.25" r="78" customHeight="1" ht="18.75">
      <c r="A78" s="13" t="s">
        <v>47</v>
      </c>
      <c r="B78" s="37">
        <v>900</v>
      </c>
      <c r="C78" s="13" t="s">
        <v>3</v>
      </c>
      <c r="D78" s="13" t="s">
        <v>48</v>
      </c>
      <c r="E78" s="38">
        <v>45658</v>
      </c>
      <c r="F78" s="38">
        <v>46022</v>
      </c>
      <c r="G78" s="39">
        <v>76</v>
      </c>
      <c r="H78" s="13" t="s">
        <v>287</v>
      </c>
      <c r="I78" s="38">
        <v>29845</v>
      </c>
      <c r="J78" s="38">
        <v>45658</v>
      </c>
      <c r="K78" s="40" t="s">
        <v>50</v>
      </c>
      <c r="L78" s="13" t="s">
        <v>51</v>
      </c>
      <c r="M78" s="13" t="s">
        <v>52</v>
      </c>
      <c r="N78" s="13" t="s">
        <v>288</v>
      </c>
      <c r="O78" s="13" t="s">
        <v>54</v>
      </c>
      <c r="P78" s="13" t="s">
        <v>55</v>
      </c>
      <c r="Q78" s="38">
        <v>29845</v>
      </c>
      <c r="R78" s="13" t="s">
        <v>289</v>
      </c>
      <c r="S78" s="41" t="s">
        <v>57</v>
      </c>
      <c r="T78" s="37">
        <v>1200000</v>
      </c>
      <c r="U78" s="38">
        <v>45790</v>
      </c>
      <c r="V78" s="39">
        <v>2025</v>
      </c>
      <c r="W78" s="42">
        <v>45790</v>
      </c>
      <c r="X78" s="41" t="s">
        <v>6</v>
      </c>
      <c r="Y78" s="38"/>
      <c r="Z78" s="50"/>
      <c r="AA78" s="38"/>
      <c r="AB78" s="43">
        <f>IF($AB$1&lt;W78,0,IF($AB$1&gt;Y78,0,T78))</f>
      </c>
      <c r="AC78" s="43">
        <f>IF($AC$2&lt;U78,0,IF(AND($AC$2&gt;U78,$AC$2&lt;Y78),T78,IF(X78="REJET",0,T78-Z78)))</f>
      </c>
      <c r="AD78" s="1"/>
      <c r="AE78" s="23"/>
      <c r="AF78" s="24"/>
      <c r="AG78" s="25"/>
    </row>
    <row x14ac:dyDescent="0.25" r="79" customHeight="1" ht="18.75">
      <c r="A79" s="13" t="s">
        <v>47</v>
      </c>
      <c r="B79" s="37">
        <v>900</v>
      </c>
      <c r="C79" s="13" t="s">
        <v>3</v>
      </c>
      <c r="D79" s="13" t="s">
        <v>48</v>
      </c>
      <c r="E79" s="38">
        <v>45658</v>
      </c>
      <c r="F79" s="38">
        <v>46022</v>
      </c>
      <c r="G79" s="39">
        <v>77</v>
      </c>
      <c r="H79" s="13" t="s">
        <v>290</v>
      </c>
      <c r="I79" s="38">
        <v>31914</v>
      </c>
      <c r="J79" s="38">
        <v>45658</v>
      </c>
      <c r="K79" s="40" t="s">
        <v>50</v>
      </c>
      <c r="L79" s="13" t="s">
        <v>51</v>
      </c>
      <c r="M79" s="13" t="s">
        <v>52</v>
      </c>
      <c r="N79" s="13" t="s">
        <v>291</v>
      </c>
      <c r="O79" s="13" t="s">
        <v>54</v>
      </c>
      <c r="P79" s="13" t="s">
        <v>55</v>
      </c>
      <c r="Q79" s="38">
        <v>31914</v>
      </c>
      <c r="R79" s="13" t="s">
        <v>292</v>
      </c>
      <c r="S79" s="41" t="s">
        <v>57</v>
      </c>
      <c r="T79" s="37">
        <v>1200000</v>
      </c>
      <c r="U79" s="38">
        <v>45790</v>
      </c>
      <c r="V79" s="39">
        <v>2025</v>
      </c>
      <c r="W79" s="42">
        <v>45790</v>
      </c>
      <c r="X79" s="41" t="s">
        <v>6</v>
      </c>
      <c r="Y79" s="38"/>
      <c r="Z79" s="50"/>
      <c r="AA79" s="38"/>
      <c r="AB79" s="43">
        <f>IF($AB$1&lt;W79,0,IF($AB$1&gt;Y79,0,T79))</f>
      </c>
      <c r="AC79" s="43">
        <f>IF($AC$2&lt;U79,0,IF(AND($AC$2&gt;U79,$AC$2&lt;Y79),T79,IF(X79="REJET",0,T79-Z79)))</f>
      </c>
      <c r="AD79" s="1"/>
      <c r="AE79" s="23"/>
      <c r="AF79" s="24"/>
      <c r="AG79" s="25"/>
    </row>
    <row x14ac:dyDescent="0.25" r="80" customHeight="1" ht="18.75">
      <c r="A80" s="13" t="s">
        <v>47</v>
      </c>
      <c r="B80" s="37">
        <v>900</v>
      </c>
      <c r="C80" s="13" t="s">
        <v>3</v>
      </c>
      <c r="D80" s="13" t="s">
        <v>48</v>
      </c>
      <c r="E80" s="38">
        <v>45658</v>
      </c>
      <c r="F80" s="38">
        <v>46022</v>
      </c>
      <c r="G80" s="39">
        <v>78</v>
      </c>
      <c r="H80" s="13" t="s">
        <v>293</v>
      </c>
      <c r="I80" s="38">
        <v>22962</v>
      </c>
      <c r="J80" s="38">
        <v>45658</v>
      </c>
      <c r="K80" s="40" t="s">
        <v>50</v>
      </c>
      <c r="L80" s="13" t="s">
        <v>51</v>
      </c>
      <c r="M80" s="13" t="s">
        <v>52</v>
      </c>
      <c r="N80" s="13" t="s">
        <v>294</v>
      </c>
      <c r="O80" s="13" t="s">
        <v>54</v>
      </c>
      <c r="P80" s="13" t="s">
        <v>55</v>
      </c>
      <c r="Q80" s="38">
        <v>22962</v>
      </c>
      <c r="R80" s="13" t="s">
        <v>295</v>
      </c>
      <c r="S80" s="41" t="s">
        <v>57</v>
      </c>
      <c r="T80" s="37">
        <v>1200000</v>
      </c>
      <c r="U80" s="38">
        <v>45791</v>
      </c>
      <c r="V80" s="39">
        <v>2025</v>
      </c>
      <c r="W80" s="42">
        <v>45791</v>
      </c>
      <c r="X80" s="41" t="s">
        <v>6</v>
      </c>
      <c r="Y80" s="38"/>
      <c r="Z80" s="50"/>
      <c r="AA80" s="38"/>
      <c r="AB80" s="43">
        <f>IF($AB$1&lt;W80,0,IF($AB$1&gt;Y80,0,T80))</f>
      </c>
      <c r="AC80" s="43">
        <f>IF($AC$2&lt;U80,0,IF(AND($AC$2&gt;U80,$AC$2&lt;Y80),T80,IF(X80="REJET",0,T80-Z80)))</f>
      </c>
      <c r="AD80" s="1"/>
      <c r="AE80" s="23"/>
      <c r="AF80" s="24"/>
      <c r="AG80" s="25"/>
    </row>
    <row x14ac:dyDescent="0.25" r="81" customHeight="1" ht="18.75">
      <c r="A81" s="13" t="s">
        <v>47</v>
      </c>
      <c r="B81" s="37">
        <v>900</v>
      </c>
      <c r="C81" s="13" t="s">
        <v>3</v>
      </c>
      <c r="D81" s="13" t="s">
        <v>48</v>
      </c>
      <c r="E81" s="38">
        <v>45658</v>
      </c>
      <c r="F81" s="38">
        <v>46022</v>
      </c>
      <c r="G81" s="39">
        <v>79</v>
      </c>
      <c r="H81" s="13" t="s">
        <v>296</v>
      </c>
      <c r="I81" s="38">
        <v>29367</v>
      </c>
      <c r="J81" s="38">
        <v>45658</v>
      </c>
      <c r="K81" s="40" t="s">
        <v>50</v>
      </c>
      <c r="L81" s="13" t="s">
        <v>51</v>
      </c>
      <c r="M81" s="13" t="s">
        <v>52</v>
      </c>
      <c r="N81" s="13" t="s">
        <v>297</v>
      </c>
      <c r="O81" s="13" t="s">
        <v>54</v>
      </c>
      <c r="P81" s="13" t="s">
        <v>55</v>
      </c>
      <c r="Q81" s="38">
        <v>29367</v>
      </c>
      <c r="R81" s="13" t="s">
        <v>298</v>
      </c>
      <c r="S81" s="41" t="s">
        <v>82</v>
      </c>
      <c r="T81" s="37">
        <v>6000000</v>
      </c>
      <c r="U81" s="38">
        <v>45791</v>
      </c>
      <c r="V81" s="39">
        <v>2025</v>
      </c>
      <c r="W81" s="42">
        <v>45779</v>
      </c>
      <c r="X81" s="41" t="s">
        <v>6</v>
      </c>
      <c r="Y81" s="38"/>
      <c r="Z81" s="50"/>
      <c r="AA81" s="38"/>
      <c r="AB81" s="43">
        <f>IF($AB$1&lt;W81,0,IF($AB$1&gt;Y81,0,T81))</f>
      </c>
      <c r="AC81" s="43">
        <f>IF($AC$2&lt;U81,0,IF(AND($AC$2&gt;U81,$AC$2&lt;Y81),T81,IF(X81="REJET",0,T81-Z81)))</f>
      </c>
      <c r="AD81" s="1"/>
      <c r="AE81" s="23"/>
      <c r="AF81" s="24"/>
      <c r="AG81" s="25"/>
    </row>
    <row x14ac:dyDescent="0.25" r="82" customHeight="1" ht="18.75">
      <c r="A82" s="13" t="s">
        <v>47</v>
      </c>
      <c r="B82" s="37">
        <v>900</v>
      </c>
      <c r="C82" s="13" t="s">
        <v>3</v>
      </c>
      <c r="D82" s="13" t="s">
        <v>48</v>
      </c>
      <c r="E82" s="38">
        <v>45658</v>
      </c>
      <c r="F82" s="38">
        <v>46022</v>
      </c>
      <c r="G82" s="39">
        <v>80</v>
      </c>
      <c r="H82" s="13" t="s">
        <v>299</v>
      </c>
      <c r="I82" s="38">
        <v>23438</v>
      </c>
      <c r="J82" s="38">
        <v>45658</v>
      </c>
      <c r="K82" s="40" t="s">
        <v>50</v>
      </c>
      <c r="L82" s="13" t="s">
        <v>51</v>
      </c>
      <c r="M82" s="13" t="s">
        <v>52</v>
      </c>
      <c r="N82" s="13" t="s">
        <v>300</v>
      </c>
      <c r="O82" s="13" t="s">
        <v>54</v>
      </c>
      <c r="P82" s="13" t="s">
        <v>55</v>
      </c>
      <c r="Q82" s="38">
        <v>23438</v>
      </c>
      <c r="R82" s="13" t="s">
        <v>301</v>
      </c>
      <c r="S82" s="41" t="s">
        <v>57</v>
      </c>
      <c r="T82" s="37">
        <v>1200000</v>
      </c>
      <c r="U82" s="38">
        <v>45791</v>
      </c>
      <c r="V82" s="39">
        <v>2025</v>
      </c>
      <c r="W82" s="42">
        <v>45791</v>
      </c>
      <c r="X82" s="41" t="s">
        <v>6</v>
      </c>
      <c r="Y82" s="38"/>
      <c r="Z82" s="50"/>
      <c r="AA82" s="38"/>
      <c r="AB82" s="43">
        <f>IF($AB$1&lt;W82,0,IF($AB$1&gt;Y82,0,T82))</f>
      </c>
      <c r="AC82" s="43">
        <f>IF($AC$2&lt;U82,0,IF(AND($AC$2&gt;U82,$AC$2&lt;Y82),T82,IF(X82="REJET",0,T82-Z82)))</f>
      </c>
      <c r="AD82" s="1"/>
      <c r="AE82" s="23"/>
      <c r="AF82" s="24"/>
      <c r="AG82" s="25"/>
    </row>
    <row x14ac:dyDescent="0.25" r="83" customHeight="1" ht="18.75">
      <c r="A83" s="13" t="s">
        <v>47</v>
      </c>
      <c r="B83" s="37">
        <v>900</v>
      </c>
      <c r="C83" s="13" t="s">
        <v>3</v>
      </c>
      <c r="D83" s="13" t="s">
        <v>48</v>
      </c>
      <c r="E83" s="38">
        <v>45658</v>
      </c>
      <c r="F83" s="38">
        <v>46022</v>
      </c>
      <c r="G83" s="39">
        <v>81</v>
      </c>
      <c r="H83" s="13" t="s">
        <v>302</v>
      </c>
      <c r="I83" s="38">
        <v>25239</v>
      </c>
      <c r="J83" s="38">
        <v>45658</v>
      </c>
      <c r="K83" s="40" t="s">
        <v>50</v>
      </c>
      <c r="L83" s="13" t="s">
        <v>51</v>
      </c>
      <c r="M83" s="13" t="s">
        <v>52</v>
      </c>
      <c r="N83" s="13" t="s">
        <v>303</v>
      </c>
      <c r="O83" s="13" t="s">
        <v>54</v>
      </c>
      <c r="P83" s="13" t="s">
        <v>55</v>
      </c>
      <c r="Q83" s="38">
        <v>25239</v>
      </c>
      <c r="R83" s="13" t="s">
        <v>304</v>
      </c>
      <c r="S83" s="41" t="s">
        <v>82</v>
      </c>
      <c r="T83" s="37">
        <v>6000000</v>
      </c>
      <c r="U83" s="38">
        <v>45782</v>
      </c>
      <c r="V83" s="39">
        <v>2025</v>
      </c>
      <c r="W83" s="42">
        <v>45780</v>
      </c>
      <c r="X83" s="41" t="s">
        <v>6</v>
      </c>
      <c r="Y83" s="38"/>
      <c r="Z83" s="50"/>
      <c r="AA83" s="38"/>
      <c r="AB83" s="43">
        <f>IF($AB$1&lt;W83,0,IF($AB$1&gt;Y83,0,T83))</f>
      </c>
      <c r="AC83" s="43">
        <f>IF($AC$2&lt;U83,0,IF(AND($AC$2&gt;U83,$AC$2&lt;Y83),T83,IF(X83="REJET",0,T83-Z83)))</f>
      </c>
      <c r="AD83" s="1"/>
      <c r="AE83" s="23"/>
      <c r="AF83" s="24"/>
      <c r="AG83" s="25"/>
    </row>
    <row x14ac:dyDescent="0.25" r="84" customHeight="1" ht="18.75">
      <c r="A84" s="13" t="s">
        <v>47</v>
      </c>
      <c r="B84" s="37">
        <v>900</v>
      </c>
      <c r="C84" s="13" t="s">
        <v>3</v>
      </c>
      <c r="D84" s="13" t="s">
        <v>48</v>
      </c>
      <c r="E84" s="38">
        <v>45658</v>
      </c>
      <c r="F84" s="38">
        <v>46022</v>
      </c>
      <c r="G84" s="39">
        <v>82</v>
      </c>
      <c r="H84" s="13" t="s">
        <v>305</v>
      </c>
      <c r="I84" s="38">
        <v>33587</v>
      </c>
      <c r="J84" s="38">
        <v>45658</v>
      </c>
      <c r="K84" s="40" t="s">
        <v>50</v>
      </c>
      <c r="L84" s="13" t="s">
        <v>51</v>
      </c>
      <c r="M84" s="13" t="s">
        <v>52</v>
      </c>
      <c r="N84" s="13" t="s">
        <v>306</v>
      </c>
      <c r="O84" s="13" t="s">
        <v>54</v>
      </c>
      <c r="P84" s="13" t="s">
        <v>55</v>
      </c>
      <c r="Q84" s="38">
        <v>33587</v>
      </c>
      <c r="R84" s="13" t="s">
        <v>307</v>
      </c>
      <c r="S84" s="41" t="s">
        <v>82</v>
      </c>
      <c r="T84" s="37">
        <v>6000000</v>
      </c>
      <c r="U84" s="38">
        <v>45794</v>
      </c>
      <c r="V84" s="39">
        <v>2025</v>
      </c>
      <c r="W84" s="42">
        <v>45792</v>
      </c>
      <c r="X84" s="41" t="s">
        <v>6</v>
      </c>
      <c r="Y84" s="38"/>
      <c r="Z84" s="50"/>
      <c r="AA84" s="38"/>
      <c r="AB84" s="43">
        <f>IF($AB$1&lt;W84,0,IF($AB$1&gt;Y84,0,T84))</f>
      </c>
      <c r="AC84" s="43">
        <f>IF($AC$2&lt;U84,0,IF(AND($AC$2&gt;U84,$AC$2&lt;Y84),T84,IF(X84="REJET",0,T84-Z84)))</f>
      </c>
      <c r="AD84" s="1"/>
      <c r="AE84" s="23"/>
      <c r="AF84" s="24"/>
      <c r="AG84" s="25"/>
    </row>
    <row x14ac:dyDescent="0.25" r="85" customHeight="1" ht="18.75">
      <c r="A85" s="13" t="s">
        <v>47</v>
      </c>
      <c r="B85" s="37">
        <v>900</v>
      </c>
      <c r="C85" s="13" t="s">
        <v>3</v>
      </c>
      <c r="D85" s="13" t="s">
        <v>48</v>
      </c>
      <c r="E85" s="38">
        <v>45658</v>
      </c>
      <c r="F85" s="38">
        <v>46022</v>
      </c>
      <c r="G85" s="39">
        <v>83</v>
      </c>
      <c r="H85" s="13" t="s">
        <v>308</v>
      </c>
      <c r="I85" s="38">
        <v>26885</v>
      </c>
      <c r="J85" s="38">
        <v>45658</v>
      </c>
      <c r="K85" s="40" t="s">
        <v>50</v>
      </c>
      <c r="L85" s="13" t="s">
        <v>51</v>
      </c>
      <c r="M85" s="13" t="s">
        <v>52</v>
      </c>
      <c r="N85" s="13" t="s">
        <v>309</v>
      </c>
      <c r="O85" s="13" t="s">
        <v>54</v>
      </c>
      <c r="P85" s="13" t="s">
        <v>55</v>
      </c>
      <c r="Q85" s="38">
        <v>26885</v>
      </c>
      <c r="R85" s="13" t="s">
        <v>310</v>
      </c>
      <c r="S85" s="41" t="s">
        <v>82</v>
      </c>
      <c r="T85" s="37">
        <v>6000000</v>
      </c>
      <c r="U85" s="38">
        <v>45792</v>
      </c>
      <c r="V85" s="39">
        <v>2025</v>
      </c>
      <c r="W85" s="42">
        <v>45768</v>
      </c>
      <c r="X85" s="41" t="s">
        <v>6</v>
      </c>
      <c r="Y85" s="38"/>
      <c r="Z85" s="50"/>
      <c r="AA85" s="38"/>
      <c r="AB85" s="43">
        <f>IF($AB$1&lt;W85,0,IF($AB$1&gt;Y85,0,T85))</f>
      </c>
      <c r="AC85" s="43">
        <f>IF($AC$2&lt;U85,0,IF(AND($AC$2&gt;U85,$AC$2&lt;Y85),T85,IF(X85="REJET",0,T85-Z85)))</f>
      </c>
      <c r="AD85" s="1"/>
      <c r="AE85" s="23"/>
      <c r="AF85" s="24"/>
      <c r="AG85" s="25"/>
    </row>
    <row x14ac:dyDescent="0.25" r="86" customHeight="1" ht="18.75">
      <c r="A86" s="13" t="s">
        <v>47</v>
      </c>
      <c r="B86" s="37">
        <v>900</v>
      </c>
      <c r="C86" s="13" t="s">
        <v>3</v>
      </c>
      <c r="D86" s="13" t="s">
        <v>48</v>
      </c>
      <c r="E86" s="38">
        <v>45658</v>
      </c>
      <c r="F86" s="38">
        <v>46022</v>
      </c>
      <c r="G86" s="39">
        <v>84</v>
      </c>
      <c r="H86" s="13" t="s">
        <v>311</v>
      </c>
      <c r="I86" s="38">
        <v>24107</v>
      </c>
      <c r="J86" s="38">
        <v>45658</v>
      </c>
      <c r="K86" s="40" t="s">
        <v>50</v>
      </c>
      <c r="L86" s="13" t="s">
        <v>51</v>
      </c>
      <c r="M86" s="13" t="s">
        <v>52</v>
      </c>
      <c r="N86" s="13" t="s">
        <v>312</v>
      </c>
      <c r="O86" s="13" t="s">
        <v>54</v>
      </c>
      <c r="P86" s="13" t="s">
        <v>55</v>
      </c>
      <c r="Q86" s="38">
        <v>24107</v>
      </c>
      <c r="R86" s="13" t="s">
        <v>313</v>
      </c>
      <c r="S86" s="41" t="s">
        <v>82</v>
      </c>
      <c r="T86" s="37">
        <v>6000000</v>
      </c>
      <c r="U86" s="38">
        <v>45800</v>
      </c>
      <c r="V86" s="39">
        <v>2025</v>
      </c>
      <c r="W86" s="42">
        <v>45795</v>
      </c>
      <c r="X86" s="41" t="s">
        <v>6</v>
      </c>
      <c r="Y86" s="38"/>
      <c r="Z86" s="50"/>
      <c r="AA86" s="38"/>
      <c r="AB86" s="43">
        <f>IF($AB$1&lt;W86,0,IF($AB$1&gt;Y86,0,T86))</f>
      </c>
      <c r="AC86" s="43">
        <f>IF($AC$2&lt;U86,0,IF(AND($AC$2&gt;U86,$AC$2&lt;Y86),T86,IF(X86="REJET",0,T86-Z86)))</f>
      </c>
      <c r="AD86" s="1"/>
      <c r="AE86" s="23"/>
      <c r="AF86" s="24"/>
      <c r="AG86" s="25"/>
    </row>
    <row x14ac:dyDescent="0.25" r="87" customHeight="1" ht="18.75">
      <c r="A87" s="13" t="s">
        <v>47</v>
      </c>
      <c r="B87" s="37">
        <v>900</v>
      </c>
      <c r="C87" s="13" t="s">
        <v>3</v>
      </c>
      <c r="D87" s="13" t="s">
        <v>48</v>
      </c>
      <c r="E87" s="38">
        <v>45658</v>
      </c>
      <c r="F87" s="38">
        <v>46022</v>
      </c>
      <c r="G87" s="39">
        <v>85</v>
      </c>
      <c r="H87" s="13" t="s">
        <v>314</v>
      </c>
      <c r="I87" s="38">
        <v>24707</v>
      </c>
      <c r="J87" s="38">
        <v>45658</v>
      </c>
      <c r="K87" s="40" t="s">
        <v>50</v>
      </c>
      <c r="L87" s="13" t="s">
        <v>51</v>
      </c>
      <c r="M87" s="13" t="s">
        <v>52</v>
      </c>
      <c r="N87" s="13" t="s">
        <v>315</v>
      </c>
      <c r="O87" s="13" t="s">
        <v>54</v>
      </c>
      <c r="P87" s="13" t="s">
        <v>55</v>
      </c>
      <c r="Q87" s="38">
        <v>24707</v>
      </c>
      <c r="R87" s="13" t="s">
        <v>316</v>
      </c>
      <c r="S87" s="41" t="s">
        <v>57</v>
      </c>
      <c r="T87" s="37">
        <v>1200000</v>
      </c>
      <c r="U87" s="38">
        <v>45802</v>
      </c>
      <c r="V87" s="39">
        <v>2025</v>
      </c>
      <c r="W87" s="42">
        <v>45802</v>
      </c>
      <c r="X87" s="41" t="s">
        <v>6</v>
      </c>
      <c r="Y87" s="38"/>
      <c r="Z87" s="50"/>
      <c r="AA87" s="38"/>
      <c r="AB87" s="43">
        <f>IF($AB$1&lt;W87,0,IF($AB$1&gt;Y87,0,T87))</f>
      </c>
      <c r="AC87" s="43">
        <f>IF($AC$2&lt;U87,0,IF(AND($AC$2&gt;U87,$AC$2&lt;Y87),T87,IF(X87="REJET",0,T87-Z87)))</f>
      </c>
      <c r="AD87" s="1"/>
      <c r="AE87" s="23"/>
      <c r="AF87" s="24"/>
      <c r="AG87" s="25"/>
    </row>
    <row x14ac:dyDescent="0.25" r="88" customHeight="1" ht="18.75">
      <c r="A88" s="13" t="s">
        <v>47</v>
      </c>
      <c r="B88" s="37">
        <v>900</v>
      </c>
      <c r="C88" s="13" t="s">
        <v>3</v>
      </c>
      <c r="D88" s="13" t="s">
        <v>48</v>
      </c>
      <c r="E88" s="38">
        <v>45658</v>
      </c>
      <c r="F88" s="38">
        <v>46022</v>
      </c>
      <c r="G88" s="39">
        <v>86</v>
      </c>
      <c r="H88" s="13" t="s">
        <v>317</v>
      </c>
      <c r="I88" s="38">
        <v>27915</v>
      </c>
      <c r="J88" s="38">
        <v>45658</v>
      </c>
      <c r="K88" s="40" t="s">
        <v>50</v>
      </c>
      <c r="L88" s="13" t="s">
        <v>51</v>
      </c>
      <c r="M88" s="13" t="s">
        <v>52</v>
      </c>
      <c r="N88" s="13" t="s">
        <v>318</v>
      </c>
      <c r="O88" s="13" t="s">
        <v>54</v>
      </c>
      <c r="P88" s="13" t="s">
        <v>55</v>
      </c>
      <c r="Q88" s="38">
        <v>27915</v>
      </c>
      <c r="R88" s="13" t="s">
        <v>319</v>
      </c>
      <c r="S88" s="41" t="s">
        <v>57</v>
      </c>
      <c r="T88" s="37">
        <v>1200000</v>
      </c>
      <c r="U88" s="38">
        <v>45802</v>
      </c>
      <c r="V88" s="39">
        <v>2025</v>
      </c>
      <c r="W88" s="42">
        <v>45802</v>
      </c>
      <c r="X88" s="41" t="s">
        <v>6</v>
      </c>
      <c r="Y88" s="38"/>
      <c r="Z88" s="50"/>
      <c r="AA88" s="38"/>
      <c r="AB88" s="43">
        <f>IF($AB$1&lt;W88,0,IF($AB$1&gt;Y88,0,T88))</f>
      </c>
      <c r="AC88" s="43">
        <f>IF($AC$2&lt;U88,0,IF(AND($AC$2&gt;U88,$AC$2&lt;Y88),T88,IF(X88="REJET",0,T88-Z88)))</f>
      </c>
      <c r="AD88" s="1"/>
      <c r="AE88" s="23"/>
      <c r="AF88" s="24"/>
      <c r="AG88" s="25"/>
    </row>
    <row x14ac:dyDescent="0.25" r="89" customHeight="1" ht="18.75">
      <c r="A89" s="13" t="s">
        <v>47</v>
      </c>
      <c r="B89" s="37">
        <v>900</v>
      </c>
      <c r="C89" s="13" t="s">
        <v>3</v>
      </c>
      <c r="D89" s="13" t="s">
        <v>48</v>
      </c>
      <c r="E89" s="38">
        <v>45658</v>
      </c>
      <c r="F89" s="38">
        <v>46022</v>
      </c>
      <c r="G89" s="39">
        <v>87</v>
      </c>
      <c r="H89" s="13" t="s">
        <v>320</v>
      </c>
      <c r="I89" s="38">
        <v>24331</v>
      </c>
      <c r="J89" s="38">
        <v>45658</v>
      </c>
      <c r="K89" s="40" t="s">
        <v>50</v>
      </c>
      <c r="L89" s="13" t="s">
        <v>51</v>
      </c>
      <c r="M89" s="13" t="s">
        <v>52</v>
      </c>
      <c r="N89" s="13" t="s">
        <v>321</v>
      </c>
      <c r="O89" s="13" t="s">
        <v>54</v>
      </c>
      <c r="P89" s="13" t="s">
        <v>55</v>
      </c>
      <c r="Q89" s="38">
        <v>24331</v>
      </c>
      <c r="R89" s="13" t="s">
        <v>322</v>
      </c>
      <c r="S89" s="41" t="s">
        <v>57</v>
      </c>
      <c r="T89" s="37">
        <v>1200000</v>
      </c>
      <c r="U89" s="38">
        <v>45806</v>
      </c>
      <c r="V89" s="39">
        <v>2025</v>
      </c>
      <c r="W89" s="42">
        <v>45806</v>
      </c>
      <c r="X89" s="41" t="s">
        <v>6</v>
      </c>
      <c r="Y89" s="38"/>
      <c r="Z89" s="50"/>
      <c r="AA89" s="38"/>
      <c r="AB89" s="43">
        <f>IF($AB$1&lt;W89,0,IF($AB$1&gt;Y89,0,T89))</f>
      </c>
      <c r="AC89" s="43">
        <f>IF($AC$2&lt;U89,0,IF(AND($AC$2&gt;U89,$AC$2&lt;Y89),T89,IF(X89="REJET",0,T89-Z89)))</f>
      </c>
      <c r="AD89" s="1"/>
      <c r="AE89" s="23"/>
      <c r="AF89" s="24"/>
      <c r="AG89" s="25"/>
    </row>
    <row x14ac:dyDescent="0.25" r="90" customHeight="1" ht="18.75">
      <c r="A90" s="13" t="s">
        <v>47</v>
      </c>
      <c r="B90" s="37">
        <v>900</v>
      </c>
      <c r="C90" s="13" t="s">
        <v>3</v>
      </c>
      <c r="D90" s="13" t="s">
        <v>48</v>
      </c>
      <c r="E90" s="38">
        <v>45658</v>
      </c>
      <c r="F90" s="38">
        <v>46022</v>
      </c>
      <c r="G90" s="39">
        <v>88</v>
      </c>
      <c r="H90" s="13" t="s">
        <v>323</v>
      </c>
      <c r="I90" s="38">
        <v>33617</v>
      </c>
      <c r="J90" s="38">
        <v>45658</v>
      </c>
      <c r="K90" s="40" t="s">
        <v>50</v>
      </c>
      <c r="L90" s="13" t="s">
        <v>51</v>
      </c>
      <c r="M90" s="13" t="s">
        <v>52</v>
      </c>
      <c r="N90" s="13" t="s">
        <v>324</v>
      </c>
      <c r="O90" s="13" t="s">
        <v>62</v>
      </c>
      <c r="P90" s="13" t="s">
        <v>63</v>
      </c>
      <c r="Q90" s="38">
        <v>33617</v>
      </c>
      <c r="R90" s="13" t="s">
        <v>325</v>
      </c>
      <c r="S90" s="41" t="s">
        <v>57</v>
      </c>
      <c r="T90" s="37">
        <v>1200000</v>
      </c>
      <c r="U90" s="38">
        <v>45806</v>
      </c>
      <c r="V90" s="39">
        <v>2025</v>
      </c>
      <c r="W90" s="42">
        <v>45806</v>
      </c>
      <c r="X90" s="41" t="s">
        <v>6</v>
      </c>
      <c r="Y90" s="38"/>
      <c r="Z90" s="50"/>
      <c r="AA90" s="38"/>
      <c r="AB90" s="43">
        <f>IF($AB$1&lt;W90,0,IF($AB$1&gt;Y90,0,T90))</f>
      </c>
      <c r="AC90" s="43">
        <f>IF($AC$2&lt;U90,0,IF(AND($AC$2&gt;U90,$AC$2&lt;Y90),T90,IF(X90="REJET",0,T90-Z90)))</f>
      </c>
      <c r="AD90" s="1"/>
      <c r="AE90" s="23"/>
      <c r="AF90" s="24"/>
      <c r="AG90" s="25"/>
    </row>
    <row x14ac:dyDescent="0.25" r="91" customHeight="1" ht="18.75">
      <c r="A91" s="13" t="s">
        <v>47</v>
      </c>
      <c r="B91" s="37">
        <v>900</v>
      </c>
      <c r="C91" s="13" t="s">
        <v>3</v>
      </c>
      <c r="D91" s="13" t="s">
        <v>48</v>
      </c>
      <c r="E91" s="38">
        <v>45658</v>
      </c>
      <c r="F91" s="38">
        <v>46022</v>
      </c>
      <c r="G91" s="39">
        <v>89</v>
      </c>
      <c r="H91" s="13" t="s">
        <v>326</v>
      </c>
      <c r="I91" s="38">
        <v>26448</v>
      </c>
      <c r="J91" s="38">
        <v>45658</v>
      </c>
      <c r="K91" s="40" t="s">
        <v>50</v>
      </c>
      <c r="L91" s="13" t="s">
        <v>51</v>
      </c>
      <c r="M91" s="13" t="s">
        <v>52</v>
      </c>
      <c r="N91" s="13" t="s">
        <v>327</v>
      </c>
      <c r="O91" s="13" t="s">
        <v>54</v>
      </c>
      <c r="P91" s="13" t="s">
        <v>55</v>
      </c>
      <c r="Q91" s="38">
        <v>26448</v>
      </c>
      <c r="R91" s="13" t="s">
        <v>328</v>
      </c>
      <c r="S91" s="41" t="s">
        <v>82</v>
      </c>
      <c r="T91" s="37">
        <v>4800000</v>
      </c>
      <c r="U91" s="38">
        <v>45806</v>
      </c>
      <c r="V91" s="39">
        <v>2025</v>
      </c>
      <c r="W91" s="42">
        <v>45805</v>
      </c>
      <c r="X91" s="41" t="s">
        <v>6</v>
      </c>
      <c r="Y91" s="38"/>
      <c r="Z91" s="50"/>
      <c r="AA91" s="38"/>
      <c r="AB91" s="43">
        <f>IF($AB$1&lt;W91,0,IF($AB$1&gt;Y91,0,T91))</f>
      </c>
      <c r="AC91" s="43">
        <f>IF($AC$2&lt;U91,0,IF(AND($AC$2&gt;U91,$AC$2&lt;Y91),T91,IF(X91="REJET",0,T91-Z91)))</f>
      </c>
      <c r="AD91" s="1"/>
      <c r="AE91" s="23"/>
      <c r="AF91" s="24"/>
      <c r="AG91" s="25"/>
    </row>
    <row x14ac:dyDescent="0.25" r="92" customHeight="1" ht="18.75">
      <c r="A92" s="13" t="s">
        <v>47</v>
      </c>
      <c r="B92" s="37">
        <v>900</v>
      </c>
      <c r="C92" s="13" t="s">
        <v>3</v>
      </c>
      <c r="D92" s="13" t="s">
        <v>48</v>
      </c>
      <c r="E92" s="38">
        <v>45658</v>
      </c>
      <c r="F92" s="38">
        <v>46022</v>
      </c>
      <c r="G92" s="39">
        <v>90</v>
      </c>
      <c r="H92" s="13" t="s">
        <v>329</v>
      </c>
      <c r="I92" s="38">
        <v>26021</v>
      </c>
      <c r="J92" s="38">
        <v>45658</v>
      </c>
      <c r="K92" s="40" t="s">
        <v>50</v>
      </c>
      <c r="L92" s="13" t="s">
        <v>51</v>
      </c>
      <c r="M92" s="13" t="s">
        <v>52</v>
      </c>
      <c r="N92" s="13" t="s">
        <v>330</v>
      </c>
      <c r="O92" s="13" t="s">
        <v>54</v>
      </c>
      <c r="P92" s="13" t="s">
        <v>55</v>
      </c>
      <c r="Q92" s="38">
        <v>26021</v>
      </c>
      <c r="R92" s="13" t="s">
        <v>331</v>
      </c>
      <c r="S92" s="41" t="s">
        <v>57</v>
      </c>
      <c r="T92" s="37">
        <v>1200000</v>
      </c>
      <c r="U92" s="38">
        <v>45810</v>
      </c>
      <c r="V92" s="39">
        <v>2025</v>
      </c>
      <c r="W92" s="42">
        <v>45810</v>
      </c>
      <c r="X92" s="41" t="s">
        <v>6</v>
      </c>
      <c r="Y92" s="38"/>
      <c r="Z92" s="50"/>
      <c r="AA92" s="38"/>
      <c r="AB92" s="43">
        <f>IF($AB$1&lt;W92,0,IF($AB$1&gt;Y92,0,T92))</f>
      </c>
      <c r="AC92" s="43">
        <f>IF($AC$2&lt;U92,0,IF(AND($AC$2&gt;U92,$AC$2&lt;Y92),T92,IF(X92="REJET",0,T92-Z92)))</f>
      </c>
      <c r="AD92" s="1"/>
      <c r="AE92" s="23"/>
      <c r="AF92" s="24"/>
      <c r="AG92" s="25"/>
    </row>
    <row x14ac:dyDescent="0.25" r="93" customHeight="1" ht="18.75">
      <c r="A93" s="13" t="s">
        <v>47</v>
      </c>
      <c r="B93" s="37">
        <v>900</v>
      </c>
      <c r="C93" s="13" t="s">
        <v>3</v>
      </c>
      <c r="D93" s="13" t="s">
        <v>48</v>
      </c>
      <c r="E93" s="38">
        <v>45658</v>
      </c>
      <c r="F93" s="38">
        <v>46022</v>
      </c>
      <c r="G93" s="39">
        <v>91</v>
      </c>
      <c r="H93" s="13" t="s">
        <v>332</v>
      </c>
      <c r="I93" s="38">
        <v>28758</v>
      </c>
      <c r="J93" s="38">
        <v>45658</v>
      </c>
      <c r="K93" s="40" t="s">
        <v>50</v>
      </c>
      <c r="L93" s="13" t="s">
        <v>51</v>
      </c>
      <c r="M93" s="13" t="s">
        <v>52</v>
      </c>
      <c r="N93" s="13" t="s">
        <v>333</v>
      </c>
      <c r="O93" s="13" t="s">
        <v>62</v>
      </c>
      <c r="P93" s="13" t="s">
        <v>63</v>
      </c>
      <c r="Q93" s="38">
        <v>28758</v>
      </c>
      <c r="R93" s="13" t="s">
        <v>334</v>
      </c>
      <c r="S93" s="41" t="s">
        <v>82</v>
      </c>
      <c r="T93" s="37">
        <v>6000000</v>
      </c>
      <c r="U93" s="38">
        <v>45817</v>
      </c>
      <c r="V93" s="39">
        <v>2025</v>
      </c>
      <c r="W93" s="42">
        <v>45816</v>
      </c>
      <c r="X93" s="41" t="s">
        <v>6</v>
      </c>
      <c r="Y93" s="38"/>
      <c r="Z93" s="50"/>
      <c r="AA93" s="38"/>
      <c r="AB93" s="43">
        <f>IF($AB$1&lt;W93,0,IF($AB$1&gt;Y93,0,T93))</f>
      </c>
      <c r="AC93" s="43">
        <f>IF($AC$2&lt;U93,0,IF(AND($AC$2&gt;U93,$AC$2&lt;Y93),T93,IF(X93="REJET",0,T93-Z93)))</f>
      </c>
      <c r="AD93" s="1"/>
      <c r="AE93" s="23"/>
      <c r="AF93" s="24"/>
      <c r="AG93" s="25"/>
    </row>
    <row x14ac:dyDescent="0.25" r="94" customHeight="1" ht="18.75">
      <c r="A94" s="13" t="s">
        <v>47</v>
      </c>
      <c r="B94" s="37">
        <v>900</v>
      </c>
      <c r="C94" s="13" t="s">
        <v>3</v>
      </c>
      <c r="D94" s="13" t="s">
        <v>48</v>
      </c>
      <c r="E94" s="38">
        <v>45658</v>
      </c>
      <c r="F94" s="38">
        <v>46022</v>
      </c>
      <c r="G94" s="39">
        <v>92</v>
      </c>
      <c r="H94" s="13" t="s">
        <v>335</v>
      </c>
      <c r="I94" s="38">
        <v>24863</v>
      </c>
      <c r="J94" s="38">
        <v>45658</v>
      </c>
      <c r="K94" s="40" t="s">
        <v>50</v>
      </c>
      <c r="L94" s="13" t="s">
        <v>51</v>
      </c>
      <c r="M94" s="13" t="s">
        <v>52</v>
      </c>
      <c r="N94" s="13" t="s">
        <v>336</v>
      </c>
      <c r="O94" s="13" t="s">
        <v>54</v>
      </c>
      <c r="P94" s="13" t="s">
        <v>55</v>
      </c>
      <c r="Q94" s="38">
        <v>24863</v>
      </c>
      <c r="R94" s="13" t="s">
        <v>337</v>
      </c>
      <c r="S94" s="41" t="s">
        <v>57</v>
      </c>
      <c r="T94" s="37">
        <v>1200000</v>
      </c>
      <c r="U94" s="38">
        <v>45819</v>
      </c>
      <c r="V94" s="39">
        <v>2025</v>
      </c>
      <c r="W94" s="42">
        <v>45819</v>
      </c>
      <c r="X94" s="41" t="s">
        <v>6</v>
      </c>
      <c r="Y94" s="38"/>
      <c r="Z94" s="50"/>
      <c r="AA94" s="38"/>
      <c r="AB94" s="43">
        <f>IF($AB$1&lt;W94,0,IF($AB$1&gt;Y94,0,T94))</f>
      </c>
      <c r="AC94" s="43">
        <f>IF($AC$2&lt;U94,0,IF(AND($AC$2&gt;U94,$AC$2&lt;Y94),T94,IF(X94="REJET",0,T94-Z94)))</f>
      </c>
      <c r="AD94" s="1"/>
      <c r="AE94" s="23"/>
      <c r="AF94" s="24"/>
      <c r="AG94" s="25"/>
    </row>
    <row x14ac:dyDescent="0.25" r="95" customHeight="1" ht="18.75">
      <c r="A95" s="13" t="s">
        <v>47</v>
      </c>
      <c r="B95" s="37">
        <v>900</v>
      </c>
      <c r="C95" s="13" t="s">
        <v>3</v>
      </c>
      <c r="D95" s="13" t="s">
        <v>48</v>
      </c>
      <c r="E95" s="38">
        <v>45658</v>
      </c>
      <c r="F95" s="38">
        <v>46022</v>
      </c>
      <c r="G95" s="39">
        <v>93</v>
      </c>
      <c r="H95" s="13" t="s">
        <v>338</v>
      </c>
      <c r="I95" s="38">
        <v>26311</v>
      </c>
      <c r="J95" s="38">
        <v>45658</v>
      </c>
      <c r="K95" s="40" t="s">
        <v>50</v>
      </c>
      <c r="L95" s="13" t="s">
        <v>51</v>
      </c>
      <c r="M95" s="13" t="s">
        <v>52</v>
      </c>
      <c r="N95" s="13" t="s">
        <v>339</v>
      </c>
      <c r="O95" s="13" t="s">
        <v>62</v>
      </c>
      <c r="P95" s="13" t="s">
        <v>63</v>
      </c>
      <c r="Q95" s="38">
        <v>26311</v>
      </c>
      <c r="R95" s="13" t="s">
        <v>340</v>
      </c>
      <c r="S95" s="41" t="s">
        <v>57</v>
      </c>
      <c r="T95" s="37">
        <v>1200000</v>
      </c>
      <c r="U95" s="38">
        <v>45825</v>
      </c>
      <c r="V95" s="39">
        <v>2025</v>
      </c>
      <c r="W95" s="42">
        <v>45825</v>
      </c>
      <c r="X95" s="41" t="s">
        <v>6</v>
      </c>
      <c r="Y95" s="38"/>
      <c r="Z95" s="50"/>
      <c r="AA95" s="38"/>
      <c r="AB95" s="43">
        <f>IF($AB$1&lt;W95,0,IF($AB$1&gt;Y95,0,T95))</f>
      </c>
      <c r="AC95" s="43">
        <f>IF($AC$2&lt;U95,0,IF(AND($AC$2&gt;U95,$AC$2&lt;Y95),T95,IF(X95="REJET",0,T95-Z95)))</f>
      </c>
      <c r="AD95" s="1"/>
      <c r="AE95" s="23"/>
      <c r="AF95" s="24"/>
      <c r="AG95" s="25"/>
    </row>
    <row x14ac:dyDescent="0.25" r="96" customHeight="1" ht="18.75">
      <c r="A96" s="13" t="s">
        <v>47</v>
      </c>
      <c r="B96" s="37">
        <v>900</v>
      </c>
      <c r="C96" s="13" t="s">
        <v>3</v>
      </c>
      <c r="D96" s="13" t="s">
        <v>48</v>
      </c>
      <c r="E96" s="38">
        <v>45658</v>
      </c>
      <c r="F96" s="38">
        <v>46022</v>
      </c>
      <c r="G96" s="39">
        <v>94</v>
      </c>
      <c r="H96" s="13" t="s">
        <v>341</v>
      </c>
      <c r="I96" s="38">
        <v>23618</v>
      </c>
      <c r="J96" s="38">
        <v>45658</v>
      </c>
      <c r="K96" s="40" t="s">
        <v>50</v>
      </c>
      <c r="L96" s="13" t="s">
        <v>51</v>
      </c>
      <c r="M96" s="13" t="s">
        <v>52</v>
      </c>
      <c r="N96" s="13" t="s">
        <v>342</v>
      </c>
      <c r="O96" s="13" t="s">
        <v>54</v>
      </c>
      <c r="P96" s="13" t="s">
        <v>55</v>
      </c>
      <c r="Q96" s="38">
        <v>23618</v>
      </c>
      <c r="R96" s="13" t="s">
        <v>343</v>
      </c>
      <c r="S96" s="41" t="s">
        <v>82</v>
      </c>
      <c r="T96" s="37">
        <v>6000000</v>
      </c>
      <c r="U96" s="38">
        <v>45826</v>
      </c>
      <c r="V96" s="39">
        <v>2025</v>
      </c>
      <c r="W96" s="42">
        <v>45825</v>
      </c>
      <c r="X96" s="41" t="s">
        <v>6</v>
      </c>
      <c r="Y96" s="38"/>
      <c r="Z96" s="50"/>
      <c r="AA96" s="38"/>
      <c r="AB96" s="43">
        <f>IF($AB$1&lt;W96,0,IF($AB$1&gt;Y96,0,T96))</f>
      </c>
      <c r="AC96" s="43">
        <f>IF($AC$2&lt;U96,0,IF(AND($AC$2&gt;U96,$AC$2&lt;Y96),T96,IF(X96="REJET",0,T96-Z96)))</f>
      </c>
      <c r="AD96" s="1"/>
      <c r="AE96" s="23"/>
      <c r="AF96" s="24"/>
      <c r="AG96" s="25"/>
    </row>
    <row x14ac:dyDescent="0.25" r="97" customHeight="1" ht="18.75">
      <c r="A97" s="13" t="s">
        <v>47</v>
      </c>
      <c r="B97" s="37">
        <v>900</v>
      </c>
      <c r="C97" s="13" t="s">
        <v>3</v>
      </c>
      <c r="D97" s="13" t="s">
        <v>48</v>
      </c>
      <c r="E97" s="38">
        <v>45658</v>
      </c>
      <c r="F97" s="38">
        <v>46022</v>
      </c>
      <c r="G97" s="39">
        <v>95</v>
      </c>
      <c r="H97" s="13" t="s">
        <v>344</v>
      </c>
      <c r="I97" s="38">
        <v>28953</v>
      </c>
      <c r="J97" s="38">
        <v>45658</v>
      </c>
      <c r="K97" s="40" t="s">
        <v>50</v>
      </c>
      <c r="L97" s="13" t="s">
        <v>51</v>
      </c>
      <c r="M97" s="13" t="s">
        <v>52</v>
      </c>
      <c r="N97" s="13" t="s">
        <v>345</v>
      </c>
      <c r="O97" s="13" t="s">
        <v>54</v>
      </c>
      <c r="P97" s="13" t="s">
        <v>55</v>
      </c>
      <c r="Q97" s="38">
        <v>28953</v>
      </c>
      <c r="R97" s="13" t="s">
        <v>346</v>
      </c>
      <c r="S97" s="41" t="s">
        <v>57</v>
      </c>
      <c r="T97" s="37">
        <v>1200000</v>
      </c>
      <c r="U97" s="38">
        <v>45826</v>
      </c>
      <c r="V97" s="39">
        <v>2025</v>
      </c>
      <c r="W97" s="42">
        <v>45826</v>
      </c>
      <c r="X97" s="41" t="s">
        <v>6</v>
      </c>
      <c r="Y97" s="38"/>
      <c r="Z97" s="50"/>
      <c r="AA97" s="38"/>
      <c r="AB97" s="43">
        <f>IF($AB$1&lt;W97,0,IF($AB$1&gt;Y97,0,T97))</f>
      </c>
      <c r="AC97" s="43">
        <f>IF($AC$2&lt;U97,0,IF(AND($AC$2&gt;U97,$AC$2&lt;Y97),T97,IF(X97="REJET",0,T97-Z97)))</f>
      </c>
      <c r="AD97" s="1"/>
      <c r="AE97" s="23"/>
      <c r="AF97" s="24"/>
      <c r="AG97" s="25"/>
    </row>
    <row x14ac:dyDescent="0.25" r="98" customHeight="1" ht="18.75">
      <c r="A98" s="13" t="s">
        <v>47</v>
      </c>
      <c r="B98" s="37">
        <v>900</v>
      </c>
      <c r="C98" s="13" t="s">
        <v>3</v>
      </c>
      <c r="D98" s="13" t="s">
        <v>48</v>
      </c>
      <c r="E98" s="38">
        <v>45658</v>
      </c>
      <c r="F98" s="38">
        <v>46022</v>
      </c>
      <c r="G98" s="39">
        <v>96</v>
      </c>
      <c r="H98" s="13" t="s">
        <v>347</v>
      </c>
      <c r="I98" s="38">
        <v>25660</v>
      </c>
      <c r="J98" s="38">
        <v>45658</v>
      </c>
      <c r="K98" s="40" t="s">
        <v>50</v>
      </c>
      <c r="L98" s="13" t="s">
        <v>51</v>
      </c>
      <c r="M98" s="13" t="s">
        <v>52</v>
      </c>
      <c r="N98" s="13" t="s">
        <v>348</v>
      </c>
      <c r="O98" s="13" t="s">
        <v>54</v>
      </c>
      <c r="P98" s="13" t="s">
        <v>55</v>
      </c>
      <c r="Q98" s="38">
        <v>25660</v>
      </c>
      <c r="R98" s="13" t="s">
        <v>349</v>
      </c>
      <c r="S98" s="41" t="s">
        <v>57</v>
      </c>
      <c r="T98" s="37">
        <v>1200000</v>
      </c>
      <c r="U98" s="38">
        <v>45827</v>
      </c>
      <c r="V98" s="39">
        <v>2025</v>
      </c>
      <c r="W98" s="42">
        <v>45827</v>
      </c>
      <c r="X98" s="41" t="s">
        <v>6</v>
      </c>
      <c r="Y98" s="38"/>
      <c r="Z98" s="50"/>
      <c r="AA98" s="38"/>
      <c r="AB98" s="43">
        <f>IF($AB$1&lt;W98,0,IF($AB$1&gt;Y98,0,T98))</f>
      </c>
      <c r="AC98" s="43">
        <f>IF($AC$2&lt;U98,0,IF(AND($AC$2&gt;U98,$AC$2&lt;Y98),T98,IF(X98="REJET",0,T98-Z98)))</f>
      </c>
      <c r="AD98" s="1"/>
      <c r="AE98" s="23"/>
      <c r="AF98" s="24"/>
      <c r="AG98" s="25"/>
    </row>
    <row x14ac:dyDescent="0.25" r="99" customHeight="1" ht="18.75">
      <c r="A99" s="13" t="s">
        <v>47</v>
      </c>
      <c r="B99" s="37">
        <v>900</v>
      </c>
      <c r="C99" s="13" t="s">
        <v>3</v>
      </c>
      <c r="D99" s="13" t="s">
        <v>48</v>
      </c>
      <c r="E99" s="38">
        <v>45658</v>
      </c>
      <c r="F99" s="38">
        <v>46022</v>
      </c>
      <c r="G99" s="39">
        <v>97</v>
      </c>
      <c r="H99" s="13" t="s">
        <v>350</v>
      </c>
      <c r="I99" s="38">
        <v>28746</v>
      </c>
      <c r="J99" s="38">
        <v>45658</v>
      </c>
      <c r="K99" s="40" t="s">
        <v>50</v>
      </c>
      <c r="L99" s="13" t="s">
        <v>51</v>
      </c>
      <c r="M99" s="13" t="s">
        <v>52</v>
      </c>
      <c r="N99" s="13" t="s">
        <v>351</v>
      </c>
      <c r="O99" s="13" t="s">
        <v>54</v>
      </c>
      <c r="P99" s="13" t="s">
        <v>55</v>
      </c>
      <c r="Q99" s="38">
        <v>28746</v>
      </c>
      <c r="R99" s="13" t="s">
        <v>352</v>
      </c>
      <c r="S99" s="41" t="s">
        <v>57</v>
      </c>
      <c r="T99" s="37">
        <v>1200000</v>
      </c>
      <c r="U99" s="38">
        <v>45832</v>
      </c>
      <c r="V99" s="39">
        <v>2025</v>
      </c>
      <c r="W99" s="42">
        <v>45832</v>
      </c>
      <c r="X99" s="41" t="s">
        <v>6</v>
      </c>
      <c r="Y99" s="38"/>
      <c r="Z99" s="50"/>
      <c r="AA99" s="38"/>
      <c r="AB99" s="43">
        <f>IF($AB$1&lt;W99,0,IF($AB$1&gt;Y99,0,T99))</f>
      </c>
      <c r="AC99" s="43">
        <f>IF($AC$2&lt;U99,0,IF(AND($AC$2&gt;U99,$AC$2&lt;Y99),T99,IF(X99="REJET",0,T99-Z99)))</f>
      </c>
      <c r="AD99" s="1"/>
      <c r="AE99" s="23"/>
      <c r="AF99" s="24"/>
      <c r="AG99" s="25"/>
    </row>
    <row x14ac:dyDescent="0.25" r="100" customHeight="1" ht="18.75">
      <c r="A100" s="13" t="s">
        <v>47</v>
      </c>
      <c r="B100" s="37">
        <v>900</v>
      </c>
      <c r="C100" s="13" t="s">
        <v>3</v>
      </c>
      <c r="D100" s="13" t="s">
        <v>48</v>
      </c>
      <c r="E100" s="38">
        <v>45658</v>
      </c>
      <c r="F100" s="38">
        <v>46022</v>
      </c>
      <c r="G100" s="39">
        <v>98</v>
      </c>
      <c r="H100" s="13" t="s">
        <v>353</v>
      </c>
      <c r="I100" s="38">
        <v>24525</v>
      </c>
      <c r="J100" s="38">
        <v>45658</v>
      </c>
      <c r="K100" s="40" t="s">
        <v>50</v>
      </c>
      <c r="L100" s="13" t="s">
        <v>51</v>
      </c>
      <c r="M100" s="13" t="s">
        <v>52</v>
      </c>
      <c r="N100" s="13" t="s">
        <v>354</v>
      </c>
      <c r="O100" s="13" t="s">
        <v>54</v>
      </c>
      <c r="P100" s="13" t="s">
        <v>55</v>
      </c>
      <c r="Q100" s="38">
        <v>24525</v>
      </c>
      <c r="R100" s="13" t="s">
        <v>355</v>
      </c>
      <c r="S100" s="41" t="s">
        <v>57</v>
      </c>
      <c r="T100" s="37">
        <v>1200000</v>
      </c>
      <c r="U100" s="38">
        <v>45832</v>
      </c>
      <c r="V100" s="39">
        <v>2025</v>
      </c>
      <c r="W100" s="42">
        <v>45832</v>
      </c>
      <c r="X100" s="41" t="s">
        <v>6</v>
      </c>
      <c r="Y100" s="38"/>
      <c r="Z100" s="50"/>
      <c r="AA100" s="38"/>
      <c r="AB100" s="43">
        <f>IF($AB$1&lt;W100,0,IF($AB$1&gt;Y100,0,T100))</f>
      </c>
      <c r="AC100" s="43">
        <f>IF($AC$2&lt;U100,0,IF(AND($AC$2&gt;U100,$AC$2&lt;Y100),T100,IF(X100="REJET",0,T100-Z100)))</f>
      </c>
      <c r="AD100" s="1"/>
      <c r="AE100" s="23"/>
      <c r="AF100" s="24"/>
      <c r="AG100" s="25"/>
    </row>
    <row x14ac:dyDescent="0.25" r="101" customHeight="1" ht="18.75">
      <c r="A101" s="13" t="s">
        <v>47</v>
      </c>
      <c r="B101" s="37">
        <v>900</v>
      </c>
      <c r="C101" s="13" t="s">
        <v>3</v>
      </c>
      <c r="D101" s="13" t="s">
        <v>48</v>
      </c>
      <c r="E101" s="38">
        <v>45658</v>
      </c>
      <c r="F101" s="38">
        <v>46022</v>
      </c>
      <c r="G101" s="39">
        <v>99</v>
      </c>
      <c r="H101" s="13" t="s">
        <v>356</v>
      </c>
      <c r="I101" s="38">
        <v>28550</v>
      </c>
      <c r="J101" s="38">
        <v>45658</v>
      </c>
      <c r="K101" s="40" t="s">
        <v>50</v>
      </c>
      <c r="L101" s="13" t="s">
        <v>51</v>
      </c>
      <c r="M101" s="13" t="s">
        <v>52</v>
      </c>
      <c r="N101" s="13" t="s">
        <v>357</v>
      </c>
      <c r="O101" s="13" t="s">
        <v>54</v>
      </c>
      <c r="P101" s="13" t="s">
        <v>55</v>
      </c>
      <c r="Q101" s="38">
        <v>28550</v>
      </c>
      <c r="R101" s="13" t="s">
        <v>358</v>
      </c>
      <c r="S101" s="41" t="s">
        <v>57</v>
      </c>
      <c r="T101" s="37">
        <v>1200000</v>
      </c>
      <c r="U101" s="38">
        <v>45833</v>
      </c>
      <c r="V101" s="39">
        <v>2025</v>
      </c>
      <c r="W101" s="42">
        <v>45833</v>
      </c>
      <c r="X101" s="41" t="s">
        <v>6</v>
      </c>
      <c r="Y101" s="38"/>
      <c r="Z101" s="50"/>
      <c r="AA101" s="38"/>
      <c r="AB101" s="43">
        <f>IF($AB$1&lt;W101,0,IF($AB$1&gt;Y101,0,T101))</f>
      </c>
      <c r="AC101" s="43">
        <f>IF($AC$2&lt;U101,0,IF(AND($AC$2&gt;U101,$AC$2&lt;Y101),T101,IF(X101="REJET",0,T101-Z101)))</f>
      </c>
      <c r="AD101" s="1"/>
      <c r="AE101" s="23"/>
      <c r="AF101" s="24"/>
      <c r="AG101" s="25"/>
    </row>
    <row x14ac:dyDescent="0.25" r="102" customHeight="1" ht="18.75">
      <c r="A102" s="13" t="s">
        <v>47</v>
      </c>
      <c r="B102" s="37">
        <v>900</v>
      </c>
      <c r="C102" s="13" t="s">
        <v>3</v>
      </c>
      <c r="D102" s="13" t="s">
        <v>48</v>
      </c>
      <c r="E102" s="38">
        <v>45658</v>
      </c>
      <c r="F102" s="38">
        <v>46022</v>
      </c>
      <c r="G102" s="39">
        <v>100</v>
      </c>
      <c r="H102" s="13" t="s">
        <v>359</v>
      </c>
      <c r="I102" s="38">
        <v>23417</v>
      </c>
      <c r="J102" s="38">
        <v>45658</v>
      </c>
      <c r="K102" s="40" t="s">
        <v>50</v>
      </c>
      <c r="L102" s="13" t="s">
        <v>51</v>
      </c>
      <c r="M102" s="13" t="s">
        <v>52</v>
      </c>
      <c r="N102" s="13" t="s">
        <v>360</v>
      </c>
      <c r="O102" s="13" t="s">
        <v>54</v>
      </c>
      <c r="P102" s="13" t="s">
        <v>55</v>
      </c>
      <c r="Q102" s="38">
        <v>23417</v>
      </c>
      <c r="R102" s="13" t="s">
        <v>361</v>
      </c>
      <c r="S102" s="41" t="s">
        <v>57</v>
      </c>
      <c r="T102" s="37">
        <v>1200000</v>
      </c>
      <c r="U102" s="38">
        <v>45832</v>
      </c>
      <c r="V102" s="39">
        <v>2025</v>
      </c>
      <c r="W102" s="42">
        <v>45832</v>
      </c>
      <c r="X102" s="41" t="s">
        <v>6</v>
      </c>
      <c r="Y102" s="38"/>
      <c r="Z102" s="50"/>
      <c r="AA102" s="38"/>
      <c r="AB102" s="43">
        <f>IF($AB$1&lt;W102,0,IF($AB$1&gt;Y102,0,T102))</f>
      </c>
      <c r="AC102" s="43">
        <f>IF($AC$2&lt;U102,0,IF(AND($AC$2&gt;U102,$AC$2&lt;Y102),T102,IF(X102="REJET",0,T102-Z102)))</f>
      </c>
      <c r="AD102" s="1"/>
      <c r="AE102" s="23"/>
      <c r="AF102" s="24"/>
      <c r="AG102" s="25"/>
    </row>
    <row x14ac:dyDescent="0.25" r="103" customHeight="1" ht="18.75">
      <c r="A103" s="13" t="s">
        <v>47</v>
      </c>
      <c r="B103" s="37">
        <v>900</v>
      </c>
      <c r="C103" s="13" t="s">
        <v>3</v>
      </c>
      <c r="D103" s="13" t="s">
        <v>48</v>
      </c>
      <c r="E103" s="38">
        <v>45658</v>
      </c>
      <c r="F103" s="38">
        <v>46022</v>
      </c>
      <c r="G103" s="39">
        <v>101</v>
      </c>
      <c r="H103" s="13" t="s">
        <v>362</v>
      </c>
      <c r="I103" s="38">
        <v>29170</v>
      </c>
      <c r="J103" s="38">
        <v>45658</v>
      </c>
      <c r="K103" s="40" t="s">
        <v>50</v>
      </c>
      <c r="L103" s="13" t="s">
        <v>51</v>
      </c>
      <c r="M103" s="13" t="s">
        <v>52</v>
      </c>
      <c r="N103" s="13" t="s">
        <v>363</v>
      </c>
      <c r="O103" s="13" t="s">
        <v>54</v>
      </c>
      <c r="P103" s="13" t="s">
        <v>55</v>
      </c>
      <c r="Q103" s="38">
        <v>29170</v>
      </c>
      <c r="R103" s="13" t="s">
        <v>364</v>
      </c>
      <c r="S103" s="41" t="s">
        <v>82</v>
      </c>
      <c r="T103" s="37">
        <v>6000000</v>
      </c>
      <c r="U103" s="38">
        <v>45834</v>
      </c>
      <c r="V103" s="39">
        <v>2025</v>
      </c>
      <c r="W103" s="42">
        <v>45833</v>
      </c>
      <c r="X103" s="41" t="s">
        <v>6</v>
      </c>
      <c r="Y103" s="38"/>
      <c r="Z103" s="50"/>
      <c r="AA103" s="38"/>
      <c r="AB103" s="43">
        <f>IF($AB$1&lt;W103,0,IF($AB$1&gt;Y103,0,T103))</f>
      </c>
      <c r="AC103" s="43">
        <f>IF($AC$2&lt;U103,0,IF(AND($AC$2&gt;U103,$AC$2&lt;Y103),T103,IF(X103="REJET",0,T103-Z103)))</f>
      </c>
      <c r="AD103" s="1"/>
      <c r="AE103" s="23"/>
      <c r="AF103" s="24"/>
      <c r="AG103" s="25"/>
    </row>
    <row x14ac:dyDescent="0.25" r="104" customHeight="1" ht="18.75">
      <c r="A104" s="13" t="s">
        <v>47</v>
      </c>
      <c r="B104" s="37">
        <v>900</v>
      </c>
      <c r="C104" s="13" t="s">
        <v>3</v>
      </c>
      <c r="D104" s="13" t="s">
        <v>48</v>
      </c>
      <c r="E104" s="38">
        <v>45658</v>
      </c>
      <c r="F104" s="38">
        <v>46022</v>
      </c>
      <c r="G104" s="39">
        <v>102</v>
      </c>
      <c r="H104" s="13" t="s">
        <v>365</v>
      </c>
      <c r="I104" s="38">
        <v>30803</v>
      </c>
      <c r="J104" s="38">
        <v>45658</v>
      </c>
      <c r="K104" s="40" t="s">
        <v>50</v>
      </c>
      <c r="L104" s="13" t="s">
        <v>51</v>
      </c>
      <c r="M104" s="13" t="s">
        <v>52</v>
      </c>
      <c r="N104" s="13" t="s">
        <v>366</v>
      </c>
      <c r="O104" s="13" t="s">
        <v>54</v>
      </c>
      <c r="P104" s="13" t="s">
        <v>55</v>
      </c>
      <c r="Q104" s="38">
        <v>30803</v>
      </c>
      <c r="R104" s="13" t="s">
        <v>367</v>
      </c>
      <c r="S104" s="41" t="s">
        <v>75</v>
      </c>
      <c r="T104" s="37">
        <v>6000000</v>
      </c>
      <c r="U104" s="38">
        <v>45838</v>
      </c>
      <c r="V104" s="39">
        <v>2025</v>
      </c>
      <c r="W104" s="42">
        <v>45838</v>
      </c>
      <c r="X104" s="41" t="s">
        <v>6</v>
      </c>
      <c r="Y104" s="38"/>
      <c r="Z104" s="50"/>
      <c r="AA104" s="38"/>
      <c r="AB104" s="43">
        <f>IF($AB$1&lt;W104,0,IF($AB$1&gt;Y104,0,T104))</f>
      </c>
      <c r="AC104" s="43">
        <f>IF($AC$2&lt;U104,0,IF(AND($AC$2&gt;U104,$AC$2&lt;Y104),T104,IF(X104="REJET",0,T104-Z104)))</f>
      </c>
      <c r="AD104" s="1"/>
      <c r="AE104" s="23"/>
      <c r="AF104" s="24"/>
      <c r="AG104" s="25"/>
    </row>
    <row x14ac:dyDescent="0.25" r="105" customHeight="1" ht="18.75">
      <c r="A105" s="13" t="s">
        <v>47</v>
      </c>
      <c r="B105" s="37">
        <v>900</v>
      </c>
      <c r="C105" s="13" t="s">
        <v>3</v>
      </c>
      <c r="D105" s="13" t="s">
        <v>48</v>
      </c>
      <c r="E105" s="38">
        <v>45658</v>
      </c>
      <c r="F105" s="38">
        <v>46022</v>
      </c>
      <c r="G105" s="39">
        <v>103</v>
      </c>
      <c r="H105" s="13" t="s">
        <v>368</v>
      </c>
      <c r="I105" s="38">
        <v>29064</v>
      </c>
      <c r="J105" s="38">
        <v>45658</v>
      </c>
      <c r="K105" s="40" t="s">
        <v>50</v>
      </c>
      <c r="L105" s="13" t="s">
        <v>51</v>
      </c>
      <c r="M105" s="13" t="s">
        <v>52</v>
      </c>
      <c r="N105" s="13" t="s">
        <v>369</v>
      </c>
      <c r="O105" s="13" t="s">
        <v>54</v>
      </c>
      <c r="P105" s="13" t="s">
        <v>55</v>
      </c>
      <c r="Q105" s="38">
        <v>29064</v>
      </c>
      <c r="R105" s="13" t="s">
        <v>370</v>
      </c>
      <c r="S105" s="41" t="s">
        <v>57</v>
      </c>
      <c r="T105" s="37">
        <v>1200000</v>
      </c>
      <c r="U105" s="38">
        <v>45837</v>
      </c>
      <c r="V105" s="39">
        <v>2025</v>
      </c>
      <c r="W105" s="42">
        <v>45837</v>
      </c>
      <c r="X105" s="41" t="s">
        <v>6</v>
      </c>
      <c r="Y105" s="38"/>
      <c r="Z105" s="50"/>
      <c r="AA105" s="38"/>
      <c r="AB105" s="43">
        <f>IF($AB$1&lt;W105,0,IF($AB$1&gt;Y105,0,T105))</f>
      </c>
      <c r="AC105" s="43">
        <f>IF($AC$2&lt;U105,0,IF(AND($AC$2&gt;U105,$AC$2&lt;Y105),T105,IF(X105="REJET",0,T105-Z105)))</f>
      </c>
      <c r="AD105" s="1"/>
      <c r="AE105" s="23"/>
      <c r="AF105" s="24"/>
      <c r="AG105" s="25"/>
    </row>
    <row x14ac:dyDescent="0.25" r="106" customHeight="1" ht="18.75">
      <c r="A106" s="13" t="s">
        <v>47</v>
      </c>
      <c r="B106" s="37">
        <v>900</v>
      </c>
      <c r="C106" s="13" t="s">
        <v>3</v>
      </c>
      <c r="D106" s="13" t="s">
        <v>48</v>
      </c>
      <c r="E106" s="38">
        <v>45658</v>
      </c>
      <c r="F106" s="38">
        <v>46022</v>
      </c>
      <c r="G106" s="39">
        <v>104</v>
      </c>
      <c r="H106" s="13" t="s">
        <v>371</v>
      </c>
      <c r="I106" s="38">
        <v>26797</v>
      </c>
      <c r="J106" s="38">
        <v>45658</v>
      </c>
      <c r="K106" s="40" t="s">
        <v>50</v>
      </c>
      <c r="L106" s="13" t="s">
        <v>51</v>
      </c>
      <c r="M106" s="13" t="s">
        <v>52</v>
      </c>
      <c r="N106" s="13" t="s">
        <v>372</v>
      </c>
      <c r="O106" s="13" t="s">
        <v>54</v>
      </c>
      <c r="P106" s="13" t="s">
        <v>55</v>
      </c>
      <c r="Q106" s="38">
        <v>26797</v>
      </c>
      <c r="R106" s="13" t="s">
        <v>373</v>
      </c>
      <c r="S106" s="41" t="s">
        <v>57</v>
      </c>
      <c r="T106" s="37">
        <v>1200000</v>
      </c>
      <c r="U106" s="38">
        <v>45837</v>
      </c>
      <c r="V106" s="39">
        <v>2025</v>
      </c>
      <c r="W106" s="42">
        <v>45837</v>
      </c>
      <c r="X106" s="41" t="s">
        <v>6</v>
      </c>
      <c r="Y106" s="38"/>
      <c r="Z106" s="50"/>
      <c r="AA106" s="38"/>
      <c r="AB106" s="43">
        <f>IF($AB$1&lt;W106,0,IF($AB$1&gt;Y106,0,T106))</f>
      </c>
      <c r="AC106" s="43">
        <f>IF($AC$2&lt;U106,0,IF(AND($AC$2&gt;U106,$AC$2&lt;Y106),T106,IF(X106="REJET",0,T106-Z106)))</f>
      </c>
      <c r="AD106" s="1"/>
      <c r="AE106" s="23"/>
      <c r="AF106" s="24"/>
      <c r="AG106" s="25"/>
    </row>
    <row x14ac:dyDescent="0.25" r="107" customHeight="1" ht="18.75">
      <c r="A107" s="13" t="s">
        <v>47</v>
      </c>
      <c r="B107" s="37">
        <v>900</v>
      </c>
      <c r="C107" s="13" t="s">
        <v>3</v>
      </c>
      <c r="D107" s="13" t="s">
        <v>48</v>
      </c>
      <c r="E107" s="38">
        <v>45658</v>
      </c>
      <c r="F107" s="38">
        <v>46022</v>
      </c>
      <c r="G107" s="39">
        <v>105</v>
      </c>
      <c r="H107" s="13" t="s">
        <v>374</v>
      </c>
      <c r="I107" s="38">
        <v>28746</v>
      </c>
      <c r="J107" s="38">
        <v>45658</v>
      </c>
      <c r="K107" s="40" t="s">
        <v>50</v>
      </c>
      <c r="L107" s="13" t="s">
        <v>51</v>
      </c>
      <c r="M107" s="13" t="s">
        <v>52</v>
      </c>
      <c r="N107" s="13" t="s">
        <v>375</v>
      </c>
      <c r="O107" s="13" t="s">
        <v>54</v>
      </c>
      <c r="P107" s="13" t="s">
        <v>55</v>
      </c>
      <c r="Q107" s="38">
        <v>28746</v>
      </c>
      <c r="R107" s="13" t="s">
        <v>376</v>
      </c>
      <c r="S107" s="41" t="s">
        <v>82</v>
      </c>
      <c r="T107" s="37">
        <v>6000000</v>
      </c>
      <c r="U107" s="38">
        <v>45837</v>
      </c>
      <c r="V107" s="39">
        <v>2025</v>
      </c>
      <c r="W107" s="42">
        <v>45837</v>
      </c>
      <c r="X107" s="41" t="s">
        <v>6</v>
      </c>
      <c r="Y107" s="38"/>
      <c r="Z107" s="50"/>
      <c r="AA107" s="38"/>
      <c r="AB107" s="43">
        <f>IF($AB$1&lt;W107,0,IF($AB$1&gt;Y107,0,T107))</f>
      </c>
      <c r="AC107" s="43">
        <f>IF($AC$2&lt;U107,0,IF(AND($AC$2&gt;U107,$AC$2&lt;Y107),T107,IF(X107="REJET",0,T107-Z107)))</f>
      </c>
      <c r="AD107" s="1"/>
      <c r="AE107" s="23"/>
      <c r="AF107" s="24"/>
      <c r="AG107" s="25"/>
    </row>
    <row x14ac:dyDescent="0.25" r="108" customHeight="1" ht="18.75">
      <c r="A108" s="13" t="s">
        <v>47</v>
      </c>
      <c r="B108" s="37">
        <v>900</v>
      </c>
      <c r="C108" s="13" t="s">
        <v>3</v>
      </c>
      <c r="D108" s="13" t="s">
        <v>48</v>
      </c>
      <c r="E108" s="38">
        <v>45658</v>
      </c>
      <c r="F108" s="38">
        <v>46022</v>
      </c>
      <c r="G108" s="39">
        <v>106</v>
      </c>
      <c r="H108" s="13" t="s">
        <v>377</v>
      </c>
      <c r="I108" s="38">
        <v>23018</v>
      </c>
      <c r="J108" s="38">
        <v>45658</v>
      </c>
      <c r="K108" s="40" t="s">
        <v>50</v>
      </c>
      <c r="L108" s="13" t="s">
        <v>51</v>
      </c>
      <c r="M108" s="13" t="s">
        <v>52</v>
      </c>
      <c r="N108" s="13" t="s">
        <v>378</v>
      </c>
      <c r="O108" s="13" t="s">
        <v>54</v>
      </c>
      <c r="P108" s="13" t="s">
        <v>55</v>
      </c>
      <c r="Q108" s="38">
        <v>23018</v>
      </c>
      <c r="R108" s="13" t="s">
        <v>379</v>
      </c>
      <c r="S108" s="41" t="s">
        <v>57</v>
      </c>
      <c r="T108" s="37">
        <v>1200000</v>
      </c>
      <c r="U108" s="38">
        <v>45837</v>
      </c>
      <c r="V108" s="39">
        <v>2025</v>
      </c>
      <c r="W108" s="42">
        <v>45837</v>
      </c>
      <c r="X108" s="41" t="s">
        <v>6</v>
      </c>
      <c r="Y108" s="38"/>
      <c r="Z108" s="50"/>
      <c r="AA108" s="38"/>
      <c r="AB108" s="43">
        <f>IF($AB$1&lt;W108,0,IF($AB$1&gt;Y108,0,T108))</f>
      </c>
      <c r="AC108" s="43">
        <f>IF($AC$2&lt;U108,0,IF(AND($AC$2&gt;U108,$AC$2&lt;Y108),T108,IF(X108="REJET",0,T108-Z108)))</f>
      </c>
      <c r="AD108" s="1"/>
      <c r="AE108" s="23"/>
      <c r="AF108" s="24"/>
      <c r="AG108" s="25"/>
    </row>
    <row x14ac:dyDescent="0.25" r="109" customHeight="1" ht="18.75">
      <c r="A109" s="13" t="s">
        <v>47</v>
      </c>
      <c r="B109" s="37">
        <v>900</v>
      </c>
      <c r="C109" s="13" t="s">
        <v>3</v>
      </c>
      <c r="D109" s="13" t="s">
        <v>48</v>
      </c>
      <c r="E109" s="38">
        <v>45658</v>
      </c>
      <c r="F109" s="38">
        <v>46022</v>
      </c>
      <c r="G109" s="39">
        <v>107</v>
      </c>
      <c r="H109" s="13" t="s">
        <v>380</v>
      </c>
      <c r="I109" s="38">
        <v>27660</v>
      </c>
      <c r="J109" s="38">
        <v>45658</v>
      </c>
      <c r="K109" s="40" t="s">
        <v>50</v>
      </c>
      <c r="L109" s="13" t="s">
        <v>51</v>
      </c>
      <c r="M109" s="13" t="s">
        <v>52</v>
      </c>
      <c r="N109" s="13" t="s">
        <v>381</v>
      </c>
      <c r="O109" s="13" t="s">
        <v>62</v>
      </c>
      <c r="P109" s="13" t="s">
        <v>63</v>
      </c>
      <c r="Q109" s="38">
        <v>27660</v>
      </c>
      <c r="R109" s="13" t="s">
        <v>382</v>
      </c>
      <c r="S109" s="41" t="s">
        <v>57</v>
      </c>
      <c r="T109" s="37">
        <v>1200000</v>
      </c>
      <c r="U109" s="38">
        <v>45785</v>
      </c>
      <c r="V109" s="39">
        <v>2025</v>
      </c>
      <c r="W109" s="42">
        <v>45785</v>
      </c>
      <c r="X109" s="41" t="s">
        <v>6</v>
      </c>
      <c r="Y109" s="38"/>
      <c r="Z109" s="50"/>
      <c r="AA109" s="38"/>
      <c r="AB109" s="43">
        <f>IF($AB$1&lt;W109,0,IF($AB$1&gt;Y109,0,T109))</f>
      </c>
      <c r="AC109" s="43">
        <f>IF($AC$2&lt;U109,0,IF(AND($AC$2&gt;U109,$AC$2&lt;Y109),T109,IF(X109="REJET",0,T109-Z109)))</f>
      </c>
      <c r="AD109" s="1"/>
      <c r="AE109" s="23"/>
      <c r="AF109" s="24"/>
      <c r="AG109" s="25"/>
    </row>
    <row x14ac:dyDescent="0.25" r="110" customHeight="1" ht="18.75">
      <c r="A110" s="13" t="s">
        <v>47</v>
      </c>
      <c r="B110" s="37">
        <v>900</v>
      </c>
      <c r="C110" s="13" t="s">
        <v>3</v>
      </c>
      <c r="D110" s="13" t="s">
        <v>48</v>
      </c>
      <c r="E110" s="38">
        <v>45658</v>
      </c>
      <c r="F110" s="38">
        <v>46022</v>
      </c>
      <c r="G110" s="39">
        <v>108</v>
      </c>
      <c r="H110" s="13" t="s">
        <v>383</v>
      </c>
      <c r="I110" s="38">
        <v>24455</v>
      </c>
      <c r="J110" s="38">
        <v>45658</v>
      </c>
      <c r="K110" s="40" t="s">
        <v>50</v>
      </c>
      <c r="L110" s="13" t="s">
        <v>51</v>
      </c>
      <c r="M110" s="13" t="s">
        <v>52</v>
      </c>
      <c r="N110" s="13" t="s">
        <v>384</v>
      </c>
      <c r="O110" s="13" t="s">
        <v>54</v>
      </c>
      <c r="P110" s="13" t="s">
        <v>55</v>
      </c>
      <c r="Q110" s="38">
        <v>24455</v>
      </c>
      <c r="R110" s="13" t="s">
        <v>385</v>
      </c>
      <c r="S110" s="41" t="s">
        <v>82</v>
      </c>
      <c r="T110" s="37">
        <v>6000000</v>
      </c>
      <c r="U110" s="38">
        <v>45839</v>
      </c>
      <c r="V110" s="39">
        <v>2025</v>
      </c>
      <c r="W110" s="42">
        <v>45839</v>
      </c>
      <c r="X110" s="41" t="s">
        <v>65</v>
      </c>
      <c r="Y110" s="38">
        <v>45925</v>
      </c>
      <c r="Z110" s="49">
        <v>6000000</v>
      </c>
      <c r="AA110" s="48">
        <f>T110-Z110</f>
      </c>
      <c r="AB110" s="43">
        <f>IF($AB$1&lt;W110,0,IF($AB$1&gt;Y110,0,T110))</f>
      </c>
      <c r="AC110" s="43">
        <f>IF($AC$2&lt;U110,0,IF(AND($AC$2&gt;U110,$AC$2&lt;Y110),T110,IF(X110="REJET",0,T110-Z110)))</f>
      </c>
      <c r="AD110" s="1"/>
      <c r="AE110" s="23"/>
      <c r="AF110" s="24"/>
      <c r="AG110" s="25"/>
    </row>
    <row x14ac:dyDescent="0.25" r="111" customHeight="1" ht="18.75">
      <c r="A111" s="13" t="s">
        <v>47</v>
      </c>
      <c r="B111" s="37">
        <v>900</v>
      </c>
      <c r="C111" s="13" t="s">
        <v>3</v>
      </c>
      <c r="D111" s="13" t="s">
        <v>48</v>
      </c>
      <c r="E111" s="38">
        <v>45658</v>
      </c>
      <c r="F111" s="38">
        <v>46022</v>
      </c>
      <c r="G111" s="39">
        <v>109</v>
      </c>
      <c r="H111" s="13" t="s">
        <v>386</v>
      </c>
      <c r="I111" s="38">
        <v>24817</v>
      </c>
      <c r="J111" s="38">
        <v>45658</v>
      </c>
      <c r="K111" s="40" t="s">
        <v>50</v>
      </c>
      <c r="L111" s="13" t="s">
        <v>51</v>
      </c>
      <c r="M111" s="13" t="s">
        <v>52</v>
      </c>
      <c r="N111" s="13" t="s">
        <v>387</v>
      </c>
      <c r="O111" s="13" t="s">
        <v>54</v>
      </c>
      <c r="P111" s="13" t="s">
        <v>55</v>
      </c>
      <c r="Q111" s="38">
        <v>24817</v>
      </c>
      <c r="R111" s="13" t="s">
        <v>388</v>
      </c>
      <c r="S111" s="41" t="s">
        <v>57</v>
      </c>
      <c r="T111" s="37">
        <v>1200000</v>
      </c>
      <c r="U111" s="38">
        <v>45839</v>
      </c>
      <c r="V111" s="39">
        <v>2025</v>
      </c>
      <c r="W111" s="42">
        <v>45739</v>
      </c>
      <c r="X111" s="41" t="s">
        <v>6</v>
      </c>
      <c r="Y111" s="38"/>
      <c r="Z111" s="50"/>
      <c r="AA111" s="38"/>
      <c r="AB111" s="43">
        <f>IF($AB$1&lt;W111,0,IF($AB$1&gt;Y111,0,T111))</f>
      </c>
      <c r="AC111" s="43">
        <f>IF($AC$2&lt;U111,0,IF(AND($AC$2&gt;U111,$AC$2&lt;Y111),T111,IF(X111="REJET",0,T111-Z111)))</f>
      </c>
      <c r="AD111" s="1"/>
      <c r="AE111" s="23"/>
      <c r="AF111" s="24"/>
      <c r="AG111" s="25"/>
    </row>
    <row x14ac:dyDescent="0.25" r="112" customHeight="1" ht="18.75">
      <c r="A112" s="13" t="s">
        <v>47</v>
      </c>
      <c r="B112" s="37">
        <v>900</v>
      </c>
      <c r="C112" s="13" t="s">
        <v>3</v>
      </c>
      <c r="D112" s="13" t="s">
        <v>48</v>
      </c>
      <c r="E112" s="38">
        <v>45658</v>
      </c>
      <c r="F112" s="38">
        <v>46022</v>
      </c>
      <c r="G112" s="39">
        <v>110</v>
      </c>
      <c r="H112" s="13" t="s">
        <v>389</v>
      </c>
      <c r="I112" s="38">
        <v>24747</v>
      </c>
      <c r="J112" s="38">
        <v>45658</v>
      </c>
      <c r="K112" s="40" t="s">
        <v>50</v>
      </c>
      <c r="L112" s="13" t="s">
        <v>51</v>
      </c>
      <c r="M112" s="13" t="s">
        <v>52</v>
      </c>
      <c r="N112" s="13" t="s">
        <v>390</v>
      </c>
      <c r="O112" s="13" t="s">
        <v>54</v>
      </c>
      <c r="P112" s="13" t="s">
        <v>55</v>
      </c>
      <c r="Q112" s="38">
        <v>24747</v>
      </c>
      <c r="R112" s="13" t="s">
        <v>391</v>
      </c>
      <c r="S112" s="41" t="s">
        <v>82</v>
      </c>
      <c r="T112" s="37">
        <v>6000000</v>
      </c>
      <c r="U112" s="38">
        <v>45841</v>
      </c>
      <c r="V112" s="39">
        <v>2025</v>
      </c>
      <c r="W112" s="42">
        <v>45829</v>
      </c>
      <c r="X112" s="41" t="s">
        <v>65</v>
      </c>
      <c r="Y112" s="38">
        <v>45886</v>
      </c>
      <c r="Z112" s="49">
        <v>5000000</v>
      </c>
      <c r="AA112" s="48">
        <f>T112-Z112</f>
      </c>
      <c r="AB112" s="43">
        <f>IF($AB$1&lt;W112,0,IF($AB$1&gt;Y112,0,T112))</f>
      </c>
      <c r="AC112" s="43">
        <f>IF($AC$2&lt;U112,0,IF(AND($AC$2&gt;U112,$AC$2&lt;Y112),T112,IF(X112="REJET",0,T112-Z112)))</f>
      </c>
      <c r="AD112" s="1"/>
      <c r="AE112" s="23"/>
      <c r="AF112" s="24"/>
      <c r="AG112" s="25"/>
    </row>
    <row x14ac:dyDescent="0.25" r="113" customHeight="1" ht="18.75">
      <c r="A113" s="13" t="s">
        <v>47</v>
      </c>
      <c r="B113" s="37">
        <v>900</v>
      </c>
      <c r="C113" s="13" t="s">
        <v>3</v>
      </c>
      <c r="D113" s="13" t="s">
        <v>48</v>
      </c>
      <c r="E113" s="38">
        <v>45658</v>
      </c>
      <c r="F113" s="38">
        <v>46022</v>
      </c>
      <c r="G113" s="39">
        <v>111</v>
      </c>
      <c r="H113" s="13" t="s">
        <v>392</v>
      </c>
      <c r="I113" s="38">
        <v>30852</v>
      </c>
      <c r="J113" s="38">
        <v>45658</v>
      </c>
      <c r="K113" s="40" t="s">
        <v>50</v>
      </c>
      <c r="L113" s="13" t="s">
        <v>51</v>
      </c>
      <c r="M113" s="13" t="s">
        <v>52</v>
      </c>
      <c r="N113" s="13" t="s">
        <v>393</v>
      </c>
      <c r="O113" s="13" t="s">
        <v>54</v>
      </c>
      <c r="P113" s="13" t="s">
        <v>55</v>
      </c>
      <c r="Q113" s="38">
        <v>30852</v>
      </c>
      <c r="R113" s="13" t="s">
        <v>394</v>
      </c>
      <c r="S113" s="41" t="s">
        <v>82</v>
      </c>
      <c r="T113" s="37">
        <v>6000000</v>
      </c>
      <c r="U113" s="38">
        <v>45845</v>
      </c>
      <c r="V113" s="39">
        <v>2025</v>
      </c>
      <c r="W113" s="42">
        <v>45841</v>
      </c>
      <c r="X113" s="41" t="s">
        <v>6</v>
      </c>
      <c r="Y113" s="38"/>
      <c r="Z113" s="50"/>
      <c r="AA113" s="38"/>
      <c r="AB113" s="43">
        <f>IF($AB$1&lt;W113,0,IF($AB$1&gt;Y113,0,T113))</f>
      </c>
      <c r="AC113" s="43">
        <f>IF($AC$2&lt;U113,0,IF(AND($AC$2&gt;U113,$AC$2&lt;Y113),T113,IF(X113="REJET",0,T113-Z113)))</f>
      </c>
      <c r="AD113" s="1"/>
      <c r="AE113" s="23"/>
      <c r="AF113" s="24"/>
      <c r="AG113" s="25"/>
    </row>
    <row x14ac:dyDescent="0.25" r="114" customHeight="1" ht="18.75">
      <c r="A114" s="13" t="s">
        <v>47</v>
      </c>
      <c r="B114" s="37">
        <v>900</v>
      </c>
      <c r="C114" s="13" t="s">
        <v>3</v>
      </c>
      <c r="D114" s="13" t="s">
        <v>48</v>
      </c>
      <c r="E114" s="38">
        <v>45658</v>
      </c>
      <c r="F114" s="38">
        <v>46022</v>
      </c>
      <c r="G114" s="39">
        <v>112</v>
      </c>
      <c r="H114" s="13" t="s">
        <v>395</v>
      </c>
      <c r="I114" s="38">
        <v>23971</v>
      </c>
      <c r="J114" s="38">
        <v>45658</v>
      </c>
      <c r="K114" s="40" t="s">
        <v>50</v>
      </c>
      <c r="L114" s="13" t="s">
        <v>51</v>
      </c>
      <c r="M114" s="13" t="s">
        <v>52</v>
      </c>
      <c r="N114" s="13" t="s">
        <v>396</v>
      </c>
      <c r="O114" s="13" t="s">
        <v>54</v>
      </c>
      <c r="P114" s="13" t="s">
        <v>55</v>
      </c>
      <c r="Q114" s="38">
        <v>23971</v>
      </c>
      <c r="R114" s="13" t="s">
        <v>397</v>
      </c>
      <c r="S114" s="41" t="s">
        <v>57</v>
      </c>
      <c r="T114" s="37">
        <v>1200000</v>
      </c>
      <c r="U114" s="38">
        <v>45846</v>
      </c>
      <c r="V114" s="39">
        <v>2025</v>
      </c>
      <c r="W114" s="42">
        <v>45787</v>
      </c>
      <c r="X114" s="41" t="s">
        <v>65</v>
      </c>
      <c r="Y114" s="38">
        <v>45873</v>
      </c>
      <c r="Z114" s="49">
        <v>1200000</v>
      </c>
      <c r="AA114" s="48">
        <f>T114-Z114</f>
      </c>
      <c r="AB114" s="43">
        <f>IF($AB$1&lt;W114,0,IF($AB$1&gt;Y114,0,T114))</f>
      </c>
      <c r="AC114" s="43">
        <f>IF($AC$2&lt;U114,0,IF(AND($AC$2&gt;U114,$AC$2&lt;Y114),T114,IF(X114="REJET",0,T114-Z114)))</f>
      </c>
      <c r="AD114" s="1"/>
      <c r="AE114" s="23"/>
      <c r="AF114" s="24"/>
      <c r="AG114" s="25"/>
    </row>
    <row x14ac:dyDescent="0.25" r="115" customHeight="1" ht="18.75">
      <c r="A115" s="13" t="s">
        <v>47</v>
      </c>
      <c r="B115" s="37">
        <v>900</v>
      </c>
      <c r="C115" s="13" t="s">
        <v>3</v>
      </c>
      <c r="D115" s="13" t="s">
        <v>48</v>
      </c>
      <c r="E115" s="38">
        <v>45658</v>
      </c>
      <c r="F115" s="38">
        <v>46022</v>
      </c>
      <c r="G115" s="39">
        <v>113</v>
      </c>
      <c r="H115" s="13" t="s">
        <v>398</v>
      </c>
      <c r="I115" s="38">
        <v>26134</v>
      </c>
      <c r="J115" s="38">
        <v>45658</v>
      </c>
      <c r="K115" s="40" t="s">
        <v>50</v>
      </c>
      <c r="L115" s="13" t="s">
        <v>51</v>
      </c>
      <c r="M115" s="13" t="s">
        <v>52</v>
      </c>
      <c r="N115" s="13" t="s">
        <v>399</v>
      </c>
      <c r="O115" s="13" t="s">
        <v>54</v>
      </c>
      <c r="P115" s="13" t="s">
        <v>55</v>
      </c>
      <c r="Q115" s="38">
        <v>26134</v>
      </c>
      <c r="R115" s="13" t="s">
        <v>400</v>
      </c>
      <c r="S115" s="41" t="s">
        <v>57</v>
      </c>
      <c r="T115" s="37">
        <v>1200000</v>
      </c>
      <c r="U115" s="38">
        <v>45846</v>
      </c>
      <c r="V115" s="39">
        <v>2025</v>
      </c>
      <c r="W115" s="42">
        <v>45846</v>
      </c>
      <c r="X115" s="41" t="s">
        <v>58</v>
      </c>
      <c r="Y115" s="38">
        <v>45909</v>
      </c>
      <c r="Z115" s="39">
        <v>0</v>
      </c>
      <c r="AA115" s="38"/>
      <c r="AB115" s="43">
        <f>IF($AB$1&lt;W115,0,IF($AB$1&gt;Y115,0,T115))</f>
      </c>
      <c r="AC115" s="43">
        <f>IF($AC$2&lt;U115,0,IF(AND($AC$2&gt;U115,$AC$2&lt;Y115),T115,IF(X115="REJET",0,T115-Z115)))</f>
      </c>
      <c r="AD115" s="1"/>
      <c r="AE115" s="23"/>
      <c r="AF115" s="24"/>
      <c r="AG115" s="25"/>
    </row>
    <row x14ac:dyDescent="0.25" r="116" customHeight="1" ht="18.75">
      <c r="A116" s="13" t="s">
        <v>47</v>
      </c>
      <c r="B116" s="37">
        <v>900</v>
      </c>
      <c r="C116" s="13" t="s">
        <v>3</v>
      </c>
      <c r="D116" s="13" t="s">
        <v>48</v>
      </c>
      <c r="E116" s="38">
        <v>45658</v>
      </c>
      <c r="F116" s="38">
        <v>46022</v>
      </c>
      <c r="G116" s="39">
        <v>114</v>
      </c>
      <c r="H116" s="13" t="s">
        <v>401</v>
      </c>
      <c r="I116" s="38">
        <v>25401</v>
      </c>
      <c r="J116" s="38">
        <v>45658</v>
      </c>
      <c r="K116" s="40" t="s">
        <v>50</v>
      </c>
      <c r="L116" s="13" t="s">
        <v>51</v>
      </c>
      <c r="M116" s="13" t="s">
        <v>52</v>
      </c>
      <c r="N116" s="13" t="s">
        <v>402</v>
      </c>
      <c r="O116" s="13" t="s">
        <v>54</v>
      </c>
      <c r="P116" s="13" t="s">
        <v>55</v>
      </c>
      <c r="Q116" s="38">
        <v>25401</v>
      </c>
      <c r="R116" s="13" t="s">
        <v>403</v>
      </c>
      <c r="S116" s="41" t="s">
        <v>82</v>
      </c>
      <c r="T116" s="37">
        <v>6000000</v>
      </c>
      <c r="U116" s="38">
        <v>45848</v>
      </c>
      <c r="V116" s="39">
        <v>2025</v>
      </c>
      <c r="W116" s="42">
        <v>45847</v>
      </c>
      <c r="X116" s="41" t="s">
        <v>6</v>
      </c>
      <c r="Y116" s="38"/>
      <c r="Z116" s="50"/>
      <c r="AA116" s="38"/>
      <c r="AB116" s="43">
        <f>IF($AB$1&lt;W116,0,IF($AB$1&gt;Y116,0,T116))</f>
      </c>
      <c r="AC116" s="43">
        <f>IF($AC$2&lt;U116,0,IF(AND($AC$2&gt;U116,$AC$2&lt;Y116),T116,IF(X116="REJET",0,T116-Z116)))</f>
      </c>
      <c r="AD116" s="1"/>
      <c r="AE116" s="23"/>
      <c r="AF116" s="24"/>
      <c r="AG116" s="25"/>
    </row>
    <row x14ac:dyDescent="0.25" r="117" customHeight="1" ht="18.75">
      <c r="A117" s="13" t="s">
        <v>47</v>
      </c>
      <c r="B117" s="37">
        <v>900</v>
      </c>
      <c r="C117" s="13" t="s">
        <v>3</v>
      </c>
      <c r="D117" s="13" t="s">
        <v>48</v>
      </c>
      <c r="E117" s="38">
        <v>45658</v>
      </c>
      <c r="F117" s="38">
        <v>46022</v>
      </c>
      <c r="G117" s="39">
        <v>115</v>
      </c>
      <c r="H117" s="13" t="s">
        <v>404</v>
      </c>
      <c r="I117" s="38">
        <v>29390</v>
      </c>
      <c r="J117" s="38">
        <v>45658</v>
      </c>
      <c r="K117" s="40" t="s">
        <v>50</v>
      </c>
      <c r="L117" s="13" t="s">
        <v>51</v>
      </c>
      <c r="M117" s="13" t="s">
        <v>52</v>
      </c>
      <c r="N117" s="13" t="s">
        <v>405</v>
      </c>
      <c r="O117" s="13" t="s">
        <v>54</v>
      </c>
      <c r="P117" s="13" t="s">
        <v>55</v>
      </c>
      <c r="Q117" s="38">
        <v>29390</v>
      </c>
      <c r="R117" s="13" t="s">
        <v>406</v>
      </c>
      <c r="S117" s="41" t="s">
        <v>82</v>
      </c>
      <c r="T117" s="37">
        <v>6000000</v>
      </c>
      <c r="U117" s="38">
        <v>45848</v>
      </c>
      <c r="V117" s="39">
        <v>2025</v>
      </c>
      <c r="W117" s="42">
        <v>45846</v>
      </c>
      <c r="X117" s="41" t="s">
        <v>6</v>
      </c>
      <c r="Y117" s="38"/>
      <c r="Z117" s="50"/>
      <c r="AA117" s="38"/>
      <c r="AB117" s="43">
        <f>IF($AB$1&lt;W117,0,IF($AB$1&gt;Y117,0,T117))</f>
      </c>
      <c r="AC117" s="43">
        <f>IF($AC$2&lt;U117,0,IF(AND($AC$2&gt;U117,$AC$2&lt;Y117),T117,IF(X117="REJET",0,T117-Z117)))</f>
      </c>
      <c r="AD117" s="1"/>
      <c r="AE117" s="23"/>
      <c r="AF117" s="24"/>
      <c r="AG117" s="25"/>
    </row>
    <row x14ac:dyDescent="0.25" r="118" customHeight="1" ht="18.75">
      <c r="A118" s="13" t="s">
        <v>47</v>
      </c>
      <c r="B118" s="37">
        <v>900</v>
      </c>
      <c r="C118" s="13" t="s">
        <v>3</v>
      </c>
      <c r="D118" s="13" t="s">
        <v>48</v>
      </c>
      <c r="E118" s="38">
        <v>45658</v>
      </c>
      <c r="F118" s="38">
        <v>46022</v>
      </c>
      <c r="G118" s="39">
        <v>116</v>
      </c>
      <c r="H118" s="13" t="s">
        <v>407</v>
      </c>
      <c r="I118" s="38">
        <v>23318</v>
      </c>
      <c r="J118" s="38">
        <v>45658</v>
      </c>
      <c r="K118" s="40" t="s">
        <v>50</v>
      </c>
      <c r="L118" s="13" t="s">
        <v>51</v>
      </c>
      <c r="M118" s="13" t="s">
        <v>52</v>
      </c>
      <c r="N118" s="13" t="s">
        <v>408</v>
      </c>
      <c r="O118" s="13" t="s">
        <v>54</v>
      </c>
      <c r="P118" s="13" t="s">
        <v>55</v>
      </c>
      <c r="Q118" s="38">
        <v>23318</v>
      </c>
      <c r="R118" s="13" t="s">
        <v>409</v>
      </c>
      <c r="S118" s="41" t="s">
        <v>57</v>
      </c>
      <c r="T118" s="37">
        <v>1200000</v>
      </c>
      <c r="U118" s="38">
        <v>45848</v>
      </c>
      <c r="V118" s="39">
        <v>2025</v>
      </c>
      <c r="W118" s="42">
        <v>45805</v>
      </c>
      <c r="X118" s="41" t="s">
        <v>6</v>
      </c>
      <c r="Y118" s="38"/>
      <c r="Z118" s="50"/>
      <c r="AA118" s="38"/>
      <c r="AB118" s="43">
        <f>IF($AB$1&lt;W118,0,IF($AB$1&gt;Y118,0,T118))</f>
      </c>
      <c r="AC118" s="43">
        <f>IF($AC$2&lt;U118,0,IF(AND($AC$2&gt;U118,$AC$2&lt;Y118),T118,IF(X118="REJET",0,T118-Z118)))</f>
      </c>
      <c r="AD118" s="1"/>
      <c r="AE118" s="23"/>
      <c r="AF118" s="24"/>
      <c r="AG118" s="25"/>
    </row>
    <row x14ac:dyDescent="0.25" r="119" customHeight="1" ht="18.75">
      <c r="A119" s="13" t="s">
        <v>47</v>
      </c>
      <c r="B119" s="37">
        <v>900</v>
      </c>
      <c r="C119" s="13" t="s">
        <v>3</v>
      </c>
      <c r="D119" s="13" t="s">
        <v>48</v>
      </c>
      <c r="E119" s="38">
        <v>45658</v>
      </c>
      <c r="F119" s="38">
        <v>46022</v>
      </c>
      <c r="G119" s="39">
        <v>117</v>
      </c>
      <c r="H119" s="13" t="s">
        <v>410</v>
      </c>
      <c r="I119" s="38">
        <v>27514</v>
      </c>
      <c r="J119" s="38">
        <v>45658</v>
      </c>
      <c r="K119" s="40" t="s">
        <v>50</v>
      </c>
      <c r="L119" s="13" t="s">
        <v>51</v>
      </c>
      <c r="M119" s="13" t="s">
        <v>52</v>
      </c>
      <c r="N119" s="13" t="s">
        <v>411</v>
      </c>
      <c r="O119" s="13" t="s">
        <v>54</v>
      </c>
      <c r="P119" s="13" t="s">
        <v>55</v>
      </c>
      <c r="Q119" s="38">
        <v>27514</v>
      </c>
      <c r="R119" s="13" t="s">
        <v>412</v>
      </c>
      <c r="S119" s="41" t="s">
        <v>82</v>
      </c>
      <c r="T119" s="37">
        <v>6000000</v>
      </c>
      <c r="U119" s="38">
        <v>45851</v>
      </c>
      <c r="V119" s="39">
        <v>2025</v>
      </c>
      <c r="W119" s="42">
        <v>45851</v>
      </c>
      <c r="X119" s="41" t="s">
        <v>6</v>
      </c>
      <c r="Y119" s="38"/>
      <c r="Z119" s="50"/>
      <c r="AA119" s="38"/>
      <c r="AB119" s="43">
        <f>IF($AB$1&lt;W119,0,IF($AB$1&gt;Y119,0,T119))</f>
      </c>
      <c r="AC119" s="43">
        <f>IF($AC$2&lt;U119,0,IF(AND($AC$2&gt;U119,$AC$2&lt;Y119),T119,IF(X119="REJET",0,T119-Z119)))</f>
      </c>
      <c r="AD119" s="1"/>
      <c r="AE119" s="23"/>
      <c r="AF119" s="24"/>
      <c r="AG119" s="25"/>
    </row>
    <row x14ac:dyDescent="0.25" r="120" customHeight="1" ht="18.75">
      <c r="A120" s="13" t="s">
        <v>47</v>
      </c>
      <c r="B120" s="37">
        <v>900</v>
      </c>
      <c r="C120" s="13" t="s">
        <v>3</v>
      </c>
      <c r="D120" s="13" t="s">
        <v>48</v>
      </c>
      <c r="E120" s="38">
        <v>45658</v>
      </c>
      <c r="F120" s="38">
        <v>46022</v>
      </c>
      <c r="G120" s="39">
        <v>118</v>
      </c>
      <c r="H120" s="13" t="s">
        <v>413</v>
      </c>
      <c r="I120" s="38">
        <v>28794</v>
      </c>
      <c r="J120" s="38">
        <v>45658</v>
      </c>
      <c r="K120" s="40" t="s">
        <v>50</v>
      </c>
      <c r="L120" s="13" t="s">
        <v>51</v>
      </c>
      <c r="M120" s="13" t="s">
        <v>52</v>
      </c>
      <c r="N120" s="13" t="s">
        <v>414</v>
      </c>
      <c r="O120" s="13" t="s">
        <v>54</v>
      </c>
      <c r="P120" s="13" t="s">
        <v>55</v>
      </c>
      <c r="Q120" s="38">
        <v>28794</v>
      </c>
      <c r="R120" s="13" t="s">
        <v>415</v>
      </c>
      <c r="S120" s="41" t="s">
        <v>75</v>
      </c>
      <c r="T120" s="37">
        <v>6000000</v>
      </c>
      <c r="U120" s="38">
        <v>45854</v>
      </c>
      <c r="V120" s="39">
        <v>2025</v>
      </c>
      <c r="W120" s="42">
        <v>45726</v>
      </c>
      <c r="X120" s="41" t="s">
        <v>6</v>
      </c>
      <c r="Y120" s="38"/>
      <c r="Z120" s="50"/>
      <c r="AA120" s="38"/>
      <c r="AB120" s="43">
        <f>IF($AB$1&lt;W120,0,IF($AB$1&gt;Y120,0,T120))</f>
      </c>
      <c r="AC120" s="43">
        <f>IF($AC$2&lt;U120,0,IF(AND($AC$2&gt;U120,$AC$2&lt;Y120),T120,IF(X120="REJET",0,T120-Z120)))</f>
      </c>
      <c r="AD120" s="1"/>
      <c r="AE120" s="23"/>
      <c r="AF120" s="24"/>
      <c r="AG120" s="25"/>
    </row>
    <row x14ac:dyDescent="0.25" r="121" customHeight="1" ht="18.75">
      <c r="A121" s="13" t="s">
        <v>47</v>
      </c>
      <c r="B121" s="37">
        <v>900</v>
      </c>
      <c r="C121" s="13" t="s">
        <v>3</v>
      </c>
      <c r="D121" s="13" t="s">
        <v>48</v>
      </c>
      <c r="E121" s="38">
        <v>45658</v>
      </c>
      <c r="F121" s="38">
        <v>46022</v>
      </c>
      <c r="G121" s="39">
        <v>119</v>
      </c>
      <c r="H121" s="13" t="s">
        <v>416</v>
      </c>
      <c r="I121" s="38">
        <v>27612</v>
      </c>
      <c r="J121" s="38">
        <v>45658</v>
      </c>
      <c r="K121" s="40" t="s">
        <v>50</v>
      </c>
      <c r="L121" s="13" t="s">
        <v>51</v>
      </c>
      <c r="M121" s="13" t="s">
        <v>52</v>
      </c>
      <c r="N121" s="13" t="s">
        <v>417</v>
      </c>
      <c r="O121" s="13" t="s">
        <v>62</v>
      </c>
      <c r="P121" s="13" t="s">
        <v>63</v>
      </c>
      <c r="Q121" s="38">
        <v>27612</v>
      </c>
      <c r="R121" s="13" t="s">
        <v>418</v>
      </c>
      <c r="S121" s="41" t="s">
        <v>75</v>
      </c>
      <c r="T121" s="37">
        <v>6000000</v>
      </c>
      <c r="U121" s="38">
        <v>45854</v>
      </c>
      <c r="V121" s="39">
        <v>2025</v>
      </c>
      <c r="W121" s="42">
        <v>45854</v>
      </c>
      <c r="X121" s="41" t="s">
        <v>6</v>
      </c>
      <c r="Y121" s="38"/>
      <c r="Z121" s="50"/>
      <c r="AA121" s="38"/>
      <c r="AB121" s="43">
        <f>IF($AB$1&lt;W121,0,IF($AB$1&gt;Y121,0,T121))</f>
      </c>
      <c r="AC121" s="43">
        <f>IF($AC$2&lt;U121,0,IF(AND($AC$2&gt;U121,$AC$2&lt;Y121),T121,IF(X121="REJET",0,T121-Z121)))</f>
      </c>
      <c r="AD121" s="1"/>
      <c r="AE121" s="23"/>
      <c r="AF121" s="24"/>
      <c r="AG121" s="25"/>
    </row>
    <row x14ac:dyDescent="0.25" r="122" customHeight="1" ht="18.75">
      <c r="A122" s="13" t="s">
        <v>47</v>
      </c>
      <c r="B122" s="37">
        <v>900</v>
      </c>
      <c r="C122" s="13" t="s">
        <v>3</v>
      </c>
      <c r="D122" s="13" t="s">
        <v>48</v>
      </c>
      <c r="E122" s="38">
        <v>45658</v>
      </c>
      <c r="F122" s="38">
        <v>46022</v>
      </c>
      <c r="G122" s="39">
        <v>120</v>
      </c>
      <c r="H122" s="13" t="s">
        <v>419</v>
      </c>
      <c r="I122" s="38">
        <v>24071</v>
      </c>
      <c r="J122" s="38">
        <v>45658</v>
      </c>
      <c r="K122" s="40" t="s">
        <v>50</v>
      </c>
      <c r="L122" s="13" t="s">
        <v>51</v>
      </c>
      <c r="M122" s="13" t="s">
        <v>52</v>
      </c>
      <c r="N122" s="13" t="s">
        <v>420</v>
      </c>
      <c r="O122" s="13" t="s">
        <v>54</v>
      </c>
      <c r="P122" s="13" t="s">
        <v>55</v>
      </c>
      <c r="Q122" s="38">
        <v>24071</v>
      </c>
      <c r="R122" s="13" t="s">
        <v>421</v>
      </c>
      <c r="S122" s="41" t="s">
        <v>57</v>
      </c>
      <c r="T122" s="37">
        <v>1200000</v>
      </c>
      <c r="U122" s="38">
        <v>45855</v>
      </c>
      <c r="V122" s="39">
        <v>2025</v>
      </c>
      <c r="W122" s="42">
        <v>45855</v>
      </c>
      <c r="X122" s="41" t="s">
        <v>58</v>
      </c>
      <c r="Y122" s="38">
        <v>45909</v>
      </c>
      <c r="Z122" s="39">
        <v>0</v>
      </c>
      <c r="AA122" s="38"/>
      <c r="AB122" s="43">
        <f>IF($AB$1&lt;W122,0,IF($AB$1&gt;Y122,0,T122))</f>
      </c>
      <c r="AC122" s="43">
        <f>IF($AC$2&lt;U122,0,IF(AND($AC$2&gt;U122,$AC$2&lt;Y122),T122,IF(X122="REJET",0,T122-Z122)))</f>
      </c>
      <c r="AD122" s="1"/>
      <c r="AE122" s="23"/>
      <c r="AF122" s="24"/>
      <c r="AG122" s="25"/>
    </row>
    <row x14ac:dyDescent="0.25" r="123" customHeight="1" ht="18.75">
      <c r="A123" s="13" t="s">
        <v>47</v>
      </c>
      <c r="B123" s="37">
        <v>900</v>
      </c>
      <c r="C123" s="13" t="s">
        <v>3</v>
      </c>
      <c r="D123" s="13" t="s">
        <v>48</v>
      </c>
      <c r="E123" s="38">
        <v>45658</v>
      </c>
      <c r="F123" s="38">
        <v>46022</v>
      </c>
      <c r="G123" s="39">
        <v>121</v>
      </c>
      <c r="H123" s="13" t="s">
        <v>422</v>
      </c>
      <c r="I123" s="38">
        <v>24461</v>
      </c>
      <c r="J123" s="38">
        <v>45658</v>
      </c>
      <c r="K123" s="40" t="s">
        <v>50</v>
      </c>
      <c r="L123" s="13" t="s">
        <v>51</v>
      </c>
      <c r="M123" s="13" t="s">
        <v>52</v>
      </c>
      <c r="N123" s="13" t="s">
        <v>423</v>
      </c>
      <c r="O123" s="13" t="s">
        <v>54</v>
      </c>
      <c r="P123" s="13" t="s">
        <v>55</v>
      </c>
      <c r="Q123" s="38">
        <v>24461</v>
      </c>
      <c r="R123" s="13" t="s">
        <v>424</v>
      </c>
      <c r="S123" s="41" t="s">
        <v>57</v>
      </c>
      <c r="T123" s="37">
        <v>1200000</v>
      </c>
      <c r="U123" s="38">
        <v>45855</v>
      </c>
      <c r="V123" s="39">
        <v>2025</v>
      </c>
      <c r="W123" s="42">
        <v>45855</v>
      </c>
      <c r="X123" s="41" t="s">
        <v>58</v>
      </c>
      <c r="Y123" s="38">
        <v>45859</v>
      </c>
      <c r="Z123" s="39">
        <v>0</v>
      </c>
      <c r="AA123" s="38"/>
      <c r="AB123" s="43">
        <f>IF($AB$1&lt;W123,0,IF($AB$1&gt;Y123,0,T123))</f>
      </c>
      <c r="AC123" s="43">
        <f>IF($AC$2&lt;U123,0,IF(AND($AC$2&gt;U123,$AC$2&lt;Y123),T123,IF(X123="REJET",0,T123-Z123)))</f>
      </c>
      <c r="AD123" s="1"/>
      <c r="AE123" s="23"/>
      <c r="AF123" s="24"/>
      <c r="AG123" s="25"/>
    </row>
    <row x14ac:dyDescent="0.25" r="124" customHeight="1" ht="18.75">
      <c r="A124" s="13" t="s">
        <v>47</v>
      </c>
      <c r="B124" s="37">
        <v>900</v>
      </c>
      <c r="C124" s="13" t="s">
        <v>3</v>
      </c>
      <c r="D124" s="13" t="s">
        <v>48</v>
      </c>
      <c r="E124" s="38">
        <v>45658</v>
      </c>
      <c r="F124" s="38">
        <v>46022</v>
      </c>
      <c r="G124" s="39">
        <v>122</v>
      </c>
      <c r="H124" s="13" t="s">
        <v>425</v>
      </c>
      <c r="I124" s="38">
        <v>24228</v>
      </c>
      <c r="J124" s="38">
        <v>45658</v>
      </c>
      <c r="K124" s="40" t="s">
        <v>50</v>
      </c>
      <c r="L124" s="13" t="s">
        <v>51</v>
      </c>
      <c r="M124" s="13" t="s">
        <v>52</v>
      </c>
      <c r="N124" s="13" t="s">
        <v>426</v>
      </c>
      <c r="O124" s="13" t="s">
        <v>54</v>
      </c>
      <c r="P124" s="13" t="s">
        <v>55</v>
      </c>
      <c r="Q124" s="38">
        <v>24228</v>
      </c>
      <c r="R124" s="13" t="s">
        <v>427</v>
      </c>
      <c r="S124" s="41" t="s">
        <v>57</v>
      </c>
      <c r="T124" s="37">
        <v>1200000</v>
      </c>
      <c r="U124" s="38">
        <v>45858</v>
      </c>
      <c r="V124" s="39">
        <v>2025</v>
      </c>
      <c r="W124" s="42">
        <v>45858</v>
      </c>
      <c r="X124" s="41" t="s">
        <v>6</v>
      </c>
      <c r="Y124" s="38"/>
      <c r="Z124" s="50"/>
      <c r="AA124" s="38"/>
      <c r="AB124" s="43">
        <f>IF($AB$1&lt;W124,0,IF($AB$1&gt;Y124,0,T124))</f>
      </c>
      <c r="AC124" s="43">
        <f>IF($AC$2&lt;U124,0,IF(AND($AC$2&gt;U124,$AC$2&lt;Y124),T124,IF(X124="REJET",0,T124-Z124)))</f>
      </c>
      <c r="AD124" s="1"/>
      <c r="AE124" s="23"/>
      <c r="AF124" s="24"/>
      <c r="AG124" s="25"/>
    </row>
    <row x14ac:dyDescent="0.25" r="125" customHeight="1" ht="18.75">
      <c r="A125" s="13" t="s">
        <v>47</v>
      </c>
      <c r="B125" s="37">
        <v>900</v>
      </c>
      <c r="C125" s="13" t="s">
        <v>3</v>
      </c>
      <c r="D125" s="13" t="s">
        <v>48</v>
      </c>
      <c r="E125" s="38">
        <v>45658</v>
      </c>
      <c r="F125" s="38">
        <v>46022</v>
      </c>
      <c r="G125" s="39">
        <v>123</v>
      </c>
      <c r="H125" s="13" t="s">
        <v>428</v>
      </c>
      <c r="I125" s="38">
        <v>24461</v>
      </c>
      <c r="J125" s="38">
        <v>45658</v>
      </c>
      <c r="K125" s="40" t="s">
        <v>50</v>
      </c>
      <c r="L125" s="13" t="s">
        <v>51</v>
      </c>
      <c r="M125" s="13" t="s">
        <v>52</v>
      </c>
      <c r="N125" s="13" t="s">
        <v>429</v>
      </c>
      <c r="O125" s="13" t="s">
        <v>54</v>
      </c>
      <c r="P125" s="13" t="s">
        <v>55</v>
      </c>
      <c r="Q125" s="38">
        <v>24461</v>
      </c>
      <c r="R125" s="13" t="s">
        <v>430</v>
      </c>
      <c r="S125" s="41" t="s">
        <v>82</v>
      </c>
      <c r="T125" s="37">
        <v>6000000</v>
      </c>
      <c r="U125" s="38">
        <v>45859</v>
      </c>
      <c r="V125" s="39">
        <v>2025</v>
      </c>
      <c r="W125" s="42">
        <v>45859</v>
      </c>
      <c r="X125" s="41" t="s">
        <v>6</v>
      </c>
      <c r="Y125" s="38"/>
      <c r="Z125" s="50"/>
      <c r="AA125" s="38"/>
      <c r="AB125" s="43">
        <f>IF($AB$1&lt;W125,0,IF($AB$1&gt;Y125,0,T125))</f>
      </c>
      <c r="AC125" s="43">
        <f>IF($AC$2&lt;U125,0,IF(AND($AC$2&gt;U125,$AC$2&lt;Y125),T125,IF(X125="REJET",0,T125-Z125)))</f>
      </c>
      <c r="AD125" s="1"/>
      <c r="AE125" s="23"/>
      <c r="AF125" s="24"/>
      <c r="AG125" s="25"/>
    </row>
    <row x14ac:dyDescent="0.25" r="126" customHeight="1" ht="18.75">
      <c r="A126" s="13" t="s">
        <v>47</v>
      </c>
      <c r="B126" s="37">
        <v>900</v>
      </c>
      <c r="C126" s="13" t="s">
        <v>3</v>
      </c>
      <c r="D126" s="13" t="s">
        <v>48</v>
      </c>
      <c r="E126" s="38">
        <v>45658</v>
      </c>
      <c r="F126" s="38">
        <v>46022</v>
      </c>
      <c r="G126" s="39">
        <v>124</v>
      </c>
      <c r="H126" s="13" t="s">
        <v>431</v>
      </c>
      <c r="I126" s="38">
        <v>28163</v>
      </c>
      <c r="J126" s="38">
        <v>45658</v>
      </c>
      <c r="K126" s="40" t="s">
        <v>50</v>
      </c>
      <c r="L126" s="13" t="s">
        <v>51</v>
      </c>
      <c r="M126" s="13" t="s">
        <v>52</v>
      </c>
      <c r="N126" s="13" t="s">
        <v>432</v>
      </c>
      <c r="O126" s="13" t="s">
        <v>54</v>
      </c>
      <c r="P126" s="13" t="s">
        <v>55</v>
      </c>
      <c r="Q126" s="38">
        <v>28163</v>
      </c>
      <c r="R126" s="13" t="s">
        <v>433</v>
      </c>
      <c r="S126" s="41" t="s">
        <v>57</v>
      </c>
      <c r="T126" s="37">
        <v>1200000</v>
      </c>
      <c r="U126" s="38">
        <v>45860</v>
      </c>
      <c r="V126" s="39">
        <v>2025</v>
      </c>
      <c r="W126" s="42">
        <v>45860</v>
      </c>
      <c r="X126" s="41" t="s">
        <v>6</v>
      </c>
      <c r="Y126" s="38"/>
      <c r="Z126" s="50"/>
      <c r="AA126" s="38"/>
      <c r="AB126" s="43">
        <f>IF($AB$1&lt;W126,0,IF($AB$1&gt;Y126,0,T126))</f>
      </c>
      <c r="AC126" s="43">
        <f>IF($AC$2&lt;U126,0,IF(AND($AC$2&gt;U126,$AC$2&lt;Y126),T126,IF(X126="REJET",0,T126-Z126)))</f>
      </c>
      <c r="AD126" s="1"/>
      <c r="AE126" s="23"/>
      <c r="AF126" s="24"/>
      <c r="AG126" s="25"/>
    </row>
    <row x14ac:dyDescent="0.25" r="127" customHeight="1" ht="18.75">
      <c r="A127" s="13" t="s">
        <v>47</v>
      </c>
      <c r="B127" s="37">
        <v>900</v>
      </c>
      <c r="C127" s="13" t="s">
        <v>3</v>
      </c>
      <c r="D127" s="13" t="s">
        <v>48</v>
      </c>
      <c r="E127" s="38">
        <v>45658</v>
      </c>
      <c r="F127" s="38">
        <v>46022</v>
      </c>
      <c r="G127" s="39">
        <v>125</v>
      </c>
      <c r="H127" s="13" t="s">
        <v>434</v>
      </c>
      <c r="I127" s="38">
        <v>23671</v>
      </c>
      <c r="J127" s="38">
        <v>45658</v>
      </c>
      <c r="K127" s="40" t="s">
        <v>50</v>
      </c>
      <c r="L127" s="13" t="s">
        <v>51</v>
      </c>
      <c r="M127" s="13" t="s">
        <v>52</v>
      </c>
      <c r="N127" s="13" t="s">
        <v>435</v>
      </c>
      <c r="O127" s="13" t="s">
        <v>54</v>
      </c>
      <c r="P127" s="13" t="s">
        <v>55</v>
      </c>
      <c r="Q127" s="38">
        <v>23671</v>
      </c>
      <c r="R127" s="13" t="s">
        <v>436</v>
      </c>
      <c r="S127" s="41" t="s">
        <v>57</v>
      </c>
      <c r="T127" s="37">
        <v>1200000</v>
      </c>
      <c r="U127" s="38">
        <v>45860</v>
      </c>
      <c r="V127" s="39">
        <v>2025</v>
      </c>
      <c r="W127" s="42">
        <v>45860</v>
      </c>
      <c r="X127" s="41" t="s">
        <v>6</v>
      </c>
      <c r="Y127" s="38"/>
      <c r="Z127" s="50"/>
      <c r="AA127" s="38"/>
      <c r="AB127" s="43">
        <f>IF($AB$1&lt;W127,0,IF($AB$1&gt;Y127,0,T127))</f>
      </c>
      <c r="AC127" s="43">
        <f>IF($AC$2&lt;U127,0,IF(AND($AC$2&gt;U127,$AC$2&lt;Y127),T127,IF(X127="REJET",0,T127-Z127)))</f>
      </c>
      <c r="AD127" s="1"/>
      <c r="AE127" s="23"/>
      <c r="AF127" s="24"/>
      <c r="AG127" s="25"/>
    </row>
    <row x14ac:dyDescent="0.25" r="128" customHeight="1" ht="18.75">
      <c r="A128" s="13" t="s">
        <v>47</v>
      </c>
      <c r="B128" s="37">
        <v>900</v>
      </c>
      <c r="C128" s="13" t="s">
        <v>3</v>
      </c>
      <c r="D128" s="13" t="s">
        <v>48</v>
      </c>
      <c r="E128" s="38">
        <v>45658</v>
      </c>
      <c r="F128" s="38">
        <v>46022</v>
      </c>
      <c r="G128" s="39">
        <v>126</v>
      </c>
      <c r="H128" s="13" t="s">
        <v>437</v>
      </c>
      <c r="I128" s="38">
        <v>28209</v>
      </c>
      <c r="J128" s="38">
        <v>45658</v>
      </c>
      <c r="K128" s="40" t="s">
        <v>50</v>
      </c>
      <c r="L128" s="13" t="s">
        <v>51</v>
      </c>
      <c r="M128" s="13" t="s">
        <v>52</v>
      </c>
      <c r="N128" s="13" t="s">
        <v>438</v>
      </c>
      <c r="O128" s="13" t="s">
        <v>54</v>
      </c>
      <c r="P128" s="13" t="s">
        <v>55</v>
      </c>
      <c r="Q128" s="38">
        <v>28209</v>
      </c>
      <c r="R128" s="13" t="s">
        <v>439</v>
      </c>
      <c r="S128" s="41" t="s">
        <v>57</v>
      </c>
      <c r="T128" s="37">
        <v>1200000</v>
      </c>
      <c r="U128" s="38">
        <v>45861</v>
      </c>
      <c r="V128" s="39">
        <v>2025</v>
      </c>
      <c r="W128" s="42">
        <v>45861</v>
      </c>
      <c r="X128" s="41" t="s">
        <v>6</v>
      </c>
      <c r="Y128" s="38"/>
      <c r="Z128" s="50"/>
      <c r="AA128" s="38"/>
      <c r="AB128" s="43">
        <f>IF($AB$1&lt;W128,0,IF($AB$1&gt;Y128,0,T128))</f>
      </c>
      <c r="AC128" s="43">
        <f>IF($AC$2&lt;U128,0,IF(AND($AC$2&gt;U128,$AC$2&lt;Y128),T128,IF(X128="REJET",0,T128-Z128)))</f>
      </c>
      <c r="AD128" s="1"/>
      <c r="AE128" s="23"/>
      <c r="AF128" s="24"/>
      <c r="AG128" s="25"/>
    </row>
    <row x14ac:dyDescent="0.25" r="129" customHeight="1" ht="18.75">
      <c r="A129" s="13" t="s">
        <v>47</v>
      </c>
      <c r="B129" s="37">
        <v>900</v>
      </c>
      <c r="C129" s="13" t="s">
        <v>3</v>
      </c>
      <c r="D129" s="13" t="s">
        <v>48</v>
      </c>
      <c r="E129" s="38">
        <v>45658</v>
      </c>
      <c r="F129" s="38">
        <v>46022</v>
      </c>
      <c r="G129" s="39">
        <v>127</v>
      </c>
      <c r="H129" s="13" t="s">
        <v>440</v>
      </c>
      <c r="I129" s="38">
        <v>27141</v>
      </c>
      <c r="J129" s="38">
        <v>45658</v>
      </c>
      <c r="K129" s="40" t="s">
        <v>50</v>
      </c>
      <c r="L129" s="13" t="s">
        <v>51</v>
      </c>
      <c r="M129" s="13" t="s">
        <v>52</v>
      </c>
      <c r="N129" s="13" t="s">
        <v>441</v>
      </c>
      <c r="O129" s="13" t="s">
        <v>62</v>
      </c>
      <c r="P129" s="13" t="s">
        <v>63</v>
      </c>
      <c r="Q129" s="38">
        <v>27141</v>
      </c>
      <c r="R129" s="13" t="s">
        <v>442</v>
      </c>
      <c r="S129" s="41" t="s">
        <v>57</v>
      </c>
      <c r="T129" s="37">
        <v>1200000</v>
      </c>
      <c r="U129" s="38">
        <v>45862</v>
      </c>
      <c r="V129" s="39">
        <v>2025</v>
      </c>
      <c r="W129" s="42">
        <v>45862</v>
      </c>
      <c r="X129" s="41" t="s">
        <v>6</v>
      </c>
      <c r="Y129" s="38"/>
      <c r="Z129" s="50"/>
      <c r="AA129" s="38"/>
      <c r="AB129" s="43">
        <f>IF($AB$1&lt;W129,0,IF($AB$1&gt;Y129,0,T129))</f>
      </c>
      <c r="AC129" s="43">
        <f>IF($AC$2&lt;U129,0,IF(AND($AC$2&gt;U129,$AC$2&lt;Y129),T129,IF(X129="REJET",0,T129-Z129)))</f>
      </c>
      <c r="AD129" s="1"/>
      <c r="AE129" s="23"/>
      <c r="AF129" s="24"/>
      <c r="AG129" s="25"/>
    </row>
    <row x14ac:dyDescent="0.25" r="130" customHeight="1" ht="18.75">
      <c r="A130" s="13" t="s">
        <v>47</v>
      </c>
      <c r="B130" s="37">
        <v>900</v>
      </c>
      <c r="C130" s="13" t="s">
        <v>3</v>
      </c>
      <c r="D130" s="13" t="s">
        <v>48</v>
      </c>
      <c r="E130" s="38">
        <v>45658</v>
      </c>
      <c r="F130" s="38">
        <v>46022</v>
      </c>
      <c r="G130" s="39">
        <v>128</v>
      </c>
      <c r="H130" s="13" t="s">
        <v>443</v>
      </c>
      <c r="I130" s="38">
        <v>26846</v>
      </c>
      <c r="J130" s="38">
        <v>45658</v>
      </c>
      <c r="K130" s="40" t="s">
        <v>50</v>
      </c>
      <c r="L130" s="13" t="s">
        <v>51</v>
      </c>
      <c r="M130" s="13" t="s">
        <v>52</v>
      </c>
      <c r="N130" s="13" t="s">
        <v>444</v>
      </c>
      <c r="O130" s="13" t="s">
        <v>54</v>
      </c>
      <c r="P130" s="13" t="s">
        <v>55</v>
      </c>
      <c r="Q130" s="38">
        <v>26846</v>
      </c>
      <c r="R130" s="13" t="s">
        <v>445</v>
      </c>
      <c r="S130" s="41" t="s">
        <v>57</v>
      </c>
      <c r="T130" s="37">
        <v>1200000</v>
      </c>
      <c r="U130" s="38">
        <v>45869</v>
      </c>
      <c r="V130" s="39">
        <v>2025</v>
      </c>
      <c r="W130" s="42">
        <v>45869</v>
      </c>
      <c r="X130" s="41" t="s">
        <v>6</v>
      </c>
      <c r="Y130" s="38"/>
      <c r="Z130" s="50"/>
      <c r="AA130" s="38"/>
      <c r="AB130" s="43">
        <f>IF($AB$1&lt;W130,0,IF($AB$1&gt;Y130,0,T130))</f>
      </c>
      <c r="AC130" s="43">
        <f>IF($AC$2&lt;U130,0,IF(AND($AC$2&gt;U130,$AC$2&lt;Y130),T130,IF(X130="REJET",0,T130-Z130)))</f>
      </c>
      <c r="AD130" s="1"/>
      <c r="AE130" s="23"/>
      <c r="AF130" s="24"/>
      <c r="AG130" s="25"/>
    </row>
    <row x14ac:dyDescent="0.25" r="131" customHeight="1" ht="18.75">
      <c r="A131" s="13" t="s">
        <v>47</v>
      </c>
      <c r="B131" s="37">
        <v>900</v>
      </c>
      <c r="C131" s="13" t="s">
        <v>3</v>
      </c>
      <c r="D131" s="13" t="s">
        <v>48</v>
      </c>
      <c r="E131" s="38">
        <v>45658</v>
      </c>
      <c r="F131" s="38">
        <v>46022</v>
      </c>
      <c r="G131" s="39">
        <v>129</v>
      </c>
      <c r="H131" s="13" t="s">
        <v>446</v>
      </c>
      <c r="I131" s="38">
        <v>24443</v>
      </c>
      <c r="J131" s="38">
        <v>45658</v>
      </c>
      <c r="K131" s="40" t="s">
        <v>50</v>
      </c>
      <c r="L131" s="13" t="s">
        <v>51</v>
      </c>
      <c r="M131" s="13" t="s">
        <v>52</v>
      </c>
      <c r="N131" s="13" t="s">
        <v>447</v>
      </c>
      <c r="O131" s="13" t="s">
        <v>62</v>
      </c>
      <c r="P131" s="13" t="s">
        <v>63</v>
      </c>
      <c r="Q131" s="38">
        <v>24443</v>
      </c>
      <c r="R131" s="13" t="s">
        <v>448</v>
      </c>
      <c r="S131" s="41" t="s">
        <v>57</v>
      </c>
      <c r="T131" s="37">
        <v>1200000</v>
      </c>
      <c r="U131" s="38">
        <v>45869</v>
      </c>
      <c r="V131" s="39">
        <v>2025</v>
      </c>
      <c r="W131" s="42">
        <v>45869</v>
      </c>
      <c r="X131" s="41" t="s">
        <v>58</v>
      </c>
      <c r="Y131" s="38">
        <v>45909</v>
      </c>
      <c r="Z131" s="39">
        <v>0</v>
      </c>
      <c r="AA131" s="38"/>
      <c r="AB131" s="43">
        <f>IF($AB$1&lt;W131,0,IF($AB$1&gt;Y131,0,T131))</f>
      </c>
      <c r="AC131" s="43">
        <f>IF($AC$2&lt;U131,0,IF(AND($AC$2&gt;U131,$AC$2&lt;Y131),T131,IF(X131="REJET",0,T131-Z131)))</f>
      </c>
      <c r="AD131" s="1"/>
      <c r="AE131" s="23"/>
      <c r="AF131" s="24"/>
      <c r="AG131" s="25"/>
    </row>
    <row x14ac:dyDescent="0.25" r="132" customHeight="1" ht="18.75">
      <c r="A132" s="13" t="s">
        <v>47</v>
      </c>
      <c r="B132" s="37">
        <v>900</v>
      </c>
      <c r="C132" s="13" t="s">
        <v>3</v>
      </c>
      <c r="D132" s="13" t="s">
        <v>48</v>
      </c>
      <c r="E132" s="38">
        <v>45658</v>
      </c>
      <c r="F132" s="38">
        <v>46022</v>
      </c>
      <c r="G132" s="39">
        <v>130</v>
      </c>
      <c r="H132" s="13" t="s">
        <v>449</v>
      </c>
      <c r="I132" s="38">
        <v>23597</v>
      </c>
      <c r="J132" s="38">
        <v>45658</v>
      </c>
      <c r="K132" s="40" t="s">
        <v>50</v>
      </c>
      <c r="L132" s="13" t="s">
        <v>51</v>
      </c>
      <c r="M132" s="13" t="s">
        <v>52</v>
      </c>
      <c r="N132" s="13" t="s">
        <v>450</v>
      </c>
      <c r="O132" s="13" t="s">
        <v>54</v>
      </c>
      <c r="P132" s="13" t="s">
        <v>55</v>
      </c>
      <c r="Q132" s="38">
        <v>23597</v>
      </c>
      <c r="R132" s="13" t="s">
        <v>451</v>
      </c>
      <c r="S132" s="41" t="s">
        <v>57</v>
      </c>
      <c r="T132" s="37">
        <v>1200000</v>
      </c>
      <c r="U132" s="38">
        <v>45871</v>
      </c>
      <c r="V132" s="39">
        <v>2025</v>
      </c>
      <c r="W132" s="42">
        <v>45871</v>
      </c>
      <c r="X132" s="41" t="s">
        <v>6</v>
      </c>
      <c r="Y132" s="38"/>
      <c r="Z132" s="50"/>
      <c r="AA132" s="38"/>
      <c r="AB132" s="43">
        <f>IF($AB$1&lt;W132,0,IF($AB$1&gt;Y132,0,T132))</f>
      </c>
      <c r="AC132" s="43">
        <f>IF($AC$2&lt;U132,0,IF(AND($AC$2&gt;U132,$AC$2&lt;Y132),T132,IF(X132="REJET",0,T132-Z132)))</f>
      </c>
      <c r="AD132" s="1"/>
      <c r="AE132" s="23"/>
      <c r="AF132" s="24"/>
      <c r="AG132" s="25"/>
    </row>
    <row x14ac:dyDescent="0.25" r="133" customHeight="1" ht="18.75">
      <c r="A133" s="13" t="s">
        <v>47</v>
      </c>
      <c r="B133" s="37">
        <v>900</v>
      </c>
      <c r="C133" s="13" t="s">
        <v>3</v>
      </c>
      <c r="D133" s="13" t="s">
        <v>48</v>
      </c>
      <c r="E133" s="38">
        <v>45658</v>
      </c>
      <c r="F133" s="38">
        <v>46022</v>
      </c>
      <c r="G133" s="39">
        <v>131</v>
      </c>
      <c r="H133" s="13" t="s">
        <v>452</v>
      </c>
      <c r="I133" s="38">
        <v>24579</v>
      </c>
      <c r="J133" s="38">
        <v>45658</v>
      </c>
      <c r="K133" s="40" t="s">
        <v>50</v>
      </c>
      <c r="L133" s="13" t="s">
        <v>51</v>
      </c>
      <c r="M133" s="13" t="s">
        <v>52</v>
      </c>
      <c r="N133" s="13" t="s">
        <v>453</v>
      </c>
      <c r="O133" s="13" t="s">
        <v>54</v>
      </c>
      <c r="P133" s="13" t="s">
        <v>55</v>
      </c>
      <c r="Q133" s="38">
        <v>24579</v>
      </c>
      <c r="R133" s="13" t="s">
        <v>454</v>
      </c>
      <c r="S133" s="41" t="s">
        <v>57</v>
      </c>
      <c r="T133" s="37">
        <v>1200000</v>
      </c>
      <c r="U133" s="38">
        <v>45876</v>
      </c>
      <c r="V133" s="39">
        <v>2025</v>
      </c>
      <c r="W133" s="42">
        <v>45876</v>
      </c>
      <c r="X133" s="41" t="s">
        <v>6</v>
      </c>
      <c r="Y133" s="38"/>
      <c r="Z133" s="50"/>
      <c r="AA133" s="38"/>
      <c r="AB133" s="43">
        <f>IF($AB$1&lt;W133,0,IF($AB$1&gt;Y133,0,T133))</f>
      </c>
      <c r="AC133" s="43">
        <f>IF($AC$2&lt;U133,0,IF(AND($AC$2&gt;U133,$AC$2&lt;Y133),T133,IF(X133="REJET",0,T133-Z133)))</f>
      </c>
      <c r="AD133" s="1"/>
      <c r="AE133" s="23"/>
      <c r="AF133" s="24"/>
      <c r="AG133" s="25"/>
    </row>
    <row x14ac:dyDescent="0.25" r="134" customHeight="1" ht="18.75">
      <c r="A134" s="13" t="s">
        <v>47</v>
      </c>
      <c r="B134" s="37">
        <v>900</v>
      </c>
      <c r="C134" s="13" t="s">
        <v>3</v>
      </c>
      <c r="D134" s="13" t="s">
        <v>48</v>
      </c>
      <c r="E134" s="38">
        <v>45658</v>
      </c>
      <c r="F134" s="38">
        <v>46022</v>
      </c>
      <c r="G134" s="39">
        <v>132</v>
      </c>
      <c r="H134" s="13" t="s">
        <v>455</v>
      </c>
      <c r="I134" s="38">
        <v>24473</v>
      </c>
      <c r="J134" s="38">
        <v>45658</v>
      </c>
      <c r="K134" s="40" t="s">
        <v>50</v>
      </c>
      <c r="L134" s="13" t="s">
        <v>51</v>
      </c>
      <c r="M134" s="13" t="s">
        <v>52</v>
      </c>
      <c r="N134" s="13" t="s">
        <v>456</v>
      </c>
      <c r="O134" s="13" t="s">
        <v>54</v>
      </c>
      <c r="P134" s="13" t="s">
        <v>55</v>
      </c>
      <c r="Q134" s="38">
        <v>24473</v>
      </c>
      <c r="R134" s="13" t="s">
        <v>457</v>
      </c>
      <c r="S134" s="41" t="s">
        <v>82</v>
      </c>
      <c r="T134" s="37">
        <v>6000000</v>
      </c>
      <c r="U134" s="38">
        <v>45878</v>
      </c>
      <c r="V134" s="39">
        <v>2025</v>
      </c>
      <c r="W134" s="42">
        <v>45878</v>
      </c>
      <c r="X134" s="41" t="s">
        <v>6</v>
      </c>
      <c r="Y134" s="38"/>
      <c r="Z134" s="50"/>
      <c r="AA134" s="38"/>
      <c r="AB134" s="43">
        <f>IF($AB$1&lt;W134,0,IF($AB$1&gt;Y134,0,T134))</f>
      </c>
      <c r="AC134" s="43">
        <f>IF($AC$2&lt;U134,0,IF(AND($AC$2&gt;U134,$AC$2&lt;Y134),T134,IF(X134="REJET",0,T134-Z134)))</f>
      </c>
      <c r="AD134" s="1"/>
      <c r="AE134" s="23"/>
      <c r="AF134" s="24"/>
      <c r="AG134" s="25"/>
    </row>
    <row x14ac:dyDescent="0.25" r="135" customHeight="1" ht="18.75">
      <c r="A135" s="13" t="s">
        <v>47</v>
      </c>
      <c r="B135" s="37">
        <v>900</v>
      </c>
      <c r="C135" s="13" t="s">
        <v>3</v>
      </c>
      <c r="D135" s="13" t="s">
        <v>48</v>
      </c>
      <c r="E135" s="38">
        <v>45658</v>
      </c>
      <c r="F135" s="38">
        <v>46022</v>
      </c>
      <c r="G135" s="39">
        <v>133</v>
      </c>
      <c r="H135" s="13" t="s">
        <v>458</v>
      </c>
      <c r="I135" s="38">
        <v>24317</v>
      </c>
      <c r="J135" s="38">
        <v>45658</v>
      </c>
      <c r="K135" s="40" t="s">
        <v>50</v>
      </c>
      <c r="L135" s="13" t="s">
        <v>51</v>
      </c>
      <c r="M135" s="13" t="s">
        <v>52</v>
      </c>
      <c r="N135" s="13" t="s">
        <v>459</v>
      </c>
      <c r="O135" s="13" t="s">
        <v>54</v>
      </c>
      <c r="P135" s="13" t="s">
        <v>55</v>
      </c>
      <c r="Q135" s="38">
        <v>24317</v>
      </c>
      <c r="R135" s="13" t="s">
        <v>460</v>
      </c>
      <c r="S135" s="41" t="s">
        <v>57</v>
      </c>
      <c r="T135" s="37">
        <v>1200000</v>
      </c>
      <c r="U135" s="38">
        <v>45880</v>
      </c>
      <c r="V135" s="39">
        <v>2025</v>
      </c>
      <c r="W135" s="42">
        <v>45880</v>
      </c>
      <c r="X135" s="41" t="s">
        <v>6</v>
      </c>
      <c r="Y135" s="38"/>
      <c r="Z135" s="50"/>
      <c r="AA135" s="38"/>
      <c r="AB135" s="43">
        <f>IF($AB$1&lt;W135,0,IF($AB$1&gt;Y135,0,T135))</f>
      </c>
      <c r="AC135" s="43">
        <f>IF($AC$2&lt;U135,0,IF(AND($AC$2&gt;U135,$AC$2&lt;Y135),T135,IF(X135="REJET",0,T135-Z135)))</f>
      </c>
      <c r="AD135" s="1"/>
      <c r="AE135" s="23"/>
      <c r="AF135" s="24"/>
      <c r="AG135" s="25"/>
    </row>
    <row x14ac:dyDescent="0.25" r="136" customHeight="1" ht="18.75">
      <c r="A136" s="13" t="s">
        <v>47</v>
      </c>
      <c r="B136" s="37">
        <v>900</v>
      </c>
      <c r="C136" s="13" t="s">
        <v>3</v>
      </c>
      <c r="D136" s="13" t="s">
        <v>48</v>
      </c>
      <c r="E136" s="38">
        <v>45658</v>
      </c>
      <c r="F136" s="38">
        <v>46022</v>
      </c>
      <c r="G136" s="39">
        <v>134</v>
      </c>
      <c r="H136" s="13" t="s">
        <v>461</v>
      </c>
      <c r="I136" s="38">
        <v>23160</v>
      </c>
      <c r="J136" s="38">
        <v>45658</v>
      </c>
      <c r="K136" s="40" t="s">
        <v>50</v>
      </c>
      <c r="L136" s="13" t="s">
        <v>51</v>
      </c>
      <c r="M136" s="13" t="s">
        <v>52</v>
      </c>
      <c r="N136" s="13" t="s">
        <v>462</v>
      </c>
      <c r="O136" s="13" t="s">
        <v>54</v>
      </c>
      <c r="P136" s="13" t="s">
        <v>55</v>
      </c>
      <c r="Q136" s="38">
        <v>23160</v>
      </c>
      <c r="R136" s="13" t="s">
        <v>463</v>
      </c>
      <c r="S136" s="41" t="s">
        <v>57</v>
      </c>
      <c r="T136" s="37">
        <v>1200000</v>
      </c>
      <c r="U136" s="38">
        <v>45880</v>
      </c>
      <c r="V136" s="39">
        <v>2025</v>
      </c>
      <c r="W136" s="42">
        <v>45880</v>
      </c>
      <c r="X136" s="41" t="s">
        <v>6</v>
      </c>
      <c r="Y136" s="38"/>
      <c r="Z136" s="50"/>
      <c r="AA136" s="38"/>
      <c r="AB136" s="43">
        <f>IF($AB$1&lt;W136,0,IF($AB$1&gt;Y136,0,T136))</f>
      </c>
      <c r="AC136" s="43">
        <f>IF($AC$2&lt;U136,0,IF(AND($AC$2&gt;U136,$AC$2&lt;Y136),T136,IF(X136="REJET",0,T136-Z136)))</f>
      </c>
      <c r="AD136" s="1"/>
      <c r="AE136" s="23"/>
      <c r="AF136" s="24"/>
      <c r="AG136" s="25"/>
    </row>
    <row x14ac:dyDescent="0.25" r="137" customHeight="1" ht="18.75">
      <c r="A137" s="13" t="s">
        <v>47</v>
      </c>
      <c r="B137" s="37">
        <v>900</v>
      </c>
      <c r="C137" s="13" t="s">
        <v>3</v>
      </c>
      <c r="D137" s="13" t="s">
        <v>48</v>
      </c>
      <c r="E137" s="38">
        <v>45658</v>
      </c>
      <c r="F137" s="38">
        <v>46022</v>
      </c>
      <c r="G137" s="39">
        <v>135</v>
      </c>
      <c r="H137" s="13" t="s">
        <v>464</v>
      </c>
      <c r="I137" s="38">
        <v>30559</v>
      </c>
      <c r="J137" s="38">
        <v>45658</v>
      </c>
      <c r="K137" s="40" t="s">
        <v>50</v>
      </c>
      <c r="L137" s="13" t="s">
        <v>51</v>
      </c>
      <c r="M137" s="13" t="s">
        <v>52</v>
      </c>
      <c r="N137" s="13" t="s">
        <v>465</v>
      </c>
      <c r="O137" s="13" t="s">
        <v>54</v>
      </c>
      <c r="P137" s="13" t="s">
        <v>55</v>
      </c>
      <c r="Q137" s="38">
        <v>30559</v>
      </c>
      <c r="R137" s="13" t="s">
        <v>466</v>
      </c>
      <c r="S137" s="41" t="s">
        <v>82</v>
      </c>
      <c r="T137" s="37">
        <v>6000000</v>
      </c>
      <c r="U137" s="38">
        <v>45881</v>
      </c>
      <c r="V137" s="39">
        <v>2025</v>
      </c>
      <c r="W137" s="42">
        <v>45881</v>
      </c>
      <c r="X137" s="41" t="s">
        <v>6</v>
      </c>
      <c r="Y137" s="38"/>
      <c r="Z137" s="50"/>
      <c r="AA137" s="38"/>
      <c r="AB137" s="43">
        <f>IF($AB$1&lt;W137,0,IF($AB$1&gt;Y137,0,T137))</f>
      </c>
      <c r="AC137" s="43">
        <f>IF($AC$2&lt;U137,0,IF(AND($AC$2&gt;U137,$AC$2&lt;Y137),T137,IF(X137="REJET",0,T137-Z137)))</f>
      </c>
      <c r="AD137" s="1"/>
      <c r="AE137" s="23"/>
      <c r="AF137" s="24"/>
      <c r="AG137" s="25"/>
    </row>
    <row x14ac:dyDescent="0.25" r="138" customHeight="1" ht="18.75">
      <c r="A138" s="13" t="s">
        <v>47</v>
      </c>
      <c r="B138" s="37">
        <v>900</v>
      </c>
      <c r="C138" s="13" t="s">
        <v>3</v>
      </c>
      <c r="D138" s="13" t="s">
        <v>48</v>
      </c>
      <c r="E138" s="38">
        <v>45658</v>
      </c>
      <c r="F138" s="38">
        <v>46022</v>
      </c>
      <c r="G138" s="39">
        <v>136</v>
      </c>
      <c r="H138" s="13" t="s">
        <v>467</v>
      </c>
      <c r="I138" s="38">
        <v>22199</v>
      </c>
      <c r="J138" s="38">
        <v>45658</v>
      </c>
      <c r="K138" s="40" t="s">
        <v>50</v>
      </c>
      <c r="L138" s="13" t="s">
        <v>51</v>
      </c>
      <c r="M138" s="13" t="s">
        <v>52</v>
      </c>
      <c r="N138" s="13" t="s">
        <v>468</v>
      </c>
      <c r="O138" s="13" t="s">
        <v>54</v>
      </c>
      <c r="P138" s="13" t="s">
        <v>55</v>
      </c>
      <c r="Q138" s="38">
        <v>22199</v>
      </c>
      <c r="R138" s="13" t="s">
        <v>469</v>
      </c>
      <c r="S138" s="41" t="s">
        <v>57</v>
      </c>
      <c r="T138" s="37">
        <v>1200000</v>
      </c>
      <c r="U138" s="38">
        <v>45880</v>
      </c>
      <c r="V138" s="39">
        <v>2025</v>
      </c>
      <c r="W138" s="42">
        <v>45880</v>
      </c>
      <c r="X138" s="41" t="s">
        <v>6</v>
      </c>
      <c r="Y138" s="38"/>
      <c r="Z138" s="50"/>
      <c r="AA138" s="38"/>
      <c r="AB138" s="43">
        <f>IF($AB$1&lt;W138,0,IF($AB$1&gt;Y138,0,T138))</f>
      </c>
      <c r="AC138" s="43">
        <f>IF($AC$2&lt;U138,0,IF(AND($AC$2&gt;U138,$AC$2&lt;Y138),T138,IF(X138="REJET",0,T138-Z138)))</f>
      </c>
      <c r="AD138" s="1"/>
      <c r="AE138" s="23"/>
      <c r="AF138" s="24"/>
      <c r="AG138" s="25"/>
    </row>
    <row x14ac:dyDescent="0.25" r="139" customHeight="1" ht="18.75">
      <c r="A139" s="13" t="s">
        <v>47</v>
      </c>
      <c r="B139" s="37">
        <v>900</v>
      </c>
      <c r="C139" s="13" t="s">
        <v>3</v>
      </c>
      <c r="D139" s="13" t="s">
        <v>48</v>
      </c>
      <c r="E139" s="38">
        <v>45658</v>
      </c>
      <c r="F139" s="38">
        <v>46022</v>
      </c>
      <c r="G139" s="39">
        <v>137</v>
      </c>
      <c r="H139" s="13" t="s">
        <v>470</v>
      </c>
      <c r="I139" s="38">
        <v>24891</v>
      </c>
      <c r="J139" s="38">
        <v>45658</v>
      </c>
      <c r="K139" s="40" t="s">
        <v>50</v>
      </c>
      <c r="L139" s="13" t="s">
        <v>51</v>
      </c>
      <c r="M139" s="13" t="s">
        <v>52</v>
      </c>
      <c r="N139" s="13" t="s">
        <v>471</v>
      </c>
      <c r="O139" s="13" t="s">
        <v>54</v>
      </c>
      <c r="P139" s="13" t="s">
        <v>55</v>
      </c>
      <c r="Q139" s="38">
        <v>24891</v>
      </c>
      <c r="R139" s="13" t="s">
        <v>472</v>
      </c>
      <c r="S139" s="41" t="s">
        <v>82</v>
      </c>
      <c r="T139" s="37">
        <v>6000000</v>
      </c>
      <c r="U139" s="38">
        <v>45882</v>
      </c>
      <c r="V139" s="39">
        <v>2025</v>
      </c>
      <c r="W139" s="42">
        <v>45882</v>
      </c>
      <c r="X139" s="41" t="s">
        <v>6</v>
      </c>
      <c r="Y139" s="38"/>
      <c r="Z139" s="50"/>
      <c r="AA139" s="38"/>
      <c r="AB139" s="43">
        <f>IF($AB$1&lt;W139,0,IF($AB$1&gt;Y139,0,T139))</f>
      </c>
      <c r="AC139" s="43">
        <f>IF($AC$2&lt;U139,0,IF(AND($AC$2&gt;U139,$AC$2&lt;Y139),T139,IF(X139="REJET",0,T139-Z139)))</f>
      </c>
      <c r="AD139" s="1"/>
      <c r="AE139" s="23"/>
      <c r="AF139" s="24"/>
      <c r="AG139" s="25"/>
    </row>
    <row x14ac:dyDescent="0.25" r="140" customHeight="1" ht="18.75">
      <c r="A140" s="13" t="s">
        <v>47</v>
      </c>
      <c r="B140" s="37">
        <v>900</v>
      </c>
      <c r="C140" s="13" t="s">
        <v>3</v>
      </c>
      <c r="D140" s="13" t="s">
        <v>48</v>
      </c>
      <c r="E140" s="38">
        <v>45658</v>
      </c>
      <c r="F140" s="38">
        <v>46022</v>
      </c>
      <c r="G140" s="39">
        <v>138</v>
      </c>
      <c r="H140" s="13" t="s">
        <v>473</v>
      </c>
      <c r="I140" s="38">
        <v>26930</v>
      </c>
      <c r="J140" s="38">
        <v>45658</v>
      </c>
      <c r="K140" s="40" t="s">
        <v>50</v>
      </c>
      <c r="L140" s="13" t="s">
        <v>51</v>
      </c>
      <c r="M140" s="13" t="s">
        <v>52</v>
      </c>
      <c r="N140" s="13" t="s">
        <v>474</v>
      </c>
      <c r="O140" s="13" t="s">
        <v>54</v>
      </c>
      <c r="P140" s="13" t="s">
        <v>55</v>
      </c>
      <c r="Q140" s="38">
        <v>26930</v>
      </c>
      <c r="R140" s="13" t="s">
        <v>475</v>
      </c>
      <c r="S140" s="41" t="s">
        <v>82</v>
      </c>
      <c r="T140" s="37">
        <v>6000000</v>
      </c>
      <c r="U140" s="38">
        <v>45885</v>
      </c>
      <c r="V140" s="39">
        <v>2025</v>
      </c>
      <c r="W140" s="42">
        <v>45885</v>
      </c>
      <c r="X140" s="41" t="s">
        <v>6</v>
      </c>
      <c r="Y140" s="38"/>
      <c r="Z140" s="50"/>
      <c r="AA140" s="38"/>
      <c r="AB140" s="43">
        <f>IF($AB$1&lt;W140,0,IF($AB$1&gt;Y140,0,T140))</f>
      </c>
      <c r="AC140" s="43">
        <f>IF($AC$2&lt;U140,0,IF(AND($AC$2&gt;U140,$AC$2&lt;Y140),T140,IF(X140="REJET",0,T140-Z140)))</f>
      </c>
      <c r="AD140" s="1"/>
      <c r="AE140" s="23"/>
      <c r="AF140" s="24"/>
      <c r="AG140" s="25"/>
    </row>
    <row x14ac:dyDescent="0.25" r="141" customHeight="1" ht="18.75">
      <c r="A141" s="13" t="s">
        <v>47</v>
      </c>
      <c r="B141" s="37">
        <v>900</v>
      </c>
      <c r="C141" s="13" t="s">
        <v>3</v>
      </c>
      <c r="D141" s="13" t="s">
        <v>48</v>
      </c>
      <c r="E141" s="38">
        <v>45658</v>
      </c>
      <c r="F141" s="38">
        <v>46022</v>
      </c>
      <c r="G141" s="39">
        <v>139</v>
      </c>
      <c r="H141" s="13" t="s">
        <v>476</v>
      </c>
      <c r="I141" s="38">
        <v>34311</v>
      </c>
      <c r="J141" s="38">
        <v>45658</v>
      </c>
      <c r="K141" s="40" t="s">
        <v>50</v>
      </c>
      <c r="L141" s="13" t="s">
        <v>51</v>
      </c>
      <c r="M141" s="13" t="s">
        <v>52</v>
      </c>
      <c r="N141" s="13" t="s">
        <v>477</v>
      </c>
      <c r="O141" s="13" t="s">
        <v>62</v>
      </c>
      <c r="P141" s="13" t="s">
        <v>63</v>
      </c>
      <c r="Q141" s="38">
        <v>34311</v>
      </c>
      <c r="R141" s="13" t="s">
        <v>478</v>
      </c>
      <c r="S141" s="41" t="s">
        <v>57</v>
      </c>
      <c r="T141" s="37">
        <v>1200000</v>
      </c>
      <c r="U141" s="38">
        <v>45883</v>
      </c>
      <c r="V141" s="39">
        <v>2025</v>
      </c>
      <c r="W141" s="42">
        <v>45883</v>
      </c>
      <c r="X141" s="41" t="s">
        <v>58</v>
      </c>
      <c r="Y141" s="38">
        <v>45909</v>
      </c>
      <c r="Z141" s="39">
        <v>0</v>
      </c>
      <c r="AA141" s="38"/>
      <c r="AB141" s="43">
        <f>IF($AB$1&lt;W141,0,IF($AB$1&gt;Y141,0,T141))</f>
      </c>
      <c r="AC141" s="43">
        <f>IF($AC$2&lt;U141,0,IF(AND($AC$2&gt;U141,$AC$2&lt;Y141),T141,IF(X141="REJET",0,T141-Z141)))</f>
      </c>
      <c r="AD141" s="1"/>
      <c r="AE141" s="23"/>
      <c r="AF141" s="24"/>
      <c r="AG141" s="25"/>
    </row>
    <row x14ac:dyDescent="0.25" r="142" customHeight="1" ht="18.75">
      <c r="A142" s="13" t="s">
        <v>47</v>
      </c>
      <c r="B142" s="37">
        <v>900</v>
      </c>
      <c r="C142" s="13" t="s">
        <v>3</v>
      </c>
      <c r="D142" s="13" t="s">
        <v>48</v>
      </c>
      <c r="E142" s="38">
        <v>45658</v>
      </c>
      <c r="F142" s="38">
        <v>46022</v>
      </c>
      <c r="G142" s="39">
        <v>140</v>
      </c>
      <c r="H142" s="13" t="s">
        <v>479</v>
      </c>
      <c r="I142" s="38">
        <v>28940</v>
      </c>
      <c r="J142" s="38">
        <v>45658</v>
      </c>
      <c r="K142" s="40" t="s">
        <v>50</v>
      </c>
      <c r="L142" s="13" t="s">
        <v>51</v>
      </c>
      <c r="M142" s="13" t="s">
        <v>52</v>
      </c>
      <c r="N142" s="13" t="s">
        <v>480</v>
      </c>
      <c r="O142" s="13" t="s">
        <v>54</v>
      </c>
      <c r="P142" s="13" t="s">
        <v>55</v>
      </c>
      <c r="Q142" s="38">
        <v>28940</v>
      </c>
      <c r="R142" s="13" t="s">
        <v>481</v>
      </c>
      <c r="S142" s="41" t="s">
        <v>82</v>
      </c>
      <c r="T142" s="37">
        <v>6000000</v>
      </c>
      <c r="U142" s="38">
        <v>45886</v>
      </c>
      <c r="V142" s="39">
        <v>2025</v>
      </c>
      <c r="W142" s="42">
        <v>45886</v>
      </c>
      <c r="X142" s="41" t="s">
        <v>6</v>
      </c>
      <c r="Y142" s="38"/>
      <c r="Z142" s="50"/>
      <c r="AA142" s="38"/>
      <c r="AB142" s="43">
        <f>IF($AB$1&lt;W142,0,IF($AB$1&gt;Y142,0,T142))</f>
      </c>
      <c r="AC142" s="43">
        <f>IF($AC$2&lt;U142,0,IF(AND($AC$2&gt;U142,$AC$2&lt;Y142),T142,IF(X142="REJET",0,T142-Z142)))</f>
      </c>
      <c r="AD142" s="1"/>
      <c r="AE142" s="23"/>
      <c r="AF142" s="24"/>
      <c r="AG142" s="25"/>
    </row>
    <row x14ac:dyDescent="0.25" r="143" customHeight="1" ht="18.75">
      <c r="A143" s="13" t="s">
        <v>47</v>
      </c>
      <c r="B143" s="37">
        <v>900</v>
      </c>
      <c r="C143" s="13" t="s">
        <v>3</v>
      </c>
      <c r="D143" s="13" t="s">
        <v>48</v>
      </c>
      <c r="E143" s="38">
        <v>45658</v>
      </c>
      <c r="F143" s="38">
        <v>46022</v>
      </c>
      <c r="G143" s="39">
        <v>141</v>
      </c>
      <c r="H143" s="13" t="s">
        <v>482</v>
      </c>
      <c r="I143" s="38">
        <v>33850</v>
      </c>
      <c r="J143" s="38">
        <v>45658</v>
      </c>
      <c r="K143" s="40" t="s">
        <v>50</v>
      </c>
      <c r="L143" s="13" t="s">
        <v>51</v>
      </c>
      <c r="M143" s="13" t="s">
        <v>52</v>
      </c>
      <c r="N143" s="13" t="s">
        <v>483</v>
      </c>
      <c r="O143" s="13" t="s">
        <v>54</v>
      </c>
      <c r="P143" s="13" t="s">
        <v>55</v>
      </c>
      <c r="Q143" s="38">
        <v>33850</v>
      </c>
      <c r="R143" s="13" t="s">
        <v>484</v>
      </c>
      <c r="S143" s="41" t="s">
        <v>57</v>
      </c>
      <c r="T143" s="37">
        <v>1200000</v>
      </c>
      <c r="U143" s="38">
        <v>45519</v>
      </c>
      <c r="V143" s="39">
        <v>2023</v>
      </c>
      <c r="W143" s="42">
        <v>45232</v>
      </c>
      <c r="X143" s="41" t="s">
        <v>58</v>
      </c>
      <c r="Y143" s="38">
        <v>45909</v>
      </c>
      <c r="Z143" s="39">
        <v>0</v>
      </c>
      <c r="AA143" s="38"/>
      <c r="AB143" s="43">
        <f>IF($AB$1&lt;W143,0,IF($AB$1&gt;Y143,0,T143))</f>
      </c>
      <c r="AC143" s="43">
        <f>IF($AC$2&lt;U143,0,IF(AND($AC$2&gt;U143,$AC$2&lt;Y143),T143,IF(X143="REJET",0,T143-Z143)))</f>
      </c>
      <c r="AD143" s="1"/>
      <c r="AE143" s="23"/>
      <c r="AF143" s="24"/>
      <c r="AG143" s="25"/>
    </row>
    <row x14ac:dyDescent="0.25" r="144" customHeight="1" ht="18.75">
      <c r="A144" s="13" t="s">
        <v>47</v>
      </c>
      <c r="B144" s="37">
        <v>900</v>
      </c>
      <c r="C144" s="13" t="s">
        <v>3</v>
      </c>
      <c r="D144" s="13" t="s">
        <v>48</v>
      </c>
      <c r="E144" s="38">
        <v>45658</v>
      </c>
      <c r="F144" s="38">
        <v>46022</v>
      </c>
      <c r="G144" s="39">
        <v>142</v>
      </c>
      <c r="H144" s="13" t="s">
        <v>485</v>
      </c>
      <c r="I144" s="38">
        <v>29250</v>
      </c>
      <c r="J144" s="38">
        <v>45658</v>
      </c>
      <c r="K144" s="40" t="s">
        <v>50</v>
      </c>
      <c r="L144" s="13" t="s">
        <v>51</v>
      </c>
      <c r="M144" s="13" t="s">
        <v>52</v>
      </c>
      <c r="N144" s="13" t="s">
        <v>486</v>
      </c>
      <c r="O144" s="13" t="s">
        <v>54</v>
      </c>
      <c r="P144" s="13" t="s">
        <v>55</v>
      </c>
      <c r="Q144" s="38">
        <v>29250</v>
      </c>
      <c r="R144" s="13" t="s">
        <v>487</v>
      </c>
      <c r="S144" s="41" t="s">
        <v>57</v>
      </c>
      <c r="T144" s="37">
        <v>1200000</v>
      </c>
      <c r="U144" s="38">
        <v>45886</v>
      </c>
      <c r="V144" s="39">
        <v>2025</v>
      </c>
      <c r="W144" s="42">
        <v>45886</v>
      </c>
      <c r="X144" s="41" t="s">
        <v>6</v>
      </c>
      <c r="Y144" s="38"/>
      <c r="Z144" s="50"/>
      <c r="AA144" s="38"/>
      <c r="AB144" s="43">
        <f>IF($AB$1&lt;W144,0,IF($AB$1&gt;Y144,0,T144))</f>
      </c>
      <c r="AC144" s="43">
        <f>IF($AC$2&lt;U144,0,IF(AND($AC$2&gt;U144,$AC$2&lt;Y144),T144,IF(X144="REJET",0,T144-Z144)))</f>
      </c>
      <c r="AD144" s="1"/>
      <c r="AE144" s="23"/>
      <c r="AF144" s="24"/>
      <c r="AG144" s="25"/>
    </row>
    <row x14ac:dyDescent="0.25" r="145" customHeight="1" ht="18.75">
      <c r="A145" s="13" t="s">
        <v>47</v>
      </c>
      <c r="B145" s="37">
        <v>900</v>
      </c>
      <c r="C145" s="13" t="s">
        <v>3</v>
      </c>
      <c r="D145" s="13" t="s">
        <v>48</v>
      </c>
      <c r="E145" s="38">
        <v>45658</v>
      </c>
      <c r="F145" s="38">
        <v>46022</v>
      </c>
      <c r="G145" s="39">
        <v>143</v>
      </c>
      <c r="H145" s="13" t="s">
        <v>488</v>
      </c>
      <c r="I145" s="38">
        <v>25447</v>
      </c>
      <c r="J145" s="38">
        <v>45658</v>
      </c>
      <c r="K145" s="40" t="s">
        <v>50</v>
      </c>
      <c r="L145" s="13" t="s">
        <v>51</v>
      </c>
      <c r="M145" s="13" t="s">
        <v>52</v>
      </c>
      <c r="N145" s="13" t="s">
        <v>489</v>
      </c>
      <c r="O145" s="13" t="s">
        <v>54</v>
      </c>
      <c r="P145" s="13" t="s">
        <v>55</v>
      </c>
      <c r="Q145" s="38">
        <v>25447</v>
      </c>
      <c r="R145" s="13" t="s">
        <v>490</v>
      </c>
      <c r="S145" s="41" t="s">
        <v>82</v>
      </c>
      <c r="T145" s="37">
        <v>6000000</v>
      </c>
      <c r="U145" s="38">
        <v>45887</v>
      </c>
      <c r="V145" s="39">
        <v>2025</v>
      </c>
      <c r="W145" s="42">
        <v>45887</v>
      </c>
      <c r="X145" s="41" t="s">
        <v>6</v>
      </c>
      <c r="Y145" s="38">
        <v>45885</v>
      </c>
      <c r="Z145" s="50"/>
      <c r="AA145" s="38"/>
      <c r="AB145" s="43">
        <f>IF($AB$1&lt;W145,0,IF($AB$1&gt;Y145,0,T145))</f>
      </c>
      <c r="AC145" s="43">
        <f>IF($AC$2&lt;U145,0,IF(AND($AC$2&gt;U145,$AC$2&lt;Y145),T145,IF(X145="REJET",0,T145-Z145)))</f>
      </c>
      <c r="AD145" s="1"/>
      <c r="AE145" s="23"/>
      <c r="AF145" s="24"/>
      <c r="AG145" s="25"/>
    </row>
    <row x14ac:dyDescent="0.25" r="146" customHeight="1" ht="18.75">
      <c r="A146" s="13" t="s">
        <v>47</v>
      </c>
      <c r="B146" s="37">
        <v>900</v>
      </c>
      <c r="C146" s="13" t="s">
        <v>3</v>
      </c>
      <c r="D146" s="13" t="s">
        <v>48</v>
      </c>
      <c r="E146" s="38">
        <v>45658</v>
      </c>
      <c r="F146" s="38">
        <v>46022</v>
      </c>
      <c r="G146" s="39">
        <v>144</v>
      </c>
      <c r="H146" s="13" t="s">
        <v>491</v>
      </c>
      <c r="I146" s="38">
        <v>25224</v>
      </c>
      <c r="J146" s="38">
        <v>45658</v>
      </c>
      <c r="K146" s="40" t="s">
        <v>50</v>
      </c>
      <c r="L146" s="13" t="s">
        <v>51</v>
      </c>
      <c r="M146" s="13" t="s">
        <v>52</v>
      </c>
      <c r="N146" s="13" t="s">
        <v>492</v>
      </c>
      <c r="O146" s="13" t="s">
        <v>54</v>
      </c>
      <c r="P146" s="13" t="s">
        <v>55</v>
      </c>
      <c r="Q146" s="38">
        <v>25224</v>
      </c>
      <c r="R146" s="13" t="s">
        <v>493</v>
      </c>
      <c r="S146" s="41" t="s">
        <v>57</v>
      </c>
      <c r="T146" s="37">
        <v>1200000</v>
      </c>
      <c r="U146" s="38">
        <v>45889</v>
      </c>
      <c r="V146" s="39">
        <v>2025</v>
      </c>
      <c r="W146" s="42">
        <v>45872</v>
      </c>
      <c r="X146" s="41" t="s">
        <v>58</v>
      </c>
      <c r="Y146" s="38">
        <v>45909</v>
      </c>
      <c r="Z146" s="39">
        <v>0</v>
      </c>
      <c r="AA146" s="38"/>
      <c r="AB146" s="43">
        <f>IF($AB$1&lt;W146,0,IF($AB$1&gt;Y146,0,T146))</f>
      </c>
      <c r="AC146" s="43">
        <f>IF($AC$2&lt;U146,0,IF(AND($AC$2&gt;U146,$AC$2&lt;Y146),T146,IF(X146="REJET",0,T146-Z146)))</f>
      </c>
      <c r="AD146" s="1"/>
      <c r="AE146" s="23"/>
      <c r="AF146" s="24"/>
      <c r="AG146" s="25"/>
    </row>
    <row x14ac:dyDescent="0.25" r="147" customHeight="1" ht="18.75">
      <c r="A147" s="13" t="s">
        <v>47</v>
      </c>
      <c r="B147" s="37">
        <v>900</v>
      </c>
      <c r="C147" s="13" t="s">
        <v>3</v>
      </c>
      <c r="D147" s="13" t="s">
        <v>48</v>
      </c>
      <c r="E147" s="38">
        <v>45658</v>
      </c>
      <c r="F147" s="38">
        <v>46022</v>
      </c>
      <c r="G147" s="39">
        <v>145</v>
      </c>
      <c r="H147" s="13" t="s">
        <v>494</v>
      </c>
      <c r="I147" s="38">
        <v>23057</v>
      </c>
      <c r="J147" s="38">
        <v>45658</v>
      </c>
      <c r="K147" s="40" t="s">
        <v>50</v>
      </c>
      <c r="L147" s="13" t="s">
        <v>51</v>
      </c>
      <c r="M147" s="13" t="s">
        <v>52</v>
      </c>
      <c r="N147" s="13" t="s">
        <v>495</v>
      </c>
      <c r="O147" s="13" t="s">
        <v>54</v>
      </c>
      <c r="P147" s="13" t="s">
        <v>55</v>
      </c>
      <c r="Q147" s="38">
        <v>23057</v>
      </c>
      <c r="R147" s="13" t="s">
        <v>496</v>
      </c>
      <c r="S147" s="41" t="s">
        <v>57</v>
      </c>
      <c r="T147" s="37">
        <v>1200000</v>
      </c>
      <c r="U147" s="38">
        <v>45889</v>
      </c>
      <c r="V147" s="39">
        <v>2025</v>
      </c>
      <c r="W147" s="42">
        <v>45889</v>
      </c>
      <c r="X147" s="41" t="s">
        <v>6</v>
      </c>
      <c r="Y147" s="38"/>
      <c r="Z147" s="50"/>
      <c r="AA147" s="38"/>
      <c r="AB147" s="43">
        <f>IF($AB$1&lt;W147,0,IF($AB$1&gt;Y147,0,T147))</f>
      </c>
      <c r="AC147" s="43">
        <f>IF($AC$2&lt;U147,0,IF(AND($AC$2&gt;U147,$AC$2&lt;Y147),T147,IF(X147="REJET",0,T147-Z147)))</f>
      </c>
      <c r="AD147" s="1"/>
      <c r="AE147" s="23"/>
      <c r="AF147" s="24"/>
      <c r="AG147" s="25"/>
    </row>
    <row x14ac:dyDescent="0.25" r="148" customHeight="1" ht="18.75">
      <c r="A148" s="13" t="s">
        <v>47</v>
      </c>
      <c r="B148" s="37">
        <v>900</v>
      </c>
      <c r="C148" s="13" t="s">
        <v>3</v>
      </c>
      <c r="D148" s="13" t="s">
        <v>48</v>
      </c>
      <c r="E148" s="38">
        <v>45658</v>
      </c>
      <c r="F148" s="38">
        <v>46022</v>
      </c>
      <c r="G148" s="39">
        <v>146</v>
      </c>
      <c r="H148" s="13" t="s">
        <v>497</v>
      </c>
      <c r="I148" s="38">
        <v>29433</v>
      </c>
      <c r="J148" s="38">
        <v>45658</v>
      </c>
      <c r="K148" s="40" t="s">
        <v>50</v>
      </c>
      <c r="L148" s="13" t="s">
        <v>51</v>
      </c>
      <c r="M148" s="13" t="s">
        <v>52</v>
      </c>
      <c r="N148" s="13" t="s">
        <v>498</v>
      </c>
      <c r="O148" s="13" t="s">
        <v>54</v>
      </c>
      <c r="P148" s="13" t="s">
        <v>55</v>
      </c>
      <c r="Q148" s="38">
        <v>29433</v>
      </c>
      <c r="R148" s="13" t="s">
        <v>499</v>
      </c>
      <c r="S148" s="41" t="s">
        <v>57</v>
      </c>
      <c r="T148" s="37">
        <v>1200000</v>
      </c>
      <c r="U148" s="38">
        <v>45887</v>
      </c>
      <c r="V148" s="39">
        <v>2025</v>
      </c>
      <c r="W148" s="42">
        <v>45887</v>
      </c>
      <c r="X148" s="41" t="s">
        <v>6</v>
      </c>
      <c r="Y148" s="38"/>
      <c r="Z148" s="50"/>
      <c r="AA148" s="38"/>
      <c r="AB148" s="43">
        <f>IF($AB$1&lt;W148,0,IF($AB$1&gt;Y148,0,T148))</f>
      </c>
      <c r="AC148" s="43">
        <f>IF($AC$2&lt;U148,0,IF(AND($AC$2&gt;U148,$AC$2&lt;Y148),T148,IF(X148="REJET",0,T148-Z148)))</f>
      </c>
      <c r="AD148" s="1"/>
      <c r="AE148" s="23"/>
      <c r="AF148" s="24"/>
      <c r="AG148" s="25"/>
    </row>
    <row x14ac:dyDescent="0.25" r="149" customHeight="1" ht="18.75">
      <c r="A149" s="13" t="s">
        <v>47</v>
      </c>
      <c r="B149" s="37">
        <v>900</v>
      </c>
      <c r="C149" s="13" t="s">
        <v>3</v>
      </c>
      <c r="D149" s="13" t="s">
        <v>48</v>
      </c>
      <c r="E149" s="38">
        <v>45658</v>
      </c>
      <c r="F149" s="38">
        <v>46022</v>
      </c>
      <c r="G149" s="39">
        <v>147</v>
      </c>
      <c r="H149" s="13" t="s">
        <v>500</v>
      </c>
      <c r="I149" s="38">
        <v>30882</v>
      </c>
      <c r="J149" s="38">
        <v>45658</v>
      </c>
      <c r="K149" s="40" t="s">
        <v>50</v>
      </c>
      <c r="L149" s="13" t="s">
        <v>51</v>
      </c>
      <c r="M149" s="13" t="s">
        <v>52</v>
      </c>
      <c r="N149" s="13" t="s">
        <v>501</v>
      </c>
      <c r="O149" s="13" t="s">
        <v>62</v>
      </c>
      <c r="P149" s="13" t="s">
        <v>63</v>
      </c>
      <c r="Q149" s="38">
        <v>30882</v>
      </c>
      <c r="R149" s="13" t="s">
        <v>502</v>
      </c>
      <c r="S149" s="41" t="s">
        <v>75</v>
      </c>
      <c r="T149" s="37">
        <v>6000000</v>
      </c>
      <c r="U149" s="38">
        <v>45889</v>
      </c>
      <c r="V149" s="39">
        <v>2025</v>
      </c>
      <c r="W149" s="42">
        <v>45889</v>
      </c>
      <c r="X149" s="41" t="s">
        <v>6</v>
      </c>
      <c r="Y149" s="38"/>
      <c r="Z149" s="50"/>
      <c r="AA149" s="38"/>
      <c r="AB149" s="43">
        <f>IF($AB$1&lt;W149,0,IF($AB$1&gt;Y149,0,T149))</f>
      </c>
      <c r="AC149" s="43">
        <f>IF($AC$2&lt;U149,0,IF(AND($AC$2&gt;U149,$AC$2&lt;Y149),T149,IF(X149="REJET",0,T149-Z149)))</f>
      </c>
      <c r="AD149" s="1"/>
      <c r="AE149" s="23"/>
      <c r="AF149" s="24"/>
      <c r="AG149" s="25"/>
    </row>
    <row x14ac:dyDescent="0.25" r="150" customHeight="1" ht="18.75">
      <c r="A150" s="13" t="s">
        <v>47</v>
      </c>
      <c r="B150" s="37">
        <v>900</v>
      </c>
      <c r="C150" s="13" t="s">
        <v>3</v>
      </c>
      <c r="D150" s="13" t="s">
        <v>48</v>
      </c>
      <c r="E150" s="38">
        <v>45658</v>
      </c>
      <c r="F150" s="38">
        <v>46022</v>
      </c>
      <c r="G150" s="39">
        <v>148</v>
      </c>
      <c r="H150" s="13" t="s">
        <v>503</v>
      </c>
      <c r="I150" s="38">
        <v>25899</v>
      </c>
      <c r="J150" s="38">
        <v>45658</v>
      </c>
      <c r="K150" s="40" t="s">
        <v>50</v>
      </c>
      <c r="L150" s="13" t="s">
        <v>51</v>
      </c>
      <c r="M150" s="13" t="s">
        <v>52</v>
      </c>
      <c r="N150" s="13" t="s">
        <v>504</v>
      </c>
      <c r="O150" s="13" t="s">
        <v>54</v>
      </c>
      <c r="P150" s="13" t="s">
        <v>55</v>
      </c>
      <c r="Q150" s="38">
        <v>25899</v>
      </c>
      <c r="R150" s="13" t="s">
        <v>505</v>
      </c>
      <c r="S150" s="41" t="s">
        <v>82</v>
      </c>
      <c r="T150" s="37">
        <v>6000000</v>
      </c>
      <c r="U150" s="38">
        <v>45889</v>
      </c>
      <c r="V150" s="39">
        <v>2025</v>
      </c>
      <c r="W150" s="42">
        <v>45889</v>
      </c>
      <c r="X150" s="41" t="s">
        <v>6</v>
      </c>
      <c r="Y150" s="38">
        <v>45888</v>
      </c>
      <c r="Z150" s="50"/>
      <c r="AA150" s="38"/>
      <c r="AB150" s="43">
        <f>IF($AB$1&lt;W150,0,IF($AB$1&gt;Y150,0,T150))</f>
      </c>
      <c r="AC150" s="43">
        <f>IF($AC$2&lt;U150,0,IF(AND($AC$2&gt;U150,$AC$2&lt;Y150),T150,IF(X150="REJET",0,T150-Z150)))</f>
      </c>
      <c r="AD150" s="1"/>
      <c r="AE150" s="23"/>
      <c r="AF150" s="24"/>
      <c r="AG150" s="25"/>
    </row>
    <row x14ac:dyDescent="0.25" r="151" customHeight="1" ht="18.75">
      <c r="A151" s="13" t="s">
        <v>47</v>
      </c>
      <c r="B151" s="37">
        <v>900</v>
      </c>
      <c r="C151" s="13" t="s">
        <v>3</v>
      </c>
      <c r="D151" s="13" t="s">
        <v>48</v>
      </c>
      <c r="E151" s="38">
        <v>45658</v>
      </c>
      <c r="F151" s="38">
        <v>46022</v>
      </c>
      <c r="G151" s="39">
        <v>149</v>
      </c>
      <c r="H151" s="13" t="s">
        <v>506</v>
      </c>
      <c r="I151" s="38">
        <v>24554</v>
      </c>
      <c r="J151" s="38">
        <v>45658</v>
      </c>
      <c r="K151" s="40" t="s">
        <v>50</v>
      </c>
      <c r="L151" s="13" t="s">
        <v>51</v>
      </c>
      <c r="M151" s="13" t="s">
        <v>52</v>
      </c>
      <c r="N151" s="13" t="s">
        <v>507</v>
      </c>
      <c r="O151" s="13" t="s">
        <v>54</v>
      </c>
      <c r="P151" s="13" t="s">
        <v>55</v>
      </c>
      <c r="Q151" s="38">
        <v>24554</v>
      </c>
      <c r="R151" s="13" t="s">
        <v>508</v>
      </c>
      <c r="S151" s="41" t="s">
        <v>57</v>
      </c>
      <c r="T151" s="37">
        <v>1200000</v>
      </c>
      <c r="U151" s="38">
        <v>45893</v>
      </c>
      <c r="V151" s="39">
        <v>2025</v>
      </c>
      <c r="W151" s="42">
        <v>45893</v>
      </c>
      <c r="X151" s="41" t="s">
        <v>6</v>
      </c>
      <c r="Y151" s="38"/>
      <c r="Z151" s="50"/>
      <c r="AA151" s="38"/>
      <c r="AB151" s="43">
        <f>IF($AB$1&lt;W151,0,IF($AB$1&gt;Y151,0,T151))</f>
      </c>
      <c r="AC151" s="43">
        <f>IF($AC$2&lt;U151,0,IF(AND($AC$2&gt;U151,$AC$2&lt;Y151),T151,IF(X151="REJET",0,T151-Z151)))</f>
      </c>
      <c r="AD151" s="1"/>
      <c r="AE151" s="23"/>
      <c r="AF151" s="24"/>
      <c r="AG151" s="25"/>
    </row>
    <row x14ac:dyDescent="0.25" r="152" customHeight="1" ht="18.75">
      <c r="A152" s="13" t="s">
        <v>47</v>
      </c>
      <c r="B152" s="37">
        <v>900</v>
      </c>
      <c r="C152" s="13" t="s">
        <v>3</v>
      </c>
      <c r="D152" s="13" t="s">
        <v>48</v>
      </c>
      <c r="E152" s="38">
        <v>45658</v>
      </c>
      <c r="F152" s="38">
        <v>46022</v>
      </c>
      <c r="G152" s="39">
        <v>150</v>
      </c>
      <c r="H152" s="13" t="s">
        <v>509</v>
      </c>
      <c r="I152" s="38">
        <v>33061</v>
      </c>
      <c r="J152" s="38">
        <v>45658</v>
      </c>
      <c r="K152" s="40" t="s">
        <v>50</v>
      </c>
      <c r="L152" s="13" t="s">
        <v>51</v>
      </c>
      <c r="M152" s="13" t="s">
        <v>52</v>
      </c>
      <c r="N152" s="13" t="s">
        <v>510</v>
      </c>
      <c r="O152" s="13" t="s">
        <v>54</v>
      </c>
      <c r="P152" s="13" t="s">
        <v>55</v>
      </c>
      <c r="Q152" s="38">
        <v>33061</v>
      </c>
      <c r="R152" s="13" t="s">
        <v>511</v>
      </c>
      <c r="S152" s="41" t="s">
        <v>57</v>
      </c>
      <c r="T152" s="37">
        <v>1200000</v>
      </c>
      <c r="U152" s="38">
        <v>45896</v>
      </c>
      <c r="V152" s="39">
        <v>2025</v>
      </c>
      <c r="W152" s="42">
        <v>45896</v>
      </c>
      <c r="X152" s="41" t="s">
        <v>6</v>
      </c>
      <c r="Y152" s="38"/>
      <c r="Z152" s="50"/>
      <c r="AA152" s="38"/>
      <c r="AB152" s="43">
        <f>IF($AB$1&lt;W152,0,IF($AB$1&gt;Y152,0,T152))</f>
      </c>
      <c r="AC152" s="43">
        <f>IF($AC$2&lt;U152,0,IF(AND($AC$2&gt;U152,$AC$2&lt;Y152),T152,IF(X152="REJET",0,T152-Z152)))</f>
      </c>
      <c r="AD152" s="1"/>
      <c r="AE152" s="23"/>
      <c r="AF152" s="24"/>
      <c r="AG152" s="25"/>
    </row>
    <row x14ac:dyDescent="0.25" r="153" customHeight="1" ht="18.75">
      <c r="A153" s="13" t="s">
        <v>47</v>
      </c>
      <c r="B153" s="37">
        <v>900</v>
      </c>
      <c r="C153" s="13" t="s">
        <v>3</v>
      </c>
      <c r="D153" s="13" t="s">
        <v>48</v>
      </c>
      <c r="E153" s="38">
        <v>45658</v>
      </c>
      <c r="F153" s="38">
        <v>46022</v>
      </c>
      <c r="G153" s="39">
        <v>151</v>
      </c>
      <c r="H153" s="13" t="s">
        <v>512</v>
      </c>
      <c r="I153" s="38">
        <v>26965</v>
      </c>
      <c r="J153" s="38">
        <v>45658</v>
      </c>
      <c r="K153" s="40" t="s">
        <v>50</v>
      </c>
      <c r="L153" s="13" t="s">
        <v>51</v>
      </c>
      <c r="M153" s="13" t="s">
        <v>52</v>
      </c>
      <c r="N153" s="13" t="s">
        <v>513</v>
      </c>
      <c r="O153" s="13" t="s">
        <v>62</v>
      </c>
      <c r="P153" s="13" t="s">
        <v>63</v>
      </c>
      <c r="Q153" s="38">
        <v>26965</v>
      </c>
      <c r="R153" s="13" t="s">
        <v>514</v>
      </c>
      <c r="S153" s="41" t="s">
        <v>82</v>
      </c>
      <c r="T153" s="37">
        <v>6000000</v>
      </c>
      <c r="U153" s="38">
        <v>45897</v>
      </c>
      <c r="V153" s="39">
        <v>2025</v>
      </c>
      <c r="W153" s="42">
        <v>45897</v>
      </c>
      <c r="X153" s="41" t="s">
        <v>6</v>
      </c>
      <c r="Y153" s="38"/>
      <c r="Z153" s="50"/>
      <c r="AA153" s="38"/>
      <c r="AB153" s="43">
        <f>IF($AB$1&lt;W153,0,IF($AB$1&gt;Y153,0,T153))</f>
      </c>
      <c r="AC153" s="43">
        <f>IF($AC$2&lt;U153,0,IF(AND($AC$2&gt;U153,$AC$2&lt;Y153),T153,IF(X153="REJET",0,T153-Z153)))</f>
      </c>
      <c r="AD153" s="1"/>
      <c r="AE153" s="23"/>
      <c r="AF153" s="24"/>
      <c r="AG153" s="25"/>
    </row>
    <row x14ac:dyDescent="0.25" r="154" customHeight="1" ht="18.75">
      <c r="A154" s="13" t="s">
        <v>47</v>
      </c>
      <c r="B154" s="37">
        <v>900</v>
      </c>
      <c r="C154" s="13" t="s">
        <v>3</v>
      </c>
      <c r="D154" s="13" t="s">
        <v>48</v>
      </c>
      <c r="E154" s="38">
        <v>45658</v>
      </c>
      <c r="F154" s="38">
        <v>46022</v>
      </c>
      <c r="G154" s="39">
        <v>152</v>
      </c>
      <c r="H154" s="13" t="s">
        <v>515</v>
      </c>
      <c r="I154" s="38">
        <v>27446</v>
      </c>
      <c r="J154" s="38">
        <v>45658</v>
      </c>
      <c r="K154" s="40" t="s">
        <v>50</v>
      </c>
      <c r="L154" s="13" t="s">
        <v>51</v>
      </c>
      <c r="M154" s="13" t="s">
        <v>52</v>
      </c>
      <c r="N154" s="13" t="s">
        <v>516</v>
      </c>
      <c r="O154" s="13" t="s">
        <v>54</v>
      </c>
      <c r="P154" s="13" t="s">
        <v>55</v>
      </c>
      <c r="Q154" s="38">
        <v>27446</v>
      </c>
      <c r="R154" s="13" t="s">
        <v>517</v>
      </c>
      <c r="S154" s="41" t="s">
        <v>82</v>
      </c>
      <c r="T154" s="37">
        <v>6000000</v>
      </c>
      <c r="U154" s="38">
        <v>45897</v>
      </c>
      <c r="V154" s="39">
        <v>2025</v>
      </c>
      <c r="W154" s="42">
        <v>45897</v>
      </c>
      <c r="X154" s="41" t="s">
        <v>6</v>
      </c>
      <c r="Y154" s="38"/>
      <c r="Z154" s="50"/>
      <c r="AA154" s="38"/>
      <c r="AB154" s="43">
        <f>IF($AB$1&lt;W154,0,IF($AB$1&gt;Y154,0,T154))</f>
      </c>
      <c r="AC154" s="43">
        <f>IF($AC$2&lt;U154,0,IF(AND($AC$2&gt;U154,$AC$2&lt;Y154),T154,IF(X154="REJET",0,T154-Z154)))</f>
      </c>
      <c r="AD154" s="1"/>
      <c r="AE154" s="23"/>
      <c r="AF154" s="24"/>
      <c r="AG154" s="25"/>
    </row>
    <row x14ac:dyDescent="0.25" r="155" customHeight="1" ht="18.75">
      <c r="A155" s="13" t="s">
        <v>47</v>
      </c>
      <c r="B155" s="37">
        <v>900</v>
      </c>
      <c r="C155" s="13" t="s">
        <v>3</v>
      </c>
      <c r="D155" s="13" t="s">
        <v>48</v>
      </c>
      <c r="E155" s="38">
        <v>45658</v>
      </c>
      <c r="F155" s="38">
        <v>46022</v>
      </c>
      <c r="G155" s="39">
        <v>153</v>
      </c>
      <c r="H155" s="13" t="s">
        <v>518</v>
      </c>
      <c r="I155" s="38">
        <v>31007</v>
      </c>
      <c r="J155" s="38">
        <v>45658</v>
      </c>
      <c r="K155" s="40" t="s">
        <v>50</v>
      </c>
      <c r="L155" s="13" t="s">
        <v>51</v>
      </c>
      <c r="M155" s="13" t="s">
        <v>52</v>
      </c>
      <c r="N155" s="13" t="s">
        <v>519</v>
      </c>
      <c r="O155" s="13" t="s">
        <v>54</v>
      </c>
      <c r="P155" s="13" t="s">
        <v>55</v>
      </c>
      <c r="Q155" s="38">
        <v>31007</v>
      </c>
      <c r="R155" s="13" t="s">
        <v>520</v>
      </c>
      <c r="S155" s="41" t="s">
        <v>57</v>
      </c>
      <c r="T155" s="37">
        <v>1200000</v>
      </c>
      <c r="U155" s="38">
        <v>45897</v>
      </c>
      <c r="V155" s="39">
        <v>2025</v>
      </c>
      <c r="W155" s="42">
        <v>45897</v>
      </c>
      <c r="X155" s="41" t="s">
        <v>6</v>
      </c>
      <c r="Y155" s="38"/>
      <c r="Z155" s="50"/>
      <c r="AA155" s="38"/>
      <c r="AB155" s="43">
        <f>IF($AB$1&lt;W155,0,IF($AB$1&gt;Y155,0,T155))</f>
      </c>
      <c r="AC155" s="43">
        <f>IF($AC$2&lt;U155,0,IF(AND($AC$2&gt;U155,$AC$2&lt;Y155),T155,IF(X155="REJET",0,T155-Z155)))</f>
      </c>
      <c r="AD155" s="1"/>
      <c r="AE155" s="23"/>
      <c r="AF155" s="24"/>
      <c r="AG155" s="25"/>
    </row>
    <row x14ac:dyDescent="0.25" r="156" customHeight="1" ht="18.75">
      <c r="A156" s="13" t="s">
        <v>47</v>
      </c>
      <c r="B156" s="37">
        <v>900</v>
      </c>
      <c r="C156" s="13" t="s">
        <v>3</v>
      </c>
      <c r="D156" s="13" t="s">
        <v>48</v>
      </c>
      <c r="E156" s="38">
        <v>45658</v>
      </c>
      <c r="F156" s="38">
        <v>46022</v>
      </c>
      <c r="G156" s="39">
        <v>154</v>
      </c>
      <c r="H156" s="13" t="s">
        <v>521</v>
      </c>
      <c r="I156" s="38">
        <v>24122</v>
      </c>
      <c r="J156" s="38">
        <v>45658</v>
      </c>
      <c r="K156" s="40" t="s">
        <v>50</v>
      </c>
      <c r="L156" s="13" t="s">
        <v>51</v>
      </c>
      <c r="M156" s="13" t="s">
        <v>52</v>
      </c>
      <c r="N156" s="13" t="s">
        <v>522</v>
      </c>
      <c r="O156" s="13" t="s">
        <v>54</v>
      </c>
      <c r="P156" s="13" t="s">
        <v>55</v>
      </c>
      <c r="Q156" s="38">
        <v>24122</v>
      </c>
      <c r="R156" s="13" t="s">
        <v>523</v>
      </c>
      <c r="S156" s="41" t="s">
        <v>57</v>
      </c>
      <c r="T156" s="37">
        <v>1200000</v>
      </c>
      <c r="U156" s="38">
        <v>45900</v>
      </c>
      <c r="V156" s="39">
        <v>2025</v>
      </c>
      <c r="W156" s="42">
        <v>45900</v>
      </c>
      <c r="X156" s="41" t="s">
        <v>6</v>
      </c>
      <c r="Y156" s="38"/>
      <c r="Z156" s="50"/>
      <c r="AA156" s="38"/>
      <c r="AB156" s="43">
        <f>IF($AB$1&lt;W156,0,IF($AB$1&gt;Y156,0,T156))</f>
      </c>
      <c r="AC156" s="43">
        <f>IF($AC$2&lt;U156,0,IF(AND($AC$2&gt;U156,$AC$2&lt;Y156),T156,IF(X156="REJET",0,T156-Z156)))</f>
      </c>
      <c r="AD156" s="1"/>
      <c r="AE156" s="23"/>
      <c r="AF156" s="24"/>
      <c r="AG156" s="25"/>
    </row>
    <row x14ac:dyDescent="0.25" r="157" customHeight="1" ht="18.75">
      <c r="A157" s="13" t="s">
        <v>47</v>
      </c>
      <c r="B157" s="37">
        <v>900</v>
      </c>
      <c r="C157" s="13" t="s">
        <v>3</v>
      </c>
      <c r="D157" s="13" t="s">
        <v>48</v>
      </c>
      <c r="E157" s="38">
        <v>45658</v>
      </c>
      <c r="F157" s="38">
        <v>46022</v>
      </c>
      <c r="G157" s="39">
        <v>155</v>
      </c>
      <c r="H157" s="13" t="s">
        <v>524</v>
      </c>
      <c r="I157" s="38">
        <v>24358</v>
      </c>
      <c r="J157" s="38">
        <v>45658</v>
      </c>
      <c r="K157" s="40" t="s">
        <v>50</v>
      </c>
      <c r="L157" s="13" t="s">
        <v>51</v>
      </c>
      <c r="M157" s="13" t="s">
        <v>52</v>
      </c>
      <c r="N157" s="13" t="s">
        <v>525</v>
      </c>
      <c r="O157" s="13" t="s">
        <v>54</v>
      </c>
      <c r="P157" s="13" t="s">
        <v>55</v>
      </c>
      <c r="Q157" s="38">
        <v>24358</v>
      </c>
      <c r="R157" s="13" t="s">
        <v>526</v>
      </c>
      <c r="S157" s="41" t="s">
        <v>57</v>
      </c>
      <c r="T157" s="37">
        <v>1200000</v>
      </c>
      <c r="U157" s="38">
        <v>45872</v>
      </c>
      <c r="V157" s="39">
        <v>2025</v>
      </c>
      <c r="W157" s="42">
        <v>45872</v>
      </c>
      <c r="X157" s="41" t="s">
        <v>6</v>
      </c>
      <c r="Y157" s="38"/>
      <c r="Z157" s="50"/>
      <c r="AA157" s="38"/>
      <c r="AB157" s="43">
        <f>IF($AB$1&lt;W157,0,IF($AB$1&gt;Y157,0,T157))</f>
      </c>
      <c r="AC157" s="43">
        <f>IF($AC$2&lt;U157,0,IF(AND($AC$2&gt;U157,$AC$2&lt;Y157),T157,IF(X157="REJET",0,T157-Z157)))</f>
      </c>
      <c r="AD157" s="1"/>
      <c r="AE157" s="23"/>
      <c r="AF157" s="24"/>
      <c r="AG157" s="25"/>
    </row>
    <row x14ac:dyDescent="0.25" r="158" customHeight="1" ht="18.75">
      <c r="A158" s="13" t="s">
        <v>47</v>
      </c>
      <c r="B158" s="37">
        <v>900</v>
      </c>
      <c r="C158" s="13" t="s">
        <v>3</v>
      </c>
      <c r="D158" s="13" t="s">
        <v>48</v>
      </c>
      <c r="E158" s="38">
        <v>45658</v>
      </c>
      <c r="F158" s="38">
        <v>46022</v>
      </c>
      <c r="G158" s="39">
        <v>156</v>
      </c>
      <c r="H158" s="13" t="s">
        <v>527</v>
      </c>
      <c r="I158" s="38">
        <v>29688</v>
      </c>
      <c r="J158" s="38">
        <v>45658</v>
      </c>
      <c r="K158" s="40" t="s">
        <v>50</v>
      </c>
      <c r="L158" s="13" t="s">
        <v>51</v>
      </c>
      <c r="M158" s="13" t="s">
        <v>52</v>
      </c>
      <c r="N158" s="13" t="s">
        <v>528</v>
      </c>
      <c r="O158" s="13" t="s">
        <v>62</v>
      </c>
      <c r="P158" s="13" t="s">
        <v>63</v>
      </c>
      <c r="Q158" s="38">
        <v>29688</v>
      </c>
      <c r="R158" s="13" t="s">
        <v>529</v>
      </c>
      <c r="S158" s="41" t="s">
        <v>82</v>
      </c>
      <c r="T158" s="37">
        <v>6000000</v>
      </c>
      <c r="U158" s="38">
        <v>45909</v>
      </c>
      <c r="V158" s="39">
        <v>2025</v>
      </c>
      <c r="W158" s="42">
        <v>45909</v>
      </c>
      <c r="X158" s="41" t="s">
        <v>6</v>
      </c>
      <c r="Y158" s="38"/>
      <c r="Z158" s="50"/>
      <c r="AA158" s="38"/>
      <c r="AB158" s="43">
        <f>IF($AB$1&lt;W158,0,IF($AB$1&gt;Y158,0,T158))</f>
      </c>
      <c r="AC158" s="43">
        <f>IF($AC$2&lt;U158,0,IF(AND($AC$2&gt;U158,$AC$2&lt;Y158),T158,IF(X158="REJET",0,T158-Z158)))</f>
      </c>
      <c r="AD158" s="1"/>
      <c r="AE158" s="23"/>
      <c r="AF158" s="24"/>
      <c r="AG158" s="25"/>
    </row>
    <row x14ac:dyDescent="0.25" r="159" customHeight="1" ht="18.75">
      <c r="A159" s="13" t="s">
        <v>47</v>
      </c>
      <c r="B159" s="37">
        <v>900</v>
      </c>
      <c r="C159" s="13" t="s">
        <v>3</v>
      </c>
      <c r="D159" s="13" t="s">
        <v>48</v>
      </c>
      <c r="E159" s="38">
        <v>45658</v>
      </c>
      <c r="F159" s="38">
        <v>46022</v>
      </c>
      <c r="G159" s="39">
        <v>157</v>
      </c>
      <c r="H159" s="13" t="s">
        <v>530</v>
      </c>
      <c r="I159" s="38">
        <v>25236</v>
      </c>
      <c r="J159" s="38">
        <v>45658</v>
      </c>
      <c r="K159" s="40" t="s">
        <v>50</v>
      </c>
      <c r="L159" s="13" t="s">
        <v>51</v>
      </c>
      <c r="M159" s="13" t="s">
        <v>52</v>
      </c>
      <c r="N159" s="13" t="s">
        <v>531</v>
      </c>
      <c r="O159" s="13" t="s">
        <v>54</v>
      </c>
      <c r="P159" s="13" t="s">
        <v>55</v>
      </c>
      <c r="Q159" s="38">
        <v>25236</v>
      </c>
      <c r="R159" s="13" t="s">
        <v>532</v>
      </c>
      <c r="S159" s="41" t="s">
        <v>57</v>
      </c>
      <c r="T159" s="37">
        <v>1200000</v>
      </c>
      <c r="U159" s="38">
        <v>45910</v>
      </c>
      <c r="V159" s="39">
        <v>2025</v>
      </c>
      <c r="W159" s="42">
        <v>45910</v>
      </c>
      <c r="X159" s="41" t="s">
        <v>6</v>
      </c>
      <c r="Y159" s="38"/>
      <c r="Z159" s="50"/>
      <c r="AA159" s="38"/>
      <c r="AB159" s="43">
        <f>IF($AB$1&lt;W159,0,IF($AB$1&gt;Y159,0,T159))</f>
      </c>
      <c r="AC159" s="43">
        <f>IF($AC$2&lt;U159,0,IF(AND($AC$2&gt;U159,$AC$2&lt;Y159),T159,IF(X159="REJET",0,T159-Z159)))</f>
      </c>
      <c r="AD159" s="1"/>
      <c r="AE159" s="23"/>
      <c r="AF159" s="24"/>
      <c r="AG159" s="25"/>
    </row>
    <row x14ac:dyDescent="0.25" r="160" customHeight="1" ht="18.75">
      <c r="A160" s="13" t="s">
        <v>47</v>
      </c>
      <c r="B160" s="37">
        <v>900</v>
      </c>
      <c r="C160" s="13" t="s">
        <v>3</v>
      </c>
      <c r="D160" s="13" t="s">
        <v>48</v>
      </c>
      <c r="E160" s="38">
        <v>45658</v>
      </c>
      <c r="F160" s="38">
        <v>46022</v>
      </c>
      <c r="G160" s="39">
        <v>158</v>
      </c>
      <c r="H160" s="13" t="s">
        <v>533</v>
      </c>
      <c r="I160" s="38">
        <v>24801</v>
      </c>
      <c r="J160" s="38">
        <v>45658</v>
      </c>
      <c r="K160" s="40" t="s">
        <v>50</v>
      </c>
      <c r="L160" s="13" t="s">
        <v>51</v>
      </c>
      <c r="M160" s="13" t="s">
        <v>52</v>
      </c>
      <c r="N160" s="13" t="s">
        <v>534</v>
      </c>
      <c r="O160" s="13" t="s">
        <v>62</v>
      </c>
      <c r="P160" s="13" t="s">
        <v>63</v>
      </c>
      <c r="Q160" s="38">
        <v>24801</v>
      </c>
      <c r="R160" s="13" t="s">
        <v>535</v>
      </c>
      <c r="S160" s="41" t="s">
        <v>82</v>
      </c>
      <c r="T160" s="37">
        <v>6000000</v>
      </c>
      <c r="U160" s="38">
        <v>45911</v>
      </c>
      <c r="V160" s="39">
        <v>2025</v>
      </c>
      <c r="W160" s="42">
        <v>45911</v>
      </c>
      <c r="X160" s="41" t="s">
        <v>6</v>
      </c>
      <c r="Y160" s="38"/>
      <c r="Z160" s="50"/>
      <c r="AA160" s="38"/>
      <c r="AB160" s="43">
        <f>IF($AB$1&lt;W160,0,IF($AB$1&gt;Y160,0,T160))</f>
      </c>
      <c r="AC160" s="43">
        <f>IF($AC$2&lt;U160,0,IF(AND($AC$2&gt;U160,$AC$2&lt;Y160),T160,IF(X160="REJET",0,T160-Z160)))</f>
      </c>
      <c r="AD160" s="1"/>
      <c r="AE160" s="23"/>
      <c r="AF160" s="24"/>
      <c r="AG160" s="25"/>
    </row>
    <row x14ac:dyDescent="0.25" r="161" customHeight="1" ht="18.75">
      <c r="A161" s="13" t="s">
        <v>47</v>
      </c>
      <c r="B161" s="37">
        <v>900</v>
      </c>
      <c r="C161" s="13" t="s">
        <v>3</v>
      </c>
      <c r="D161" s="13" t="s">
        <v>48</v>
      </c>
      <c r="E161" s="38">
        <v>45658</v>
      </c>
      <c r="F161" s="38">
        <v>46022</v>
      </c>
      <c r="G161" s="39">
        <v>159</v>
      </c>
      <c r="H161" s="13" t="s">
        <v>536</v>
      </c>
      <c r="I161" s="38">
        <v>26189</v>
      </c>
      <c r="J161" s="38">
        <v>45658</v>
      </c>
      <c r="K161" s="40" t="s">
        <v>50</v>
      </c>
      <c r="L161" s="13" t="s">
        <v>51</v>
      </c>
      <c r="M161" s="13" t="s">
        <v>52</v>
      </c>
      <c r="N161" s="13" t="s">
        <v>537</v>
      </c>
      <c r="O161" s="13" t="s">
        <v>54</v>
      </c>
      <c r="P161" s="13" t="s">
        <v>55</v>
      </c>
      <c r="Q161" s="38">
        <v>26189</v>
      </c>
      <c r="R161" s="13" t="s">
        <v>538</v>
      </c>
      <c r="S161" s="41" t="s">
        <v>57</v>
      </c>
      <c r="T161" s="37">
        <v>1200000</v>
      </c>
      <c r="U161" s="38">
        <v>45919</v>
      </c>
      <c r="V161" s="39">
        <v>2025</v>
      </c>
      <c r="W161" s="42">
        <v>45919</v>
      </c>
      <c r="X161" s="41" t="s">
        <v>6</v>
      </c>
      <c r="Y161" s="38"/>
      <c r="Z161" s="50"/>
      <c r="AA161" s="38"/>
      <c r="AB161" s="43">
        <f>IF($AB$1&lt;W161,0,IF($AB$1&gt;Y161,0,T161))</f>
      </c>
      <c r="AC161" s="43">
        <f>IF($AC$2&lt;U161,0,IF(AND($AC$2&gt;U161,$AC$2&lt;Y161),T161,IF(X161="REJET",0,T161-Z161)))</f>
      </c>
      <c r="AD161" s="1"/>
      <c r="AE161" s="23"/>
      <c r="AF161" s="24"/>
      <c r="AG161" s="25"/>
    </row>
    <row x14ac:dyDescent="0.25" r="162" customHeight="1" ht="18.75">
      <c r="A162" s="13" t="s">
        <v>47</v>
      </c>
      <c r="B162" s="37">
        <v>900</v>
      </c>
      <c r="C162" s="13" t="s">
        <v>3</v>
      </c>
      <c r="D162" s="13" t="s">
        <v>48</v>
      </c>
      <c r="E162" s="38">
        <v>45658</v>
      </c>
      <c r="F162" s="38">
        <v>46022</v>
      </c>
      <c r="G162" s="39">
        <v>160</v>
      </c>
      <c r="H162" s="13" t="s">
        <v>539</v>
      </c>
      <c r="I162" s="38">
        <v>27968</v>
      </c>
      <c r="J162" s="38">
        <v>45658</v>
      </c>
      <c r="K162" s="40" t="s">
        <v>50</v>
      </c>
      <c r="L162" s="13" t="s">
        <v>51</v>
      </c>
      <c r="M162" s="13" t="s">
        <v>52</v>
      </c>
      <c r="N162" s="13" t="s">
        <v>540</v>
      </c>
      <c r="O162" s="13" t="s">
        <v>54</v>
      </c>
      <c r="P162" s="13" t="s">
        <v>55</v>
      </c>
      <c r="Q162" s="38">
        <v>27968</v>
      </c>
      <c r="R162" s="13" t="s">
        <v>541</v>
      </c>
      <c r="S162" s="41" t="s">
        <v>57</v>
      </c>
      <c r="T162" s="37">
        <v>1200000</v>
      </c>
      <c r="U162" s="38">
        <v>45925</v>
      </c>
      <c r="V162" s="39">
        <v>2025</v>
      </c>
      <c r="W162" s="42">
        <v>45925</v>
      </c>
      <c r="X162" s="41" t="s">
        <v>6</v>
      </c>
      <c r="Y162" s="38"/>
      <c r="Z162" s="50"/>
      <c r="AA162" s="38"/>
      <c r="AB162" s="43">
        <f>IF($AB$1&lt;W162,0,IF($AB$1&gt;Y162,0,T162))</f>
      </c>
      <c r="AC162" s="43">
        <f>IF($AC$2&lt;U162,0,IF(AND($AC$2&gt;U162,$AC$2&lt;Y162),T162,IF(X162="REJET",0,T162-Z162)))</f>
      </c>
      <c r="AD162" s="1"/>
      <c r="AE162" s="23"/>
      <c r="AF162" s="24"/>
      <c r="AG162" s="25"/>
    </row>
    <row x14ac:dyDescent="0.25" r="163" customHeight="1" ht="18.75">
      <c r="A163" s="13" t="s">
        <v>47</v>
      </c>
      <c r="B163" s="37">
        <v>900</v>
      </c>
      <c r="C163" s="13" t="s">
        <v>3</v>
      </c>
      <c r="D163" s="13" t="s">
        <v>48</v>
      </c>
      <c r="E163" s="38">
        <v>45658</v>
      </c>
      <c r="F163" s="38">
        <v>46022</v>
      </c>
      <c r="G163" s="39">
        <v>161</v>
      </c>
      <c r="H163" s="13" t="s">
        <v>542</v>
      </c>
      <c r="I163" s="38">
        <v>27682</v>
      </c>
      <c r="J163" s="38">
        <v>45658</v>
      </c>
      <c r="K163" s="40" t="s">
        <v>50</v>
      </c>
      <c r="L163" s="13" t="s">
        <v>51</v>
      </c>
      <c r="M163" s="13" t="s">
        <v>52</v>
      </c>
      <c r="N163" s="13" t="s">
        <v>543</v>
      </c>
      <c r="O163" s="13" t="s">
        <v>62</v>
      </c>
      <c r="P163" s="13" t="s">
        <v>63</v>
      </c>
      <c r="Q163" s="38">
        <v>27682</v>
      </c>
      <c r="R163" s="13" t="s">
        <v>544</v>
      </c>
      <c r="S163" s="41" t="s">
        <v>57</v>
      </c>
      <c r="T163" s="37">
        <v>1200000</v>
      </c>
      <c r="U163" s="38">
        <v>45928</v>
      </c>
      <c r="V163" s="39">
        <v>2025</v>
      </c>
      <c r="W163" s="42">
        <v>45928</v>
      </c>
      <c r="X163" s="41" t="s">
        <v>6</v>
      </c>
      <c r="Y163" s="38"/>
      <c r="Z163" s="50"/>
      <c r="AA163" s="38"/>
      <c r="AB163" s="43">
        <f>IF($AB$1&lt;W163,0,IF($AB$1&gt;Y163,0,T163))</f>
      </c>
      <c r="AC163" s="43">
        <f>IF($AC$2&lt;U163,0,IF(AND($AC$2&gt;U163,$AC$2&lt;Y163),T163,IF(X163="REJET",0,T163-Z163)))</f>
      </c>
      <c r="AD163" s="1"/>
      <c r="AE163" s="23"/>
      <c r="AF163" s="24"/>
      <c r="AG163" s="25"/>
    </row>
    <row x14ac:dyDescent="0.25" r="164" customHeight="1" ht="18.75">
      <c r="A164" s="13" t="s">
        <v>47</v>
      </c>
      <c r="B164" s="37">
        <v>900</v>
      </c>
      <c r="C164" s="13" t="s">
        <v>3</v>
      </c>
      <c r="D164" s="13" t="s">
        <v>48</v>
      </c>
      <c r="E164" s="38">
        <v>45658</v>
      </c>
      <c r="F164" s="38">
        <v>46022</v>
      </c>
      <c r="G164" s="39">
        <v>162</v>
      </c>
      <c r="H164" s="13" t="s">
        <v>545</v>
      </c>
      <c r="I164" s="38">
        <v>24234</v>
      </c>
      <c r="J164" s="38">
        <v>45658</v>
      </c>
      <c r="K164" s="40" t="s">
        <v>50</v>
      </c>
      <c r="L164" s="13" t="s">
        <v>51</v>
      </c>
      <c r="M164" s="13" t="s">
        <v>52</v>
      </c>
      <c r="N164" s="13" t="s">
        <v>546</v>
      </c>
      <c r="O164" s="13" t="s">
        <v>54</v>
      </c>
      <c r="P164" s="13" t="s">
        <v>55</v>
      </c>
      <c r="Q164" s="38">
        <v>24234</v>
      </c>
      <c r="R164" s="13" t="s">
        <v>547</v>
      </c>
      <c r="S164" s="41" t="s">
        <v>57</v>
      </c>
      <c r="T164" s="37">
        <v>1200000</v>
      </c>
      <c r="U164" s="38">
        <v>45929</v>
      </c>
      <c r="V164" s="39">
        <v>2025</v>
      </c>
      <c r="W164" s="42">
        <v>45929</v>
      </c>
      <c r="X164" s="41" t="s">
        <v>6</v>
      </c>
      <c r="Y164" s="38"/>
      <c r="Z164" s="50"/>
      <c r="AA164" s="38"/>
      <c r="AB164" s="43">
        <f>IF($AB$1&lt;W164,0,IF($AB$1&gt;Y164,0,T164))</f>
      </c>
      <c r="AC164" s="43">
        <f>IF($AC$2&lt;U164,0,IF(AND($AC$2&gt;U164,$AC$2&lt;Y164),T164,IF(X164="REJET",0,T164-Z164)))</f>
      </c>
      <c r="AD164" s="1"/>
      <c r="AE164" s="23"/>
      <c r="AF164" s="24"/>
      <c r="AG164" s="25"/>
    </row>
    <row x14ac:dyDescent="0.25" r="165" customHeight="1" ht="18.75">
      <c r="A165" s="13" t="s">
        <v>47</v>
      </c>
      <c r="B165" s="37">
        <v>900</v>
      </c>
      <c r="C165" s="13" t="s">
        <v>3</v>
      </c>
      <c r="D165" s="13" t="s">
        <v>48</v>
      </c>
      <c r="E165" s="38">
        <v>45658</v>
      </c>
      <c r="F165" s="38">
        <v>46022</v>
      </c>
      <c r="G165" s="39">
        <v>163</v>
      </c>
      <c r="H165" s="13" t="s">
        <v>548</v>
      </c>
      <c r="I165" s="38">
        <v>33564</v>
      </c>
      <c r="J165" s="38">
        <v>45658</v>
      </c>
      <c r="K165" s="40" t="s">
        <v>50</v>
      </c>
      <c r="L165" s="13" t="s">
        <v>51</v>
      </c>
      <c r="M165" s="13" t="s">
        <v>52</v>
      </c>
      <c r="N165" s="13" t="s">
        <v>549</v>
      </c>
      <c r="O165" s="13" t="s">
        <v>54</v>
      </c>
      <c r="P165" s="13" t="s">
        <v>55</v>
      </c>
      <c r="Q165" s="38">
        <v>33564</v>
      </c>
      <c r="R165" s="13" t="s">
        <v>550</v>
      </c>
      <c r="S165" s="41" t="s">
        <v>82</v>
      </c>
      <c r="T165" s="37">
        <v>6000000</v>
      </c>
      <c r="U165" s="38">
        <v>45929</v>
      </c>
      <c r="V165" s="39">
        <v>2025</v>
      </c>
      <c r="W165" s="42">
        <v>45929</v>
      </c>
      <c r="X165" s="41" t="s">
        <v>6</v>
      </c>
      <c r="Y165" s="38"/>
      <c r="Z165" s="50"/>
      <c r="AA165" s="38"/>
      <c r="AB165" s="43">
        <f>IF($AB$1&lt;W165,0,IF($AB$1&gt;Y165,0,T165))</f>
      </c>
      <c r="AC165" s="43">
        <f>IF($AC$2&lt;U165,0,IF(AND($AC$2&gt;U165,$AC$2&lt;Y165),T165,IF(X165="REJET",0,T165-Z165)))</f>
      </c>
      <c r="AD165" s="1"/>
      <c r="AE165" s="23"/>
      <c r="AF165" s="24"/>
      <c r="AG165" s="25"/>
    </row>
    <row x14ac:dyDescent="0.25" r="166" customHeight="1" ht="18.75">
      <c r="A166" s="13" t="s">
        <v>47</v>
      </c>
      <c r="B166" s="37">
        <v>900</v>
      </c>
      <c r="C166" s="13" t="s">
        <v>3</v>
      </c>
      <c r="D166" s="13" t="s">
        <v>48</v>
      </c>
      <c r="E166" s="38">
        <v>45658</v>
      </c>
      <c r="F166" s="38">
        <v>46022</v>
      </c>
      <c r="G166" s="39">
        <v>164</v>
      </c>
      <c r="H166" s="13" t="s">
        <v>551</v>
      </c>
      <c r="I166" s="38"/>
      <c r="J166" s="38">
        <v>45658</v>
      </c>
      <c r="K166" s="40" t="s">
        <v>50</v>
      </c>
      <c r="L166" s="13" t="s">
        <v>51</v>
      </c>
      <c r="M166" s="13" t="s">
        <v>52</v>
      </c>
      <c r="N166" s="13" t="s">
        <v>552</v>
      </c>
      <c r="O166" s="13" t="s">
        <v>54</v>
      </c>
      <c r="P166" s="13" t="s">
        <v>55</v>
      </c>
      <c r="Q166" s="38"/>
      <c r="R166" s="13" t="s">
        <v>553</v>
      </c>
      <c r="S166" s="41" t="s">
        <v>57</v>
      </c>
      <c r="T166" s="37">
        <v>1200000</v>
      </c>
      <c r="U166" s="38">
        <v>45930</v>
      </c>
      <c r="V166" s="39">
        <v>2025</v>
      </c>
      <c r="W166" s="42">
        <v>45930</v>
      </c>
      <c r="X166" s="41" t="s">
        <v>6</v>
      </c>
      <c r="Y166" s="38"/>
      <c r="Z166" s="50"/>
      <c r="AA166" s="38"/>
      <c r="AB166" s="43">
        <f>IF($AB$1&lt;W166,0,IF($AB$1&gt;Y166,0,T166))</f>
      </c>
      <c r="AC166" s="43">
        <f>IF($AC$2&lt;U166,0,IF(AND($AC$2&gt;U166,$AC$2&lt;Y166),T166,IF(X166="REJET",0,T166-Z166)))</f>
      </c>
      <c r="AD166" s="1"/>
      <c r="AE166" s="23"/>
      <c r="AF166" s="24"/>
      <c r="AG166" s="25"/>
    </row>
    <row x14ac:dyDescent="0.25" r="167" customHeight="1" ht="18.75">
      <c r="A167" s="13" t="s">
        <v>47</v>
      </c>
      <c r="B167" s="37">
        <v>900</v>
      </c>
      <c r="C167" s="13" t="s">
        <v>3</v>
      </c>
      <c r="D167" s="13" t="s">
        <v>48</v>
      </c>
      <c r="E167" s="38">
        <v>45658</v>
      </c>
      <c r="F167" s="38">
        <v>46022</v>
      </c>
      <c r="G167" s="39">
        <v>165</v>
      </c>
      <c r="H167" s="13" t="s">
        <v>554</v>
      </c>
      <c r="I167" s="38"/>
      <c r="J167" s="38">
        <v>45658</v>
      </c>
      <c r="K167" s="40" t="s">
        <v>50</v>
      </c>
      <c r="L167" s="13" t="s">
        <v>51</v>
      </c>
      <c r="M167" s="13" t="s">
        <v>52</v>
      </c>
      <c r="N167" s="13" t="s">
        <v>555</v>
      </c>
      <c r="O167" s="13" t="s">
        <v>54</v>
      </c>
      <c r="P167" s="13" t="s">
        <v>55</v>
      </c>
      <c r="Q167" s="38"/>
      <c r="R167" s="13" t="s">
        <v>556</v>
      </c>
      <c r="S167" s="41" t="s">
        <v>57</v>
      </c>
      <c r="T167" s="37">
        <v>1200000</v>
      </c>
      <c r="U167" s="38">
        <v>45929</v>
      </c>
      <c r="V167" s="39">
        <v>2025</v>
      </c>
      <c r="W167" s="42">
        <v>45929</v>
      </c>
      <c r="X167" s="41" t="s">
        <v>6</v>
      </c>
      <c r="Y167" s="38"/>
      <c r="Z167" s="50"/>
      <c r="AA167" s="38"/>
      <c r="AB167" s="43">
        <f>IF($AB$1&lt;W167,0,IF($AB$1&gt;Y167,0,T167))</f>
      </c>
      <c r="AC167" s="43">
        <f>IF($AC$2&lt;U167,0,IF(AND($AC$2&gt;U167,$AC$2&lt;Y167),T167,IF(X167="REJET",0,T167-Z167)))</f>
      </c>
      <c r="AD167" s="1"/>
      <c r="AE167" s="23"/>
      <c r="AF167" s="24"/>
      <c r="AG167" s="25"/>
    </row>
    <row x14ac:dyDescent="0.25" r="168" customHeight="1" ht="18.75">
      <c r="A168" s="13" t="s">
        <v>47</v>
      </c>
      <c r="B168" s="37">
        <v>900</v>
      </c>
      <c r="C168" s="13" t="s">
        <v>3</v>
      </c>
      <c r="D168" s="13" t="s">
        <v>48</v>
      </c>
      <c r="E168" s="38">
        <v>45658</v>
      </c>
      <c r="F168" s="38">
        <v>46022</v>
      </c>
      <c r="G168" s="39">
        <v>166</v>
      </c>
      <c r="H168" s="13" t="s">
        <v>557</v>
      </c>
      <c r="I168" s="38"/>
      <c r="J168" s="38">
        <v>45658</v>
      </c>
      <c r="K168" s="40" t="s">
        <v>50</v>
      </c>
      <c r="L168" s="13" t="s">
        <v>51</v>
      </c>
      <c r="M168" s="13" t="s">
        <v>52</v>
      </c>
      <c r="N168" s="13" t="s">
        <v>558</v>
      </c>
      <c r="O168" s="13" t="s">
        <v>54</v>
      </c>
      <c r="P168" s="13" t="s">
        <v>55</v>
      </c>
      <c r="Q168" s="38"/>
      <c r="R168" s="13" t="s">
        <v>559</v>
      </c>
      <c r="S168" s="41" t="s">
        <v>57</v>
      </c>
      <c r="T168" s="37">
        <v>1200000</v>
      </c>
      <c r="U168" s="38">
        <v>45929</v>
      </c>
      <c r="V168" s="39">
        <v>2025</v>
      </c>
      <c r="W168" s="42">
        <v>45929</v>
      </c>
      <c r="X168" s="41" t="s">
        <v>6</v>
      </c>
      <c r="Y168" s="38"/>
      <c r="Z168" s="50"/>
      <c r="AA168" s="38"/>
      <c r="AB168" s="43">
        <f>IF($AB$1&lt;W168,0,IF($AB$1&gt;Y168,0,T168))</f>
      </c>
      <c r="AC168" s="43">
        <f>IF($AC$2&lt;U168,0,IF(AND($AC$2&gt;U168,$AC$2&lt;Y168),T168,IF(X168="REJET",0,T168-Z168)))</f>
      </c>
      <c r="AD168" s="1"/>
      <c r="AE168" s="23"/>
      <c r="AF168" s="24"/>
      <c r="AG168" s="25"/>
    </row>
    <row x14ac:dyDescent="0.25" r="169" customHeight="1" ht="18.75">
      <c r="A169" s="13" t="s">
        <v>47</v>
      </c>
      <c r="B169" s="37">
        <v>900</v>
      </c>
      <c r="C169" s="13" t="s">
        <v>3</v>
      </c>
      <c r="D169" s="13" t="s">
        <v>48</v>
      </c>
      <c r="E169" s="38">
        <v>45658</v>
      </c>
      <c r="F169" s="38">
        <v>46022</v>
      </c>
      <c r="G169" s="39">
        <v>167</v>
      </c>
      <c r="H169" s="13" t="s">
        <v>560</v>
      </c>
      <c r="I169" s="38">
        <v>26157</v>
      </c>
      <c r="J169" s="38">
        <v>45658</v>
      </c>
      <c r="K169" s="40" t="s">
        <v>50</v>
      </c>
      <c r="L169" s="13" t="s">
        <v>51</v>
      </c>
      <c r="M169" s="13" t="s">
        <v>52</v>
      </c>
      <c r="N169" s="13" t="s">
        <v>561</v>
      </c>
      <c r="O169" s="13" t="s">
        <v>54</v>
      </c>
      <c r="P169" s="13" t="s">
        <v>55</v>
      </c>
      <c r="Q169" s="38">
        <v>26157</v>
      </c>
      <c r="R169" s="13" t="s">
        <v>562</v>
      </c>
      <c r="S169" s="41" t="s">
        <v>82</v>
      </c>
      <c r="T169" s="37">
        <v>6000000</v>
      </c>
      <c r="U169" s="38">
        <v>45932</v>
      </c>
      <c r="V169" s="39">
        <v>2025</v>
      </c>
      <c r="W169" s="42">
        <v>45927</v>
      </c>
      <c r="X169" s="41" t="s">
        <v>6</v>
      </c>
      <c r="Y169" s="38"/>
      <c r="Z169" s="50"/>
      <c r="AA169" s="38"/>
      <c r="AB169" s="43">
        <f>IF($AB$1&lt;W169,0,IF($AB$1&gt;Y169,0,T169))</f>
      </c>
      <c r="AC169" s="43">
        <f>IF($AC$2&lt;U169,0,IF(AND($AC$2&gt;U169,$AC$2&lt;Y169),T169,IF(X169="REJET",0,T169-Z169)))</f>
      </c>
      <c r="AD169" s="1"/>
      <c r="AE169" s="23"/>
      <c r="AF169" s="24"/>
      <c r="AG169" s="25"/>
    </row>
    <row x14ac:dyDescent="0.25" r="170" customHeight="1" ht="18.75">
      <c r="A170" s="13" t="s">
        <v>47</v>
      </c>
      <c r="B170" s="37">
        <v>900</v>
      </c>
      <c r="C170" s="13" t="s">
        <v>3</v>
      </c>
      <c r="D170" s="13" t="s">
        <v>48</v>
      </c>
      <c r="E170" s="38">
        <v>45658</v>
      </c>
      <c r="F170" s="38">
        <v>46022</v>
      </c>
      <c r="G170" s="39">
        <v>168</v>
      </c>
      <c r="H170" s="13" t="s">
        <v>563</v>
      </c>
      <c r="I170" s="38">
        <v>26984</v>
      </c>
      <c r="J170" s="38">
        <v>45658</v>
      </c>
      <c r="K170" s="40" t="s">
        <v>50</v>
      </c>
      <c r="L170" s="13" t="s">
        <v>51</v>
      </c>
      <c r="M170" s="13" t="s">
        <v>52</v>
      </c>
      <c r="N170" s="13" t="s">
        <v>564</v>
      </c>
      <c r="O170" s="13" t="s">
        <v>54</v>
      </c>
      <c r="P170" s="13" t="s">
        <v>55</v>
      </c>
      <c r="Q170" s="38">
        <v>26984</v>
      </c>
      <c r="R170" s="13" t="s">
        <v>565</v>
      </c>
      <c r="S170" s="41" t="s">
        <v>57</v>
      </c>
      <c r="T170" s="37">
        <v>1200000</v>
      </c>
      <c r="U170" s="38">
        <v>45933</v>
      </c>
      <c r="V170" s="39">
        <v>2025</v>
      </c>
      <c r="W170" s="42">
        <v>45933</v>
      </c>
      <c r="X170" s="41" t="s">
        <v>58</v>
      </c>
      <c r="Y170" s="38">
        <v>45984</v>
      </c>
      <c r="Z170" s="39">
        <v>0</v>
      </c>
      <c r="AA170" s="38"/>
      <c r="AB170" s="43">
        <f>IF($AB$1&lt;W170,0,IF($AB$1&gt;Y170,0,T170))</f>
      </c>
      <c r="AC170" s="43">
        <f>IF($AC$2&lt;U170,0,IF(AND($AC$2&gt;U170,$AC$2&lt;Y170),T170,IF(X170="REJET",0,T170-Z170)))</f>
      </c>
      <c r="AD170" s="1"/>
      <c r="AE170" s="23"/>
      <c r="AF170" s="24"/>
      <c r="AG170" s="25"/>
    </row>
    <row x14ac:dyDescent="0.25" r="171" customHeight="1" ht="18.75">
      <c r="A171" s="13" t="s">
        <v>47</v>
      </c>
      <c r="B171" s="37">
        <v>900</v>
      </c>
      <c r="C171" s="13" t="s">
        <v>3</v>
      </c>
      <c r="D171" s="13" t="s">
        <v>48</v>
      </c>
      <c r="E171" s="38">
        <v>45658</v>
      </c>
      <c r="F171" s="38">
        <v>46022</v>
      </c>
      <c r="G171" s="39">
        <v>169</v>
      </c>
      <c r="H171" s="13" t="s">
        <v>566</v>
      </c>
      <c r="I171" s="38">
        <v>30355</v>
      </c>
      <c r="J171" s="38">
        <v>45658</v>
      </c>
      <c r="K171" s="40" t="s">
        <v>50</v>
      </c>
      <c r="L171" s="13" t="s">
        <v>51</v>
      </c>
      <c r="M171" s="13" t="s">
        <v>52</v>
      </c>
      <c r="N171" s="13" t="s">
        <v>567</v>
      </c>
      <c r="O171" s="13" t="s">
        <v>62</v>
      </c>
      <c r="P171" s="13" t="s">
        <v>63</v>
      </c>
      <c r="Q171" s="38">
        <v>30355</v>
      </c>
      <c r="R171" s="13" t="s">
        <v>568</v>
      </c>
      <c r="S171" s="41" t="s">
        <v>82</v>
      </c>
      <c r="T171" s="37">
        <v>6000000</v>
      </c>
      <c r="U171" s="38">
        <v>45935</v>
      </c>
      <c r="V171" s="39">
        <v>2025</v>
      </c>
      <c r="W171" s="42">
        <v>45932</v>
      </c>
      <c r="X171" s="41" t="s">
        <v>65</v>
      </c>
      <c r="Y171" s="38">
        <v>45994</v>
      </c>
      <c r="Z171" s="49">
        <v>6000000</v>
      </c>
      <c r="AA171" s="48">
        <f>T171-Z171</f>
      </c>
      <c r="AB171" s="43">
        <f>IF($AB$1&lt;W171,0,IF($AB$1&gt;Y171,0,T171))</f>
      </c>
      <c r="AC171" s="43">
        <f>IF($AC$2&lt;U171,0,IF(AND($AC$2&gt;U171,$AC$2&lt;Y171),T171,IF(X171="REJET",0,T171-Z171)))</f>
      </c>
      <c r="AD171" s="1"/>
      <c r="AE171" s="23"/>
      <c r="AF171" s="24"/>
      <c r="AG171" s="25"/>
    </row>
    <row x14ac:dyDescent="0.25" r="172" customHeight="1" ht="18.75">
      <c r="A172" s="13" t="s">
        <v>47</v>
      </c>
      <c r="B172" s="37">
        <v>900</v>
      </c>
      <c r="C172" s="13" t="s">
        <v>3</v>
      </c>
      <c r="D172" s="13" t="s">
        <v>48</v>
      </c>
      <c r="E172" s="38">
        <v>45658</v>
      </c>
      <c r="F172" s="38">
        <v>46022</v>
      </c>
      <c r="G172" s="39">
        <v>170</v>
      </c>
      <c r="H172" s="13" t="s">
        <v>569</v>
      </c>
      <c r="I172" s="38">
        <v>25444</v>
      </c>
      <c r="J172" s="38">
        <v>45658</v>
      </c>
      <c r="K172" s="40" t="s">
        <v>50</v>
      </c>
      <c r="L172" s="13" t="s">
        <v>51</v>
      </c>
      <c r="M172" s="13" t="s">
        <v>52</v>
      </c>
      <c r="N172" s="13" t="s">
        <v>570</v>
      </c>
      <c r="O172" s="13" t="s">
        <v>54</v>
      </c>
      <c r="P172" s="13" t="s">
        <v>55</v>
      </c>
      <c r="Q172" s="38">
        <v>25444</v>
      </c>
      <c r="R172" s="13" t="s">
        <v>571</v>
      </c>
      <c r="S172" s="41" t="s">
        <v>57</v>
      </c>
      <c r="T172" s="37">
        <v>1200000</v>
      </c>
      <c r="U172" s="38">
        <v>45935</v>
      </c>
      <c r="V172" s="39">
        <v>2025</v>
      </c>
      <c r="W172" s="42">
        <v>45935</v>
      </c>
      <c r="X172" s="41" t="s">
        <v>58</v>
      </c>
      <c r="Y172" s="38">
        <v>45984</v>
      </c>
      <c r="Z172" s="39">
        <v>0</v>
      </c>
      <c r="AA172" s="38"/>
      <c r="AB172" s="43">
        <f>IF($AB$1&lt;W172,0,IF($AB$1&gt;Y172,0,T172))</f>
      </c>
      <c r="AC172" s="43">
        <f>IF($AC$2&lt;U172,0,IF(AND($AC$2&gt;U172,$AC$2&lt;Y172),T172,IF(X172="REJET",0,T172-Z172)))</f>
      </c>
      <c r="AD172" s="1"/>
      <c r="AE172" s="23"/>
      <c r="AF172" s="24"/>
      <c r="AG172" s="25"/>
    </row>
    <row x14ac:dyDescent="0.25" r="173" customHeight="1" ht="18.75">
      <c r="A173" s="13" t="s">
        <v>47</v>
      </c>
      <c r="B173" s="37">
        <v>900</v>
      </c>
      <c r="C173" s="13" t="s">
        <v>3</v>
      </c>
      <c r="D173" s="13" t="s">
        <v>48</v>
      </c>
      <c r="E173" s="38">
        <v>45658</v>
      </c>
      <c r="F173" s="38">
        <v>46022</v>
      </c>
      <c r="G173" s="39">
        <v>171</v>
      </c>
      <c r="H173" s="13" t="s">
        <v>572</v>
      </c>
      <c r="I173" s="38">
        <v>32269</v>
      </c>
      <c r="J173" s="38">
        <v>45658</v>
      </c>
      <c r="K173" s="40" t="s">
        <v>50</v>
      </c>
      <c r="L173" s="13" t="s">
        <v>51</v>
      </c>
      <c r="M173" s="13" t="s">
        <v>52</v>
      </c>
      <c r="N173" s="13" t="s">
        <v>573</v>
      </c>
      <c r="O173" s="13" t="s">
        <v>62</v>
      </c>
      <c r="P173" s="13" t="s">
        <v>63</v>
      </c>
      <c r="Q173" s="38">
        <v>32269</v>
      </c>
      <c r="R173" s="13" t="s">
        <v>574</v>
      </c>
      <c r="S173" s="41" t="s">
        <v>82</v>
      </c>
      <c r="T173" s="37">
        <v>6000000</v>
      </c>
      <c r="U173" s="38">
        <v>45936</v>
      </c>
      <c r="V173" s="39">
        <v>2025</v>
      </c>
      <c r="W173" s="42">
        <v>45935</v>
      </c>
      <c r="X173" s="41" t="s">
        <v>65</v>
      </c>
      <c r="Y173" s="38">
        <v>46015</v>
      </c>
      <c r="Z173" s="49">
        <v>6000000</v>
      </c>
      <c r="AA173" s="48">
        <f>T173-Z173</f>
      </c>
      <c r="AB173" s="43">
        <f>IF($AB$1&lt;W173,0,IF($AB$1&gt;Y173,0,T173))</f>
      </c>
      <c r="AC173" s="43">
        <f>IF($AC$2&lt;U173,0,IF(AND($AC$2&gt;U173,$AC$2&lt;Y173),T173,IF(X173="REJET",0,T173-Z173)))</f>
      </c>
      <c r="AD173" s="1"/>
      <c r="AE173" s="23"/>
      <c r="AF173" s="24"/>
      <c r="AG173" s="25"/>
    </row>
    <row x14ac:dyDescent="0.25" r="174" customHeight="1" ht="18.75">
      <c r="A174" s="13" t="s">
        <v>47</v>
      </c>
      <c r="B174" s="37">
        <v>900</v>
      </c>
      <c r="C174" s="13" t="s">
        <v>3</v>
      </c>
      <c r="D174" s="13" t="s">
        <v>48</v>
      </c>
      <c r="E174" s="38">
        <v>45658</v>
      </c>
      <c r="F174" s="38">
        <v>46022</v>
      </c>
      <c r="G174" s="39">
        <v>172</v>
      </c>
      <c r="H174" s="13" t="s">
        <v>575</v>
      </c>
      <c r="I174" s="38">
        <v>34383</v>
      </c>
      <c r="J174" s="38">
        <v>45658</v>
      </c>
      <c r="K174" s="40" t="s">
        <v>50</v>
      </c>
      <c r="L174" s="13" t="s">
        <v>51</v>
      </c>
      <c r="M174" s="13" t="s">
        <v>52</v>
      </c>
      <c r="N174" s="13" t="s">
        <v>576</v>
      </c>
      <c r="O174" s="13" t="s">
        <v>54</v>
      </c>
      <c r="P174" s="13" t="s">
        <v>55</v>
      </c>
      <c r="Q174" s="38">
        <v>34383</v>
      </c>
      <c r="R174" s="13" t="s">
        <v>577</v>
      </c>
      <c r="S174" s="41" t="s">
        <v>57</v>
      </c>
      <c r="T174" s="37">
        <v>1200000</v>
      </c>
      <c r="U174" s="38">
        <v>45934</v>
      </c>
      <c r="V174" s="39">
        <v>2025</v>
      </c>
      <c r="W174" s="42">
        <v>45934</v>
      </c>
      <c r="X174" s="41" t="s">
        <v>65</v>
      </c>
      <c r="Y174" s="38">
        <v>46015</v>
      </c>
      <c r="Z174" s="49">
        <v>1200000</v>
      </c>
      <c r="AA174" s="48">
        <f>T174-Z174</f>
      </c>
      <c r="AB174" s="43">
        <f>IF($AB$1&lt;W174,0,IF($AB$1&gt;Y174,0,T174))</f>
      </c>
      <c r="AC174" s="43">
        <f>IF($AC$2&lt;U174,0,IF(AND($AC$2&gt;U174,$AC$2&lt;Y174),T174,IF(X174="REJET",0,T174-Z174)))</f>
      </c>
      <c r="AD174" s="1"/>
      <c r="AE174" s="23"/>
      <c r="AF174" s="24"/>
      <c r="AG174" s="25"/>
    </row>
    <row x14ac:dyDescent="0.25" r="175" customHeight="1" ht="18.75">
      <c r="A175" s="13" t="s">
        <v>47</v>
      </c>
      <c r="B175" s="37">
        <v>900</v>
      </c>
      <c r="C175" s="13" t="s">
        <v>3</v>
      </c>
      <c r="D175" s="13" t="s">
        <v>48</v>
      </c>
      <c r="E175" s="38">
        <v>45658</v>
      </c>
      <c r="F175" s="38">
        <v>46022</v>
      </c>
      <c r="G175" s="39">
        <v>173</v>
      </c>
      <c r="H175" s="13" t="s">
        <v>578</v>
      </c>
      <c r="I175" s="38">
        <v>24302</v>
      </c>
      <c r="J175" s="38">
        <v>45658</v>
      </c>
      <c r="K175" s="40" t="s">
        <v>50</v>
      </c>
      <c r="L175" s="13" t="s">
        <v>51</v>
      </c>
      <c r="M175" s="13" t="s">
        <v>52</v>
      </c>
      <c r="N175" s="13" t="s">
        <v>579</v>
      </c>
      <c r="O175" s="13" t="s">
        <v>54</v>
      </c>
      <c r="P175" s="13" t="s">
        <v>55</v>
      </c>
      <c r="Q175" s="38">
        <v>24302</v>
      </c>
      <c r="R175" s="13" t="s">
        <v>580</v>
      </c>
      <c r="S175" s="41" t="s">
        <v>82</v>
      </c>
      <c r="T175" s="37">
        <v>6000000</v>
      </c>
      <c r="U175" s="38">
        <v>45939</v>
      </c>
      <c r="V175" s="39">
        <v>2025</v>
      </c>
      <c r="W175" s="42">
        <v>45934</v>
      </c>
      <c r="X175" s="41" t="s">
        <v>6</v>
      </c>
      <c r="Y175" s="38"/>
      <c r="Z175" s="50"/>
      <c r="AA175" s="38"/>
      <c r="AB175" s="43">
        <f>IF($AB$1&lt;W175,0,IF($AB$1&gt;Y175,0,T175))</f>
      </c>
      <c r="AC175" s="43">
        <f>IF($AC$2&lt;U175,0,IF(AND($AC$2&gt;U175,$AC$2&lt;Y175),T175,IF(X175="REJET",0,T175-Z175)))</f>
      </c>
      <c r="AD175" s="1"/>
      <c r="AE175" s="23"/>
      <c r="AF175" s="24"/>
      <c r="AG175" s="25"/>
    </row>
    <row x14ac:dyDescent="0.25" r="176" customHeight="1" ht="18.75">
      <c r="A176" s="13" t="s">
        <v>47</v>
      </c>
      <c r="B176" s="37">
        <v>900</v>
      </c>
      <c r="C176" s="13" t="s">
        <v>3</v>
      </c>
      <c r="D176" s="13" t="s">
        <v>48</v>
      </c>
      <c r="E176" s="38">
        <v>45658</v>
      </c>
      <c r="F176" s="38">
        <v>46022</v>
      </c>
      <c r="G176" s="39">
        <v>174</v>
      </c>
      <c r="H176" s="13" t="s">
        <v>581</v>
      </c>
      <c r="I176" s="38">
        <v>34417</v>
      </c>
      <c r="J176" s="38">
        <v>45658</v>
      </c>
      <c r="K176" s="40" t="s">
        <v>50</v>
      </c>
      <c r="L176" s="13" t="s">
        <v>51</v>
      </c>
      <c r="M176" s="13" t="s">
        <v>52</v>
      </c>
      <c r="N176" s="13" t="s">
        <v>582</v>
      </c>
      <c r="O176" s="13" t="s">
        <v>54</v>
      </c>
      <c r="P176" s="13" t="s">
        <v>55</v>
      </c>
      <c r="Q176" s="38">
        <v>34417</v>
      </c>
      <c r="R176" s="13" t="s">
        <v>583</v>
      </c>
      <c r="S176" s="41" t="s">
        <v>57</v>
      </c>
      <c r="T176" s="37">
        <v>1200000</v>
      </c>
      <c r="U176" s="38">
        <v>45946</v>
      </c>
      <c r="V176" s="39">
        <v>2025</v>
      </c>
      <c r="W176" s="42">
        <v>45946</v>
      </c>
      <c r="X176" s="41" t="s">
        <v>58</v>
      </c>
      <c r="Y176" s="38">
        <v>45986</v>
      </c>
      <c r="Z176" s="39">
        <v>0</v>
      </c>
      <c r="AA176" s="38"/>
      <c r="AB176" s="43">
        <f>IF($AB$1&lt;W176,0,IF($AB$1&gt;Y176,0,T176))</f>
      </c>
      <c r="AC176" s="43">
        <f>IF($AC$2&lt;U176,0,IF(AND($AC$2&gt;U176,$AC$2&lt;Y176),T176,IF(X176="REJET",0,T176-Z176)))</f>
      </c>
      <c r="AD176" s="1"/>
      <c r="AE176" s="23"/>
      <c r="AF176" s="24"/>
      <c r="AG176" s="25"/>
    </row>
    <row x14ac:dyDescent="0.25" r="177" customHeight="1" ht="18.75">
      <c r="A177" s="13" t="s">
        <v>47</v>
      </c>
      <c r="B177" s="37">
        <v>900</v>
      </c>
      <c r="C177" s="13" t="s">
        <v>3</v>
      </c>
      <c r="D177" s="13" t="s">
        <v>48</v>
      </c>
      <c r="E177" s="38">
        <v>45658</v>
      </c>
      <c r="F177" s="38">
        <v>46022</v>
      </c>
      <c r="G177" s="39">
        <v>175</v>
      </c>
      <c r="H177" s="13" t="s">
        <v>584</v>
      </c>
      <c r="I177" s="38">
        <v>24430</v>
      </c>
      <c r="J177" s="38">
        <v>45658</v>
      </c>
      <c r="K177" s="40" t="s">
        <v>50</v>
      </c>
      <c r="L177" s="13" t="s">
        <v>51</v>
      </c>
      <c r="M177" s="13" t="s">
        <v>52</v>
      </c>
      <c r="N177" s="13" t="s">
        <v>585</v>
      </c>
      <c r="O177" s="13" t="s">
        <v>54</v>
      </c>
      <c r="P177" s="13" t="s">
        <v>55</v>
      </c>
      <c r="Q177" s="38">
        <v>24430</v>
      </c>
      <c r="R177" s="13" t="s">
        <v>586</v>
      </c>
      <c r="S177" s="41" t="s">
        <v>82</v>
      </c>
      <c r="T177" s="37">
        <v>6000000</v>
      </c>
      <c r="U177" s="38">
        <v>45950</v>
      </c>
      <c r="V177" s="39">
        <v>2025</v>
      </c>
      <c r="W177" s="42">
        <v>45949</v>
      </c>
      <c r="X177" s="41" t="s">
        <v>65</v>
      </c>
      <c r="Y177" s="38">
        <v>46015</v>
      </c>
      <c r="Z177" s="49">
        <v>6000000</v>
      </c>
      <c r="AA177" s="48">
        <f>T177-Z177</f>
      </c>
      <c r="AB177" s="43">
        <f>IF($AB$1&lt;W177,0,IF($AB$1&gt;Y177,0,T177))</f>
      </c>
      <c r="AC177" s="43">
        <f>IF($AC$2&lt;U177,0,IF(AND($AC$2&gt;U177,$AC$2&lt;Y177),T177,IF(X177="REJET",0,T177-Z177)))</f>
      </c>
      <c r="AD177" s="1"/>
      <c r="AE177" s="23"/>
      <c r="AF177" s="24"/>
      <c r="AG177" s="25"/>
    </row>
    <row x14ac:dyDescent="0.25" r="178" customHeight="1" ht="18.75">
      <c r="A178" s="13" t="s">
        <v>47</v>
      </c>
      <c r="B178" s="37">
        <v>900</v>
      </c>
      <c r="C178" s="13" t="s">
        <v>3</v>
      </c>
      <c r="D178" s="13" t="s">
        <v>48</v>
      </c>
      <c r="E178" s="38">
        <v>45658</v>
      </c>
      <c r="F178" s="38">
        <v>46022</v>
      </c>
      <c r="G178" s="39">
        <v>176</v>
      </c>
      <c r="H178" s="13" t="s">
        <v>587</v>
      </c>
      <c r="I178" s="38">
        <v>30918</v>
      </c>
      <c r="J178" s="38">
        <v>45658</v>
      </c>
      <c r="K178" s="40" t="s">
        <v>50</v>
      </c>
      <c r="L178" s="13" t="s">
        <v>51</v>
      </c>
      <c r="M178" s="13" t="s">
        <v>52</v>
      </c>
      <c r="N178" s="13" t="s">
        <v>588</v>
      </c>
      <c r="O178" s="13" t="s">
        <v>54</v>
      </c>
      <c r="P178" s="13" t="s">
        <v>55</v>
      </c>
      <c r="Q178" s="38">
        <v>30918</v>
      </c>
      <c r="R178" s="13" t="s">
        <v>589</v>
      </c>
      <c r="S178" s="41" t="s">
        <v>57</v>
      </c>
      <c r="T178" s="37">
        <v>1200000</v>
      </c>
      <c r="U178" s="38">
        <v>45951</v>
      </c>
      <c r="V178" s="39">
        <v>2025</v>
      </c>
      <c r="W178" s="42">
        <v>45951</v>
      </c>
      <c r="X178" s="41" t="s">
        <v>58</v>
      </c>
      <c r="Y178" s="38">
        <v>45981</v>
      </c>
      <c r="Z178" s="39">
        <v>0</v>
      </c>
      <c r="AA178" s="38"/>
      <c r="AB178" s="43">
        <f>IF($AB$1&lt;W178,0,IF($AB$1&gt;Y178,0,T178))</f>
      </c>
      <c r="AC178" s="43">
        <f>IF($AC$2&lt;U178,0,IF(AND($AC$2&gt;U178,$AC$2&lt;Y178),T178,IF(X178="REJET",0,T178-Z178)))</f>
      </c>
      <c r="AD178" s="1"/>
      <c r="AE178" s="23"/>
      <c r="AF178" s="24"/>
      <c r="AG178" s="25"/>
    </row>
    <row x14ac:dyDescent="0.25" r="179" customHeight="1" ht="18.75">
      <c r="A179" s="13" t="s">
        <v>47</v>
      </c>
      <c r="B179" s="37">
        <v>900</v>
      </c>
      <c r="C179" s="13" t="s">
        <v>3</v>
      </c>
      <c r="D179" s="13" t="s">
        <v>48</v>
      </c>
      <c r="E179" s="38">
        <v>45658</v>
      </c>
      <c r="F179" s="38">
        <v>46022</v>
      </c>
      <c r="G179" s="39">
        <v>177</v>
      </c>
      <c r="H179" s="13" t="s">
        <v>590</v>
      </c>
      <c r="I179" s="38">
        <v>30918</v>
      </c>
      <c r="J179" s="38">
        <v>45658</v>
      </c>
      <c r="K179" s="40" t="s">
        <v>50</v>
      </c>
      <c r="L179" s="13" t="s">
        <v>51</v>
      </c>
      <c r="M179" s="13" t="s">
        <v>52</v>
      </c>
      <c r="N179" s="13" t="s">
        <v>591</v>
      </c>
      <c r="O179" s="13" t="s">
        <v>54</v>
      </c>
      <c r="P179" s="13" t="s">
        <v>55</v>
      </c>
      <c r="Q179" s="38">
        <v>30918</v>
      </c>
      <c r="R179" s="13" t="s">
        <v>592</v>
      </c>
      <c r="S179" s="41" t="s">
        <v>57</v>
      </c>
      <c r="T179" s="37">
        <v>1200000</v>
      </c>
      <c r="U179" s="38">
        <v>45953</v>
      </c>
      <c r="V179" s="39">
        <v>2025</v>
      </c>
      <c r="W179" s="42">
        <v>45953</v>
      </c>
      <c r="X179" s="41" t="s">
        <v>6</v>
      </c>
      <c r="Y179" s="38"/>
      <c r="Z179" s="50"/>
      <c r="AA179" s="38"/>
      <c r="AB179" s="43">
        <f>IF($AB$1&lt;W179,0,IF($AB$1&gt;Y179,0,T179))</f>
      </c>
      <c r="AC179" s="43">
        <f>IF($AC$2&lt;U179,0,IF(AND($AC$2&gt;U179,$AC$2&lt;Y179),T179,IF(X179="REJET",0,T179-Z179)))</f>
      </c>
      <c r="AD179" s="1"/>
      <c r="AE179" s="23"/>
      <c r="AF179" s="24"/>
      <c r="AG179" s="25"/>
    </row>
    <row x14ac:dyDescent="0.25" r="180" customHeight="1" ht="18.75">
      <c r="A180" s="13" t="s">
        <v>47</v>
      </c>
      <c r="B180" s="37">
        <v>900</v>
      </c>
      <c r="C180" s="13" t="s">
        <v>3</v>
      </c>
      <c r="D180" s="13" t="s">
        <v>48</v>
      </c>
      <c r="E180" s="38">
        <v>45658</v>
      </c>
      <c r="F180" s="38">
        <v>46022</v>
      </c>
      <c r="G180" s="39">
        <v>178</v>
      </c>
      <c r="H180" s="13" t="s">
        <v>593</v>
      </c>
      <c r="I180" s="38">
        <v>27813</v>
      </c>
      <c r="J180" s="38">
        <v>45658</v>
      </c>
      <c r="K180" s="40" t="s">
        <v>50</v>
      </c>
      <c r="L180" s="13" t="s">
        <v>51</v>
      </c>
      <c r="M180" s="13" t="s">
        <v>52</v>
      </c>
      <c r="N180" s="13" t="s">
        <v>594</v>
      </c>
      <c r="O180" s="13" t="s">
        <v>62</v>
      </c>
      <c r="P180" s="13" t="s">
        <v>63</v>
      </c>
      <c r="Q180" s="38">
        <v>27813</v>
      </c>
      <c r="R180" s="13" t="s">
        <v>595</v>
      </c>
      <c r="S180" s="41" t="s">
        <v>82</v>
      </c>
      <c r="T180" s="37">
        <v>6000000</v>
      </c>
      <c r="U180" s="38">
        <v>45957</v>
      </c>
      <c r="V180" s="39">
        <v>2025</v>
      </c>
      <c r="W180" s="42">
        <v>45953</v>
      </c>
      <c r="X180" s="41" t="s">
        <v>6</v>
      </c>
      <c r="Y180" s="38"/>
      <c r="Z180" s="50"/>
      <c r="AA180" s="38"/>
      <c r="AB180" s="43">
        <f>IF($AB$1&lt;W180,0,IF($AB$1&gt;Y180,0,T180))</f>
      </c>
      <c r="AC180" s="43">
        <f>IF($AC$2&lt;U180,0,IF(AND($AC$2&gt;U180,$AC$2&lt;Y180),T180,IF(X180="REJET",0,T180-Z180)))</f>
      </c>
      <c r="AD180" s="1"/>
      <c r="AE180" s="23"/>
      <c r="AF180" s="24"/>
      <c r="AG180" s="25"/>
    </row>
    <row x14ac:dyDescent="0.25" r="181" customHeight="1" ht="18.75">
      <c r="A181" s="13" t="s">
        <v>47</v>
      </c>
      <c r="B181" s="37">
        <v>900</v>
      </c>
      <c r="C181" s="13" t="s">
        <v>3</v>
      </c>
      <c r="D181" s="13" t="s">
        <v>48</v>
      </c>
      <c r="E181" s="38">
        <v>45658</v>
      </c>
      <c r="F181" s="38">
        <v>46022</v>
      </c>
      <c r="G181" s="39">
        <v>179</v>
      </c>
      <c r="H181" s="13" t="s">
        <v>596</v>
      </c>
      <c r="I181" s="38">
        <v>25651</v>
      </c>
      <c r="J181" s="38">
        <v>45658</v>
      </c>
      <c r="K181" s="40" t="s">
        <v>50</v>
      </c>
      <c r="L181" s="13" t="s">
        <v>51</v>
      </c>
      <c r="M181" s="13" t="s">
        <v>52</v>
      </c>
      <c r="N181" s="13" t="s">
        <v>597</v>
      </c>
      <c r="O181" s="13" t="s">
        <v>54</v>
      </c>
      <c r="P181" s="13" t="s">
        <v>55</v>
      </c>
      <c r="Q181" s="38">
        <v>25651</v>
      </c>
      <c r="R181" s="13" t="s">
        <v>598</v>
      </c>
      <c r="S181" s="41" t="s">
        <v>82</v>
      </c>
      <c r="T181" s="37">
        <v>6000000</v>
      </c>
      <c r="U181" s="38">
        <v>45957</v>
      </c>
      <c r="V181" s="39">
        <v>2025</v>
      </c>
      <c r="W181" s="42">
        <v>45957</v>
      </c>
      <c r="X181" s="41" t="s">
        <v>65</v>
      </c>
      <c r="Y181" s="38">
        <v>46016</v>
      </c>
      <c r="Z181" s="49">
        <v>6000000</v>
      </c>
      <c r="AA181" s="48">
        <f>T181-Z181</f>
      </c>
      <c r="AB181" s="43">
        <f>IF($AB$1&lt;W181,0,IF($AB$1&gt;Y181,0,T181))</f>
      </c>
      <c r="AC181" s="43">
        <f>IF($AC$2&lt;U181,0,IF(AND($AC$2&gt;U181,$AC$2&lt;Y181),T181,IF(X181="REJET",0,T181-Z181)))</f>
      </c>
      <c r="AD181" s="1"/>
      <c r="AE181" s="23"/>
      <c r="AF181" s="24"/>
      <c r="AG181" s="25"/>
    </row>
    <row x14ac:dyDescent="0.25" r="182" customHeight="1" ht="18.75">
      <c r="A182" s="13" t="s">
        <v>47</v>
      </c>
      <c r="B182" s="37">
        <v>900</v>
      </c>
      <c r="C182" s="13" t="s">
        <v>3</v>
      </c>
      <c r="D182" s="13" t="s">
        <v>48</v>
      </c>
      <c r="E182" s="38">
        <v>45658</v>
      </c>
      <c r="F182" s="38">
        <v>46022</v>
      </c>
      <c r="G182" s="39">
        <v>180</v>
      </c>
      <c r="H182" s="13" t="s">
        <v>599</v>
      </c>
      <c r="I182" s="38">
        <v>24116</v>
      </c>
      <c r="J182" s="38">
        <v>45658</v>
      </c>
      <c r="K182" s="40" t="s">
        <v>50</v>
      </c>
      <c r="L182" s="13" t="s">
        <v>51</v>
      </c>
      <c r="M182" s="13" t="s">
        <v>52</v>
      </c>
      <c r="N182" s="13" t="s">
        <v>600</v>
      </c>
      <c r="O182" s="13" t="s">
        <v>54</v>
      </c>
      <c r="P182" s="13" t="s">
        <v>55</v>
      </c>
      <c r="Q182" s="38">
        <v>24116</v>
      </c>
      <c r="R182" s="13" t="s">
        <v>601</v>
      </c>
      <c r="S182" s="41" t="s">
        <v>82</v>
      </c>
      <c r="T182" s="37">
        <v>6000000</v>
      </c>
      <c r="U182" s="38">
        <v>45958</v>
      </c>
      <c r="V182" s="39">
        <v>2025</v>
      </c>
      <c r="W182" s="42">
        <v>45957</v>
      </c>
      <c r="X182" s="41" t="s">
        <v>6</v>
      </c>
      <c r="Y182" s="38"/>
      <c r="Z182" s="50"/>
      <c r="AA182" s="38"/>
      <c r="AB182" s="43">
        <f>IF($AB$1&lt;W182,0,IF($AB$1&gt;Y182,0,T182))</f>
      </c>
      <c r="AC182" s="43">
        <f>IF($AC$2&lt;U182,0,IF(AND($AC$2&gt;U182,$AC$2&lt;Y182),T182,IF(X182="REJET",0,T182-Z182)))</f>
      </c>
      <c r="AD182" s="1"/>
      <c r="AE182" s="23"/>
      <c r="AF182" s="24"/>
      <c r="AG182" s="25"/>
    </row>
    <row x14ac:dyDescent="0.25" r="183" customHeight="1" ht="18.75">
      <c r="A183" s="13" t="s">
        <v>47</v>
      </c>
      <c r="B183" s="37">
        <v>900</v>
      </c>
      <c r="C183" s="13" t="s">
        <v>3</v>
      </c>
      <c r="D183" s="13" t="s">
        <v>48</v>
      </c>
      <c r="E183" s="38">
        <v>45658</v>
      </c>
      <c r="F183" s="38">
        <v>46022</v>
      </c>
      <c r="G183" s="39">
        <v>181</v>
      </c>
      <c r="H183" s="13" t="s">
        <v>602</v>
      </c>
      <c r="I183" s="38">
        <v>24960</v>
      </c>
      <c r="J183" s="38">
        <v>45658</v>
      </c>
      <c r="K183" s="40" t="s">
        <v>50</v>
      </c>
      <c r="L183" s="13" t="s">
        <v>51</v>
      </c>
      <c r="M183" s="13" t="s">
        <v>52</v>
      </c>
      <c r="N183" s="13" t="s">
        <v>603</v>
      </c>
      <c r="O183" s="13" t="s">
        <v>54</v>
      </c>
      <c r="P183" s="13" t="s">
        <v>55</v>
      </c>
      <c r="Q183" s="38">
        <v>24960</v>
      </c>
      <c r="R183" s="13" t="s">
        <v>604</v>
      </c>
      <c r="S183" s="41" t="s">
        <v>57</v>
      </c>
      <c r="T183" s="37">
        <v>1200000</v>
      </c>
      <c r="U183" s="38">
        <v>45958</v>
      </c>
      <c r="V183" s="39">
        <v>2025</v>
      </c>
      <c r="W183" s="42">
        <v>45958</v>
      </c>
      <c r="X183" s="41" t="s">
        <v>6</v>
      </c>
      <c r="Y183" s="38"/>
      <c r="Z183" s="50"/>
      <c r="AA183" s="38"/>
      <c r="AB183" s="43">
        <f>IF($AB$1&lt;W183,0,IF($AB$1&gt;Y183,0,T183))</f>
      </c>
      <c r="AC183" s="43">
        <f>IF($AC$2&lt;U183,0,IF(AND($AC$2&gt;U183,$AC$2&lt;Y183),T183,IF(X183="REJET",0,T183-Z183)))</f>
      </c>
      <c r="AD183" s="1"/>
      <c r="AE183" s="23"/>
      <c r="AF183" s="24"/>
      <c r="AG183" s="25"/>
    </row>
    <row x14ac:dyDescent="0.25" r="184" customHeight="1" ht="18.75">
      <c r="A184" s="13" t="s">
        <v>47</v>
      </c>
      <c r="B184" s="37">
        <v>900</v>
      </c>
      <c r="C184" s="13" t="s">
        <v>3</v>
      </c>
      <c r="D184" s="13" t="s">
        <v>48</v>
      </c>
      <c r="E184" s="38">
        <v>45658</v>
      </c>
      <c r="F184" s="38">
        <v>46022</v>
      </c>
      <c r="G184" s="39">
        <v>182</v>
      </c>
      <c r="H184" s="13" t="s">
        <v>605</v>
      </c>
      <c r="I184" s="38">
        <v>25960</v>
      </c>
      <c r="J184" s="38">
        <v>45658</v>
      </c>
      <c r="K184" s="40" t="s">
        <v>50</v>
      </c>
      <c r="L184" s="13" t="s">
        <v>51</v>
      </c>
      <c r="M184" s="13" t="s">
        <v>52</v>
      </c>
      <c r="N184" s="13" t="s">
        <v>606</v>
      </c>
      <c r="O184" s="13" t="s">
        <v>54</v>
      </c>
      <c r="P184" s="13" t="s">
        <v>55</v>
      </c>
      <c r="Q184" s="38">
        <v>25960</v>
      </c>
      <c r="R184" s="13" t="s">
        <v>607</v>
      </c>
      <c r="S184" s="41" t="s">
        <v>57</v>
      </c>
      <c r="T184" s="37">
        <v>1200000</v>
      </c>
      <c r="U184" s="38">
        <v>45958</v>
      </c>
      <c r="V184" s="39">
        <v>2025</v>
      </c>
      <c r="W184" s="42">
        <v>45958</v>
      </c>
      <c r="X184" s="41" t="s">
        <v>6</v>
      </c>
      <c r="Y184" s="38"/>
      <c r="Z184" s="50"/>
      <c r="AA184" s="38"/>
      <c r="AB184" s="43">
        <f>IF($AB$1&lt;W184,0,IF($AB$1&gt;Y184,0,T184))</f>
      </c>
      <c r="AC184" s="43">
        <f>IF($AC$2&lt;U184,0,IF(AND($AC$2&gt;U184,$AC$2&lt;Y184),T184,IF(X184="REJET",0,T184-Z184)))</f>
      </c>
      <c r="AD184" s="1"/>
      <c r="AE184" s="23"/>
      <c r="AF184" s="24"/>
      <c r="AG184" s="25"/>
    </row>
    <row x14ac:dyDescent="0.25" r="185" customHeight="1" ht="18.75">
      <c r="A185" s="13" t="s">
        <v>47</v>
      </c>
      <c r="B185" s="37">
        <v>900</v>
      </c>
      <c r="C185" s="13" t="s">
        <v>3</v>
      </c>
      <c r="D185" s="13" t="s">
        <v>48</v>
      </c>
      <c r="E185" s="38">
        <v>45658</v>
      </c>
      <c r="F185" s="38">
        <v>46022</v>
      </c>
      <c r="G185" s="39">
        <v>183</v>
      </c>
      <c r="H185" s="13" t="s">
        <v>608</v>
      </c>
      <c r="I185" s="38">
        <v>24695</v>
      </c>
      <c r="J185" s="38">
        <v>45658</v>
      </c>
      <c r="K185" s="40" t="s">
        <v>50</v>
      </c>
      <c r="L185" s="13" t="s">
        <v>51</v>
      </c>
      <c r="M185" s="13" t="s">
        <v>52</v>
      </c>
      <c r="N185" s="13" t="s">
        <v>609</v>
      </c>
      <c r="O185" s="13" t="s">
        <v>54</v>
      </c>
      <c r="P185" s="13" t="s">
        <v>55</v>
      </c>
      <c r="Q185" s="38">
        <v>24695</v>
      </c>
      <c r="R185" s="13" t="s">
        <v>610</v>
      </c>
      <c r="S185" s="41" t="s">
        <v>57</v>
      </c>
      <c r="T185" s="37">
        <v>1200000</v>
      </c>
      <c r="U185" s="38">
        <v>45961</v>
      </c>
      <c r="V185" s="39">
        <v>2025</v>
      </c>
      <c r="W185" s="42">
        <v>45961</v>
      </c>
      <c r="X185" s="41" t="s">
        <v>6</v>
      </c>
      <c r="Y185" s="38"/>
      <c r="Z185" s="50"/>
      <c r="AA185" s="38"/>
      <c r="AB185" s="43">
        <f>IF($AB$1&lt;W185,0,IF($AB$1&gt;Y185,0,T185))</f>
      </c>
      <c r="AC185" s="43">
        <f>IF($AC$2&lt;U185,0,IF(AND($AC$2&gt;U185,$AC$2&lt;Y185),T185,IF(X185="REJET",0,T185-Z185)))</f>
      </c>
      <c r="AD185" s="1"/>
      <c r="AE185" s="23"/>
      <c r="AF185" s="24"/>
      <c r="AG185" s="25"/>
    </row>
    <row x14ac:dyDescent="0.25" r="186" customHeight="1" ht="18.75">
      <c r="A186" s="13" t="s">
        <v>47</v>
      </c>
      <c r="B186" s="37">
        <v>900</v>
      </c>
      <c r="C186" s="13" t="s">
        <v>3</v>
      </c>
      <c r="D186" s="13" t="s">
        <v>48</v>
      </c>
      <c r="E186" s="38">
        <v>45658</v>
      </c>
      <c r="F186" s="38">
        <v>46022</v>
      </c>
      <c r="G186" s="39">
        <v>184</v>
      </c>
      <c r="H186" s="13" t="s">
        <v>611</v>
      </c>
      <c r="I186" s="38">
        <v>23828</v>
      </c>
      <c r="J186" s="38">
        <v>45658</v>
      </c>
      <c r="K186" s="40" t="s">
        <v>50</v>
      </c>
      <c r="L186" s="13" t="s">
        <v>51</v>
      </c>
      <c r="M186" s="13" t="s">
        <v>52</v>
      </c>
      <c r="N186" s="13" t="s">
        <v>612</v>
      </c>
      <c r="O186" s="13" t="s">
        <v>54</v>
      </c>
      <c r="P186" s="13" t="s">
        <v>55</v>
      </c>
      <c r="Q186" s="38">
        <v>23828</v>
      </c>
      <c r="R186" s="13" t="s">
        <v>613</v>
      </c>
      <c r="S186" s="41" t="s">
        <v>57</v>
      </c>
      <c r="T186" s="37">
        <v>1200000</v>
      </c>
      <c r="U186" s="38">
        <v>45962</v>
      </c>
      <c r="V186" s="39">
        <v>2025</v>
      </c>
      <c r="W186" s="42">
        <v>45962</v>
      </c>
      <c r="X186" s="41" t="s">
        <v>58</v>
      </c>
      <c r="Y186" s="38">
        <v>45986</v>
      </c>
      <c r="Z186" s="39">
        <v>0</v>
      </c>
      <c r="AA186" s="38"/>
      <c r="AB186" s="43">
        <f>IF($AB$1&lt;W186,0,IF($AB$1&gt;Y186,0,T186))</f>
      </c>
      <c r="AC186" s="43">
        <f>IF($AC$2&lt;U186,0,IF(AND($AC$2&gt;U186,$AC$2&lt;Y186),T186,IF(X186="REJET",0,T186-Z186)))</f>
      </c>
      <c r="AD186" s="1"/>
      <c r="AE186" s="23"/>
      <c r="AF186" s="24"/>
      <c r="AG186" s="25"/>
    </row>
    <row x14ac:dyDescent="0.25" r="187" customHeight="1" ht="18.75">
      <c r="A187" s="13" t="s">
        <v>47</v>
      </c>
      <c r="B187" s="37">
        <v>900</v>
      </c>
      <c r="C187" s="13" t="s">
        <v>3</v>
      </c>
      <c r="D187" s="13" t="s">
        <v>48</v>
      </c>
      <c r="E187" s="38">
        <v>45658</v>
      </c>
      <c r="F187" s="38">
        <v>46022</v>
      </c>
      <c r="G187" s="39">
        <v>185</v>
      </c>
      <c r="H187" s="13" t="s">
        <v>614</v>
      </c>
      <c r="I187" s="38">
        <v>24631</v>
      </c>
      <c r="J187" s="38">
        <v>45658</v>
      </c>
      <c r="K187" s="40" t="s">
        <v>50</v>
      </c>
      <c r="L187" s="13" t="s">
        <v>51</v>
      </c>
      <c r="M187" s="13" t="s">
        <v>52</v>
      </c>
      <c r="N187" s="13" t="s">
        <v>615</v>
      </c>
      <c r="O187" s="13" t="s">
        <v>54</v>
      </c>
      <c r="P187" s="13" t="s">
        <v>55</v>
      </c>
      <c r="Q187" s="38">
        <v>24631</v>
      </c>
      <c r="R187" s="13" t="s">
        <v>616</v>
      </c>
      <c r="S187" s="41" t="s">
        <v>82</v>
      </c>
      <c r="T187" s="37">
        <v>6000000</v>
      </c>
      <c r="U187" s="38">
        <v>45967</v>
      </c>
      <c r="V187" s="39">
        <v>2025</v>
      </c>
      <c r="W187" s="42">
        <v>45967</v>
      </c>
      <c r="X187" s="41" t="s">
        <v>6</v>
      </c>
      <c r="Y187" s="38"/>
      <c r="Z187" s="50"/>
      <c r="AA187" s="38"/>
      <c r="AB187" s="43">
        <f>IF($AB$1&lt;W187,0,IF($AB$1&gt;Y187,0,T187))</f>
      </c>
      <c r="AC187" s="43">
        <f>IF($AC$2&lt;U187,0,IF(AND($AC$2&gt;U187,$AC$2&lt;Y187),T187,IF(X187="REJET",0,T187-Z187)))</f>
      </c>
      <c r="AD187" s="1"/>
      <c r="AE187" s="23"/>
      <c r="AF187" s="24"/>
      <c r="AG187" s="25"/>
    </row>
    <row x14ac:dyDescent="0.25" r="188" customHeight="1" ht="18.75">
      <c r="A188" s="13" t="s">
        <v>47</v>
      </c>
      <c r="B188" s="37">
        <v>900</v>
      </c>
      <c r="C188" s="13" t="s">
        <v>3</v>
      </c>
      <c r="D188" s="13" t="s">
        <v>48</v>
      </c>
      <c r="E188" s="38">
        <v>45658</v>
      </c>
      <c r="F188" s="38">
        <v>46022</v>
      </c>
      <c r="G188" s="39">
        <v>186</v>
      </c>
      <c r="H188" s="13" t="s">
        <v>617</v>
      </c>
      <c r="I188" s="38">
        <v>26756</v>
      </c>
      <c r="J188" s="38">
        <v>45658</v>
      </c>
      <c r="K188" s="40" t="s">
        <v>50</v>
      </c>
      <c r="L188" s="13" t="s">
        <v>51</v>
      </c>
      <c r="M188" s="13" t="s">
        <v>52</v>
      </c>
      <c r="N188" s="13" t="s">
        <v>618</v>
      </c>
      <c r="O188" s="13" t="s">
        <v>54</v>
      </c>
      <c r="P188" s="13" t="s">
        <v>55</v>
      </c>
      <c r="Q188" s="38">
        <v>26756</v>
      </c>
      <c r="R188" s="13" t="s">
        <v>619</v>
      </c>
      <c r="S188" s="41" t="s">
        <v>57</v>
      </c>
      <c r="T188" s="37">
        <v>1200000</v>
      </c>
      <c r="U188" s="38">
        <v>45971</v>
      </c>
      <c r="V188" s="39">
        <v>2025</v>
      </c>
      <c r="W188" s="42">
        <v>45971</v>
      </c>
      <c r="X188" s="41" t="s">
        <v>6</v>
      </c>
      <c r="Y188" s="38"/>
      <c r="Z188" s="50"/>
      <c r="AA188" s="38"/>
      <c r="AB188" s="43">
        <f>IF($AB$1&lt;W188,0,IF($AB$1&gt;Y188,0,T188))</f>
      </c>
      <c r="AC188" s="43">
        <f>IF($AC$2&lt;U188,0,IF(AND($AC$2&gt;U188,$AC$2&lt;Y188),T188,IF(X188="REJET",0,T188-Z188)))</f>
      </c>
      <c r="AD188" s="1"/>
      <c r="AE188" s="23"/>
      <c r="AF188" s="24"/>
      <c r="AG188" s="25"/>
    </row>
    <row x14ac:dyDescent="0.25" r="189" customHeight="1" ht="18.75">
      <c r="A189" s="13" t="s">
        <v>47</v>
      </c>
      <c r="B189" s="37">
        <v>900</v>
      </c>
      <c r="C189" s="13" t="s">
        <v>3</v>
      </c>
      <c r="D189" s="13" t="s">
        <v>48</v>
      </c>
      <c r="E189" s="38">
        <v>45658</v>
      </c>
      <c r="F189" s="38">
        <v>46022</v>
      </c>
      <c r="G189" s="39">
        <v>187</v>
      </c>
      <c r="H189" s="13" t="s">
        <v>620</v>
      </c>
      <c r="I189" s="38">
        <v>27605</v>
      </c>
      <c r="J189" s="38">
        <v>45658</v>
      </c>
      <c r="K189" s="40" t="s">
        <v>50</v>
      </c>
      <c r="L189" s="13" t="s">
        <v>51</v>
      </c>
      <c r="M189" s="13" t="s">
        <v>52</v>
      </c>
      <c r="N189" s="13" t="s">
        <v>621</v>
      </c>
      <c r="O189" s="13" t="s">
        <v>62</v>
      </c>
      <c r="P189" s="13" t="s">
        <v>63</v>
      </c>
      <c r="Q189" s="38">
        <v>27605</v>
      </c>
      <c r="R189" s="13" t="s">
        <v>622</v>
      </c>
      <c r="S189" s="41" t="s">
        <v>82</v>
      </c>
      <c r="T189" s="37">
        <v>6000000</v>
      </c>
      <c r="U189" s="38">
        <v>45971</v>
      </c>
      <c r="V189" s="39">
        <v>2025</v>
      </c>
      <c r="W189" s="42">
        <v>45965</v>
      </c>
      <c r="X189" s="41" t="s">
        <v>6</v>
      </c>
      <c r="Y189" s="38"/>
      <c r="Z189" s="50"/>
      <c r="AA189" s="38"/>
      <c r="AB189" s="43">
        <f>IF($AB$1&lt;W189,0,IF($AB$1&gt;Y189,0,T189))</f>
      </c>
      <c r="AC189" s="43">
        <f>IF($AC$2&lt;U189,0,IF(AND($AC$2&gt;U189,$AC$2&lt;Y189),T189,IF(X189="REJET",0,T189-Z189)))</f>
      </c>
      <c r="AD189" s="1"/>
      <c r="AE189" s="23"/>
      <c r="AF189" s="24"/>
      <c r="AG189" s="25"/>
    </row>
    <row x14ac:dyDescent="0.25" r="190" customHeight="1" ht="18.75">
      <c r="A190" s="13" t="s">
        <v>47</v>
      </c>
      <c r="B190" s="37">
        <v>900</v>
      </c>
      <c r="C190" s="13" t="s">
        <v>3</v>
      </c>
      <c r="D190" s="13" t="s">
        <v>48</v>
      </c>
      <c r="E190" s="38">
        <v>45658</v>
      </c>
      <c r="F190" s="38">
        <v>46022</v>
      </c>
      <c r="G190" s="39">
        <v>188</v>
      </c>
      <c r="H190" s="13" t="s">
        <v>623</v>
      </c>
      <c r="I190" s="38">
        <v>35518</v>
      </c>
      <c r="J190" s="38">
        <v>45658</v>
      </c>
      <c r="K190" s="40" t="s">
        <v>50</v>
      </c>
      <c r="L190" s="13" t="s">
        <v>51</v>
      </c>
      <c r="M190" s="13" t="s">
        <v>52</v>
      </c>
      <c r="N190" s="13" t="s">
        <v>624</v>
      </c>
      <c r="O190" s="13" t="s">
        <v>62</v>
      </c>
      <c r="P190" s="13" t="s">
        <v>63</v>
      </c>
      <c r="Q190" s="38">
        <v>35518</v>
      </c>
      <c r="R190" s="13" t="s">
        <v>625</v>
      </c>
      <c r="S190" s="41" t="s">
        <v>57</v>
      </c>
      <c r="T190" s="37">
        <v>1200000</v>
      </c>
      <c r="U190" s="38">
        <v>45971</v>
      </c>
      <c r="V190" s="39">
        <v>2025</v>
      </c>
      <c r="W190" s="42">
        <v>45971</v>
      </c>
      <c r="X190" s="41" t="s">
        <v>6</v>
      </c>
      <c r="Y190" s="38"/>
      <c r="Z190" s="50"/>
      <c r="AA190" s="38"/>
      <c r="AB190" s="43">
        <f>IF($AB$1&lt;W190,0,IF($AB$1&gt;Y190,0,T190))</f>
      </c>
      <c r="AC190" s="43">
        <f>IF($AC$2&lt;U190,0,IF(AND($AC$2&gt;U190,$AC$2&lt;Y190),T190,IF(X190="REJET",0,T190-Z190)))</f>
      </c>
      <c r="AD190" s="1"/>
      <c r="AE190" s="23"/>
      <c r="AF190" s="24"/>
      <c r="AG190" s="25"/>
    </row>
    <row x14ac:dyDescent="0.25" r="191" customHeight="1" ht="18.75">
      <c r="A191" s="13" t="s">
        <v>47</v>
      </c>
      <c r="B191" s="37">
        <v>900</v>
      </c>
      <c r="C191" s="13" t="s">
        <v>3</v>
      </c>
      <c r="D191" s="13" t="s">
        <v>48</v>
      </c>
      <c r="E191" s="38">
        <v>45658</v>
      </c>
      <c r="F191" s="38">
        <v>46022</v>
      </c>
      <c r="G191" s="39">
        <v>189</v>
      </c>
      <c r="H191" s="13" t="s">
        <v>626</v>
      </c>
      <c r="I191" s="38">
        <v>26999</v>
      </c>
      <c r="J191" s="38">
        <v>45658</v>
      </c>
      <c r="K191" s="40" t="s">
        <v>50</v>
      </c>
      <c r="L191" s="13" t="s">
        <v>51</v>
      </c>
      <c r="M191" s="13" t="s">
        <v>52</v>
      </c>
      <c r="N191" s="13" t="s">
        <v>627</v>
      </c>
      <c r="O191" s="13" t="s">
        <v>54</v>
      </c>
      <c r="P191" s="13" t="s">
        <v>55</v>
      </c>
      <c r="Q191" s="38">
        <v>26999</v>
      </c>
      <c r="R191" s="13" t="s">
        <v>628</v>
      </c>
      <c r="S191" s="41" t="s">
        <v>629</v>
      </c>
      <c r="T191" s="37">
        <v>6000000</v>
      </c>
      <c r="U191" s="38">
        <v>45972</v>
      </c>
      <c r="V191" s="39">
        <v>2025</v>
      </c>
      <c r="W191" s="42">
        <v>45972</v>
      </c>
      <c r="X191" s="41" t="s">
        <v>6</v>
      </c>
      <c r="Y191" s="38"/>
      <c r="Z191" s="50"/>
      <c r="AA191" s="38"/>
      <c r="AB191" s="43">
        <f>IF($AB$1&lt;W191,0,IF($AB$1&gt;Y191,0,T191))</f>
      </c>
      <c r="AC191" s="43">
        <f>IF($AC$2&lt;U191,0,IF(AND($AC$2&gt;U191,$AC$2&lt;Y191),T191,IF(X191="REJET",0,T191-Z191)))</f>
      </c>
      <c r="AD191" s="1"/>
      <c r="AE191" s="23"/>
      <c r="AF191" s="24"/>
      <c r="AG191" s="25"/>
    </row>
    <row x14ac:dyDescent="0.25" r="192" customHeight="1" ht="18.75">
      <c r="A192" s="13" t="s">
        <v>47</v>
      </c>
      <c r="B192" s="37">
        <v>900</v>
      </c>
      <c r="C192" s="13" t="s">
        <v>3</v>
      </c>
      <c r="D192" s="13" t="s">
        <v>48</v>
      </c>
      <c r="E192" s="38">
        <v>45658</v>
      </c>
      <c r="F192" s="38">
        <v>46022</v>
      </c>
      <c r="G192" s="39">
        <v>190</v>
      </c>
      <c r="H192" s="13" t="s">
        <v>630</v>
      </c>
      <c r="I192" s="38">
        <v>26162</v>
      </c>
      <c r="J192" s="38">
        <v>45658</v>
      </c>
      <c r="K192" s="40" t="s">
        <v>50</v>
      </c>
      <c r="L192" s="13" t="s">
        <v>51</v>
      </c>
      <c r="M192" s="13" t="s">
        <v>52</v>
      </c>
      <c r="N192" s="13" t="s">
        <v>631</v>
      </c>
      <c r="O192" s="13" t="s">
        <v>54</v>
      </c>
      <c r="P192" s="13" t="s">
        <v>55</v>
      </c>
      <c r="Q192" s="38">
        <v>26162</v>
      </c>
      <c r="R192" s="13" t="s">
        <v>632</v>
      </c>
      <c r="S192" s="41" t="s">
        <v>57</v>
      </c>
      <c r="T192" s="37">
        <v>1200000</v>
      </c>
      <c r="U192" s="38">
        <v>45972</v>
      </c>
      <c r="V192" s="39">
        <v>2025</v>
      </c>
      <c r="W192" s="42">
        <v>45972</v>
      </c>
      <c r="X192" s="41" t="s">
        <v>6</v>
      </c>
      <c r="Y192" s="38"/>
      <c r="Z192" s="50"/>
      <c r="AA192" s="38"/>
      <c r="AB192" s="43">
        <f>IF($AB$1&lt;W192,0,IF($AB$1&gt;Y192,0,T192))</f>
      </c>
      <c r="AC192" s="43">
        <f>IF($AC$2&lt;U192,0,IF(AND($AC$2&gt;U192,$AC$2&lt;Y192),T192,IF(X192="REJET",0,T192-Z192)))</f>
      </c>
      <c r="AD192" s="1"/>
      <c r="AE192" s="23"/>
      <c r="AF192" s="24"/>
      <c r="AG192" s="25"/>
    </row>
    <row x14ac:dyDescent="0.25" r="193" customHeight="1" ht="18.75">
      <c r="A193" s="13" t="s">
        <v>47</v>
      </c>
      <c r="B193" s="37">
        <v>900</v>
      </c>
      <c r="C193" s="13" t="s">
        <v>3</v>
      </c>
      <c r="D193" s="13" t="s">
        <v>48</v>
      </c>
      <c r="E193" s="38">
        <v>45658</v>
      </c>
      <c r="F193" s="38">
        <v>46022</v>
      </c>
      <c r="G193" s="39">
        <v>191</v>
      </c>
      <c r="H193" s="13" t="s">
        <v>633</v>
      </c>
      <c r="I193" s="38">
        <v>23214</v>
      </c>
      <c r="J193" s="38">
        <v>45658</v>
      </c>
      <c r="K193" s="40" t="s">
        <v>50</v>
      </c>
      <c r="L193" s="13" t="s">
        <v>51</v>
      </c>
      <c r="M193" s="13" t="s">
        <v>52</v>
      </c>
      <c r="N193" s="13" t="s">
        <v>634</v>
      </c>
      <c r="O193" s="13" t="s">
        <v>54</v>
      </c>
      <c r="P193" s="13" t="s">
        <v>55</v>
      </c>
      <c r="Q193" s="38">
        <v>23214</v>
      </c>
      <c r="R193" s="13" t="s">
        <v>635</v>
      </c>
      <c r="S193" s="41" t="s">
        <v>57</v>
      </c>
      <c r="T193" s="37">
        <v>1200000</v>
      </c>
      <c r="U193" s="38">
        <v>45973</v>
      </c>
      <c r="V193" s="39">
        <v>2025</v>
      </c>
      <c r="W193" s="42">
        <v>45973</v>
      </c>
      <c r="X193" s="41" t="s">
        <v>58</v>
      </c>
      <c r="Y193" s="38">
        <v>45993</v>
      </c>
      <c r="Z193" s="39">
        <v>0</v>
      </c>
      <c r="AA193" s="38"/>
      <c r="AB193" s="43">
        <f>IF($AB$1&lt;W193,0,IF($AB$1&gt;Y193,0,T193))</f>
      </c>
      <c r="AC193" s="43">
        <f>IF($AC$2&lt;U193,0,IF(AND($AC$2&gt;U193,$AC$2&lt;Y193),T193,IF(X193="REJET",0,T193-Z193)))</f>
      </c>
      <c r="AD193" s="1"/>
      <c r="AE193" s="23"/>
      <c r="AF193" s="24"/>
      <c r="AG193" s="25"/>
    </row>
    <row x14ac:dyDescent="0.25" r="194" customHeight="1" ht="18.75">
      <c r="A194" s="13" t="s">
        <v>47</v>
      </c>
      <c r="B194" s="37">
        <v>900</v>
      </c>
      <c r="C194" s="13" t="s">
        <v>3</v>
      </c>
      <c r="D194" s="13" t="s">
        <v>48</v>
      </c>
      <c r="E194" s="38">
        <v>45658</v>
      </c>
      <c r="F194" s="38">
        <v>46022</v>
      </c>
      <c r="G194" s="39">
        <v>192</v>
      </c>
      <c r="H194" s="13" t="s">
        <v>636</v>
      </c>
      <c r="I194" s="38">
        <v>27899</v>
      </c>
      <c r="J194" s="38">
        <v>45658</v>
      </c>
      <c r="K194" s="40" t="s">
        <v>50</v>
      </c>
      <c r="L194" s="13" t="s">
        <v>51</v>
      </c>
      <c r="M194" s="13" t="s">
        <v>52</v>
      </c>
      <c r="N194" s="13" t="s">
        <v>637</v>
      </c>
      <c r="O194" s="13" t="s">
        <v>54</v>
      </c>
      <c r="P194" s="13" t="s">
        <v>55</v>
      </c>
      <c r="Q194" s="38">
        <v>27899</v>
      </c>
      <c r="R194" s="13" t="s">
        <v>638</v>
      </c>
      <c r="S194" s="41" t="s">
        <v>57</v>
      </c>
      <c r="T194" s="37">
        <v>1200000</v>
      </c>
      <c r="U194" s="38">
        <v>45974</v>
      </c>
      <c r="V194" s="39">
        <v>2025</v>
      </c>
      <c r="W194" s="42">
        <v>45974</v>
      </c>
      <c r="X194" s="41" t="s">
        <v>6</v>
      </c>
      <c r="Y194" s="38"/>
      <c r="Z194" s="50"/>
      <c r="AA194" s="38"/>
      <c r="AB194" s="43">
        <f>IF($AB$1&lt;W194,0,IF($AB$1&gt;Y194,0,T194))</f>
      </c>
      <c r="AC194" s="43">
        <f>IF($AC$2&lt;U194,0,IF(AND($AC$2&gt;U194,$AC$2&lt;Y194),T194,IF(X194="REJET",0,T194-Z194)))</f>
      </c>
      <c r="AD194" s="1"/>
      <c r="AE194" s="23"/>
      <c r="AF194" s="24"/>
      <c r="AG194" s="25"/>
    </row>
    <row x14ac:dyDescent="0.25" r="195" customHeight="1" ht="18.75">
      <c r="A195" s="13" t="s">
        <v>47</v>
      </c>
      <c r="B195" s="37">
        <v>900</v>
      </c>
      <c r="C195" s="13" t="s">
        <v>3</v>
      </c>
      <c r="D195" s="13" t="s">
        <v>48</v>
      </c>
      <c r="E195" s="38">
        <v>45658</v>
      </c>
      <c r="F195" s="38">
        <v>46022</v>
      </c>
      <c r="G195" s="39">
        <v>193</v>
      </c>
      <c r="H195" s="13" t="s">
        <v>639</v>
      </c>
      <c r="I195" s="38">
        <v>24990</v>
      </c>
      <c r="J195" s="38">
        <v>45658</v>
      </c>
      <c r="K195" s="40" t="s">
        <v>50</v>
      </c>
      <c r="L195" s="13" t="s">
        <v>51</v>
      </c>
      <c r="M195" s="13" t="s">
        <v>52</v>
      </c>
      <c r="N195" s="13" t="s">
        <v>640</v>
      </c>
      <c r="O195" s="13" t="s">
        <v>54</v>
      </c>
      <c r="P195" s="13" t="s">
        <v>55</v>
      </c>
      <c r="Q195" s="38">
        <v>24990</v>
      </c>
      <c r="R195" s="13" t="s">
        <v>641</v>
      </c>
      <c r="S195" s="41" t="s">
        <v>82</v>
      </c>
      <c r="T195" s="37">
        <v>6000000</v>
      </c>
      <c r="U195" s="38">
        <v>45978</v>
      </c>
      <c r="V195" s="39">
        <v>2025</v>
      </c>
      <c r="W195" s="42">
        <v>45975</v>
      </c>
      <c r="X195" s="41" t="s">
        <v>6</v>
      </c>
      <c r="Y195" s="38"/>
      <c r="Z195" s="50"/>
      <c r="AA195" s="38"/>
      <c r="AB195" s="43">
        <f>IF($AB$1&lt;W195,0,IF($AB$1&gt;Y195,0,T195))</f>
      </c>
      <c r="AC195" s="43">
        <f>IF($AC$2&lt;U195,0,IF(AND($AC$2&gt;U195,$AC$2&lt;Y195),T195,IF(X195="REJET",0,T195-Z195)))</f>
      </c>
      <c r="AD195" s="1"/>
      <c r="AE195" s="23"/>
      <c r="AF195" s="24"/>
      <c r="AG195" s="25"/>
    </row>
    <row x14ac:dyDescent="0.25" r="196" customHeight="1" ht="18.75">
      <c r="A196" s="13" t="s">
        <v>47</v>
      </c>
      <c r="B196" s="37">
        <v>900</v>
      </c>
      <c r="C196" s="13" t="s">
        <v>3</v>
      </c>
      <c r="D196" s="13" t="s">
        <v>48</v>
      </c>
      <c r="E196" s="38">
        <v>45658</v>
      </c>
      <c r="F196" s="38">
        <v>46022</v>
      </c>
      <c r="G196" s="39">
        <v>194</v>
      </c>
      <c r="H196" s="13" t="s">
        <v>642</v>
      </c>
      <c r="I196" s="38">
        <v>25548</v>
      </c>
      <c r="J196" s="38">
        <v>45658</v>
      </c>
      <c r="K196" s="40" t="s">
        <v>50</v>
      </c>
      <c r="L196" s="13" t="s">
        <v>51</v>
      </c>
      <c r="M196" s="13" t="s">
        <v>52</v>
      </c>
      <c r="N196" s="13" t="s">
        <v>643</v>
      </c>
      <c r="O196" s="13" t="s">
        <v>54</v>
      </c>
      <c r="P196" s="13" t="s">
        <v>55</v>
      </c>
      <c r="Q196" s="38">
        <v>25548</v>
      </c>
      <c r="R196" s="13" t="s">
        <v>644</v>
      </c>
      <c r="S196" s="41" t="s">
        <v>82</v>
      </c>
      <c r="T196" s="37">
        <v>6000000</v>
      </c>
      <c r="U196" s="38">
        <v>45978</v>
      </c>
      <c r="V196" s="39">
        <v>2025</v>
      </c>
      <c r="W196" s="42">
        <v>45978</v>
      </c>
      <c r="X196" s="41" t="s">
        <v>6</v>
      </c>
      <c r="Y196" s="38"/>
      <c r="Z196" s="50"/>
      <c r="AA196" s="38"/>
      <c r="AB196" s="43">
        <f>IF($AB$1&lt;W196,0,IF($AB$1&gt;Y196,0,T196))</f>
      </c>
      <c r="AC196" s="43">
        <f>IF($AC$2&lt;U196,0,IF(AND($AC$2&gt;U196,$AC$2&lt;Y196),T196,IF(X196="REJET",0,T196-Z196)))</f>
      </c>
      <c r="AD196" s="1"/>
      <c r="AE196" s="23"/>
      <c r="AF196" s="24"/>
      <c r="AG196" s="25"/>
    </row>
    <row x14ac:dyDescent="0.25" r="197" customHeight="1" ht="18.75">
      <c r="A197" s="13" t="s">
        <v>47</v>
      </c>
      <c r="B197" s="37">
        <v>900</v>
      </c>
      <c r="C197" s="13" t="s">
        <v>3</v>
      </c>
      <c r="D197" s="13" t="s">
        <v>48</v>
      </c>
      <c r="E197" s="38">
        <v>45658</v>
      </c>
      <c r="F197" s="38">
        <v>46022</v>
      </c>
      <c r="G197" s="39">
        <v>195</v>
      </c>
      <c r="H197" s="13" t="s">
        <v>645</v>
      </c>
      <c r="I197" s="38">
        <v>26578</v>
      </c>
      <c r="J197" s="38">
        <v>45658</v>
      </c>
      <c r="K197" s="40" t="s">
        <v>50</v>
      </c>
      <c r="L197" s="13" t="s">
        <v>51</v>
      </c>
      <c r="M197" s="13" t="s">
        <v>52</v>
      </c>
      <c r="N197" s="13" t="s">
        <v>646</v>
      </c>
      <c r="O197" s="13" t="s">
        <v>54</v>
      </c>
      <c r="P197" s="13" t="s">
        <v>55</v>
      </c>
      <c r="Q197" s="38">
        <v>26578</v>
      </c>
      <c r="R197" s="13" t="s">
        <v>647</v>
      </c>
      <c r="S197" s="41" t="s">
        <v>57</v>
      </c>
      <c r="T197" s="37">
        <v>1200000</v>
      </c>
      <c r="U197" s="38">
        <v>45979</v>
      </c>
      <c r="V197" s="39">
        <v>2025</v>
      </c>
      <c r="W197" s="42">
        <v>45979</v>
      </c>
      <c r="X197" s="41" t="s">
        <v>6</v>
      </c>
      <c r="Y197" s="38"/>
      <c r="Z197" s="50"/>
      <c r="AA197" s="38"/>
      <c r="AB197" s="43">
        <f>IF($AB$1&lt;W197,0,IF($AB$1&gt;Y197,0,T197))</f>
      </c>
      <c r="AC197" s="43">
        <f>IF($AC$2&lt;U197,0,IF(AND($AC$2&gt;U197,$AC$2&lt;Y197),T197,IF(X197="REJET",0,T197-Z197)))</f>
      </c>
      <c r="AD197" s="1"/>
      <c r="AE197" s="23"/>
      <c r="AF197" s="24"/>
      <c r="AG197" s="25"/>
    </row>
    <row x14ac:dyDescent="0.25" r="198" customHeight="1" ht="18.75">
      <c r="A198" s="13" t="s">
        <v>47</v>
      </c>
      <c r="B198" s="37">
        <v>900</v>
      </c>
      <c r="C198" s="13" t="s">
        <v>3</v>
      </c>
      <c r="D198" s="13" t="s">
        <v>48</v>
      </c>
      <c r="E198" s="38">
        <v>45658</v>
      </c>
      <c r="F198" s="38">
        <v>46022</v>
      </c>
      <c r="G198" s="39">
        <v>196</v>
      </c>
      <c r="H198" s="13" t="s">
        <v>648</v>
      </c>
      <c r="I198" s="38">
        <v>24502</v>
      </c>
      <c r="J198" s="38">
        <v>45658</v>
      </c>
      <c r="K198" s="40" t="s">
        <v>50</v>
      </c>
      <c r="L198" s="13" t="s">
        <v>51</v>
      </c>
      <c r="M198" s="13" t="s">
        <v>52</v>
      </c>
      <c r="N198" s="13" t="s">
        <v>649</v>
      </c>
      <c r="O198" s="13" t="s">
        <v>54</v>
      </c>
      <c r="P198" s="13" t="s">
        <v>55</v>
      </c>
      <c r="Q198" s="38">
        <v>24502</v>
      </c>
      <c r="R198" s="13" t="s">
        <v>650</v>
      </c>
      <c r="S198" s="41" t="s">
        <v>57</v>
      </c>
      <c r="T198" s="37">
        <v>1200000</v>
      </c>
      <c r="U198" s="38">
        <v>45980</v>
      </c>
      <c r="V198" s="39">
        <v>2025</v>
      </c>
      <c r="W198" s="42">
        <v>45980</v>
      </c>
      <c r="X198" s="41" t="s">
        <v>6</v>
      </c>
      <c r="Y198" s="38"/>
      <c r="Z198" s="50"/>
      <c r="AA198" s="38"/>
      <c r="AB198" s="43">
        <f>IF($AB$1&lt;W198,0,IF($AB$1&gt;Y198,0,T198))</f>
      </c>
      <c r="AC198" s="43">
        <f>IF($AC$2&lt;U198,0,IF(AND($AC$2&gt;U198,$AC$2&lt;Y198),T198,IF(X198="REJET",0,T198-Z198)))</f>
      </c>
      <c r="AD198" s="1"/>
      <c r="AE198" s="23"/>
      <c r="AF198" s="24"/>
      <c r="AG198" s="25"/>
    </row>
    <row x14ac:dyDescent="0.25" r="199" customHeight="1" ht="18.75">
      <c r="A199" s="13" t="s">
        <v>47</v>
      </c>
      <c r="B199" s="37">
        <v>900</v>
      </c>
      <c r="C199" s="13" t="s">
        <v>3</v>
      </c>
      <c r="D199" s="13" t="s">
        <v>48</v>
      </c>
      <c r="E199" s="38">
        <v>45658</v>
      </c>
      <c r="F199" s="38">
        <v>46022</v>
      </c>
      <c r="G199" s="39">
        <v>197</v>
      </c>
      <c r="H199" s="13" t="s">
        <v>651</v>
      </c>
      <c r="I199" s="38">
        <v>27598</v>
      </c>
      <c r="J199" s="38">
        <v>45658</v>
      </c>
      <c r="K199" s="40" t="s">
        <v>50</v>
      </c>
      <c r="L199" s="13" t="s">
        <v>51</v>
      </c>
      <c r="M199" s="13" t="s">
        <v>52</v>
      </c>
      <c r="N199" s="13" t="s">
        <v>652</v>
      </c>
      <c r="O199" s="13" t="s">
        <v>54</v>
      </c>
      <c r="P199" s="13" t="s">
        <v>55</v>
      </c>
      <c r="Q199" s="38">
        <v>27598</v>
      </c>
      <c r="R199" s="13" t="s">
        <v>653</v>
      </c>
      <c r="S199" s="41" t="s">
        <v>82</v>
      </c>
      <c r="T199" s="37">
        <v>6000000</v>
      </c>
      <c r="U199" s="38">
        <v>45980</v>
      </c>
      <c r="V199" s="39">
        <v>2025</v>
      </c>
      <c r="W199" s="42">
        <v>45979</v>
      </c>
      <c r="X199" s="41" t="s">
        <v>6</v>
      </c>
      <c r="Y199" s="38"/>
      <c r="Z199" s="50"/>
      <c r="AA199" s="38"/>
      <c r="AB199" s="43">
        <f>IF($AB$1&lt;W199,0,IF($AB$1&gt;Y199,0,T199))</f>
      </c>
      <c r="AC199" s="43">
        <f>IF($AC$2&lt;U199,0,IF(AND($AC$2&gt;U199,$AC$2&lt;Y199),T199,IF(X199="REJET",0,T199-Z199)))</f>
      </c>
      <c r="AD199" s="1"/>
      <c r="AE199" s="23"/>
      <c r="AF199" s="24"/>
      <c r="AG199" s="25"/>
    </row>
    <row x14ac:dyDescent="0.25" r="200" customHeight="1" ht="18.75">
      <c r="A200" s="13" t="s">
        <v>47</v>
      </c>
      <c r="B200" s="37">
        <v>900</v>
      </c>
      <c r="C200" s="13" t="s">
        <v>3</v>
      </c>
      <c r="D200" s="13" t="s">
        <v>48</v>
      </c>
      <c r="E200" s="38">
        <v>45658</v>
      </c>
      <c r="F200" s="38">
        <v>46022</v>
      </c>
      <c r="G200" s="39">
        <v>198</v>
      </c>
      <c r="H200" s="13" t="s">
        <v>654</v>
      </c>
      <c r="I200" s="38">
        <v>30933</v>
      </c>
      <c r="J200" s="38">
        <v>45658</v>
      </c>
      <c r="K200" s="40" t="s">
        <v>50</v>
      </c>
      <c r="L200" s="13" t="s">
        <v>51</v>
      </c>
      <c r="M200" s="13" t="s">
        <v>52</v>
      </c>
      <c r="N200" s="13" t="s">
        <v>655</v>
      </c>
      <c r="O200" s="13" t="s">
        <v>54</v>
      </c>
      <c r="P200" s="13" t="s">
        <v>55</v>
      </c>
      <c r="Q200" s="38">
        <v>30933</v>
      </c>
      <c r="R200" s="13" t="s">
        <v>656</v>
      </c>
      <c r="S200" s="41" t="s">
        <v>57</v>
      </c>
      <c r="T200" s="37">
        <v>1200000</v>
      </c>
      <c r="U200" s="38">
        <v>45980</v>
      </c>
      <c r="V200" s="39">
        <v>2025</v>
      </c>
      <c r="W200" s="42">
        <v>45980</v>
      </c>
      <c r="X200" s="41" t="s">
        <v>6</v>
      </c>
      <c r="Y200" s="38"/>
      <c r="Z200" s="50"/>
      <c r="AA200" s="38"/>
      <c r="AB200" s="43">
        <f>IF($AB$1&lt;W200,0,IF($AB$1&gt;Y200,0,T200))</f>
      </c>
      <c r="AC200" s="43">
        <f>IF($AC$2&lt;U200,0,IF(AND($AC$2&gt;U200,$AC$2&lt;Y200),T200,IF(X200="REJET",0,T200-Z200)))</f>
      </c>
      <c r="AD200" s="1"/>
      <c r="AE200" s="23"/>
      <c r="AF200" s="24"/>
      <c r="AG200" s="25"/>
    </row>
    <row x14ac:dyDescent="0.25" r="201" customHeight="1" ht="18.75">
      <c r="A201" s="13" t="s">
        <v>47</v>
      </c>
      <c r="B201" s="37">
        <v>900</v>
      </c>
      <c r="C201" s="13" t="s">
        <v>3</v>
      </c>
      <c r="D201" s="13" t="s">
        <v>48</v>
      </c>
      <c r="E201" s="38">
        <v>45658</v>
      </c>
      <c r="F201" s="38">
        <v>46022</v>
      </c>
      <c r="G201" s="39">
        <v>199</v>
      </c>
      <c r="H201" s="13" t="s">
        <v>657</v>
      </c>
      <c r="I201" s="38">
        <v>30918</v>
      </c>
      <c r="J201" s="38">
        <v>45658</v>
      </c>
      <c r="K201" s="40" t="s">
        <v>50</v>
      </c>
      <c r="L201" s="13" t="s">
        <v>51</v>
      </c>
      <c r="M201" s="13" t="s">
        <v>52</v>
      </c>
      <c r="N201" s="13" t="s">
        <v>658</v>
      </c>
      <c r="O201" s="13" t="s">
        <v>54</v>
      </c>
      <c r="P201" s="13" t="s">
        <v>55</v>
      </c>
      <c r="Q201" s="38">
        <v>30918</v>
      </c>
      <c r="R201" s="13" t="s">
        <v>659</v>
      </c>
      <c r="S201" s="41" t="s">
        <v>82</v>
      </c>
      <c r="T201" s="37">
        <v>6000000</v>
      </c>
      <c r="U201" s="38">
        <v>45981</v>
      </c>
      <c r="V201" s="39">
        <v>2025</v>
      </c>
      <c r="W201" s="42">
        <v>45980</v>
      </c>
      <c r="X201" s="41" t="s">
        <v>6</v>
      </c>
      <c r="Y201" s="38"/>
      <c r="Z201" s="50"/>
      <c r="AA201" s="38"/>
      <c r="AB201" s="43">
        <f>IF($AB$1&lt;W201,0,IF($AB$1&gt;Y201,0,T201))</f>
      </c>
      <c r="AC201" s="43">
        <f>IF($AC$2&lt;U201,0,IF(AND($AC$2&gt;U201,$AC$2&lt;Y201),T201,IF(X201="REJET",0,T201-Z201)))</f>
      </c>
      <c r="AD201" s="1"/>
      <c r="AE201" s="23"/>
      <c r="AF201" s="24"/>
      <c r="AG201" s="25"/>
    </row>
    <row x14ac:dyDescent="0.25" r="202" customHeight="1" ht="18.75">
      <c r="A202" s="13" t="s">
        <v>47</v>
      </c>
      <c r="B202" s="37">
        <v>900</v>
      </c>
      <c r="C202" s="13" t="s">
        <v>3</v>
      </c>
      <c r="D202" s="13" t="s">
        <v>48</v>
      </c>
      <c r="E202" s="38">
        <v>45658</v>
      </c>
      <c r="F202" s="38">
        <v>46022</v>
      </c>
      <c r="G202" s="39">
        <v>200</v>
      </c>
      <c r="H202" s="13" t="s">
        <v>660</v>
      </c>
      <c r="I202" s="38">
        <v>28871</v>
      </c>
      <c r="J202" s="38">
        <v>45658</v>
      </c>
      <c r="K202" s="40" t="s">
        <v>50</v>
      </c>
      <c r="L202" s="13" t="s">
        <v>51</v>
      </c>
      <c r="M202" s="13" t="s">
        <v>52</v>
      </c>
      <c r="N202" s="13" t="s">
        <v>661</v>
      </c>
      <c r="O202" s="13" t="s">
        <v>62</v>
      </c>
      <c r="P202" s="13" t="s">
        <v>63</v>
      </c>
      <c r="Q202" s="38">
        <v>28871</v>
      </c>
      <c r="R202" s="13" t="s">
        <v>662</v>
      </c>
      <c r="S202" s="41" t="s">
        <v>57</v>
      </c>
      <c r="T202" s="37">
        <v>1200000</v>
      </c>
      <c r="U202" s="38">
        <v>45981</v>
      </c>
      <c r="V202" s="39">
        <v>2025</v>
      </c>
      <c r="W202" s="42">
        <v>45981</v>
      </c>
      <c r="X202" s="41" t="s">
        <v>6</v>
      </c>
      <c r="Y202" s="38"/>
      <c r="Z202" s="50"/>
      <c r="AA202" s="38"/>
      <c r="AB202" s="43">
        <f>IF($AB$1&lt;W202,0,IF($AB$1&gt;Y202,0,T202))</f>
      </c>
      <c r="AC202" s="43">
        <f>IF($AC$2&lt;U202,0,IF(AND($AC$2&gt;U202,$AC$2&lt;Y202),T202,IF(X202="REJET",0,T202-Z202)))</f>
      </c>
      <c r="AD202" s="1"/>
      <c r="AE202" s="23"/>
      <c r="AF202" s="24"/>
      <c r="AG202" s="25"/>
    </row>
    <row x14ac:dyDescent="0.25" r="203" customHeight="1" ht="18.75">
      <c r="A203" s="13" t="s">
        <v>47</v>
      </c>
      <c r="B203" s="37">
        <v>900</v>
      </c>
      <c r="C203" s="13" t="s">
        <v>3</v>
      </c>
      <c r="D203" s="13" t="s">
        <v>48</v>
      </c>
      <c r="E203" s="38">
        <v>45658</v>
      </c>
      <c r="F203" s="38">
        <v>46022</v>
      </c>
      <c r="G203" s="39">
        <v>201</v>
      </c>
      <c r="H203" s="13" t="s">
        <v>663</v>
      </c>
      <c r="I203" s="38">
        <v>30318</v>
      </c>
      <c r="J203" s="38">
        <v>45658</v>
      </c>
      <c r="K203" s="40" t="s">
        <v>50</v>
      </c>
      <c r="L203" s="13" t="s">
        <v>51</v>
      </c>
      <c r="M203" s="13" t="s">
        <v>52</v>
      </c>
      <c r="N203" s="13" t="s">
        <v>664</v>
      </c>
      <c r="O203" s="13" t="s">
        <v>54</v>
      </c>
      <c r="P203" s="13" t="s">
        <v>55</v>
      </c>
      <c r="Q203" s="38">
        <v>30318</v>
      </c>
      <c r="R203" s="13" t="s">
        <v>665</v>
      </c>
      <c r="S203" s="41" t="s">
        <v>57</v>
      </c>
      <c r="T203" s="37">
        <v>1200000</v>
      </c>
      <c r="U203" s="38">
        <v>45981</v>
      </c>
      <c r="V203" s="39">
        <v>2025</v>
      </c>
      <c r="W203" s="42">
        <v>45981</v>
      </c>
      <c r="X203" s="41" t="s">
        <v>6</v>
      </c>
      <c r="Y203" s="38"/>
      <c r="Z203" s="50"/>
      <c r="AA203" s="38"/>
      <c r="AB203" s="43">
        <f>IF($AB$1&lt;W203,0,IF($AB$1&gt;Y203,0,T203))</f>
      </c>
      <c r="AC203" s="43">
        <f>IF($AC$2&lt;U203,0,IF(AND($AC$2&gt;U203,$AC$2&lt;Y203),T203,IF(X203="REJET",0,T203-Z203)))</f>
      </c>
      <c r="AD203" s="1"/>
      <c r="AE203" s="23"/>
      <c r="AF203" s="24"/>
      <c r="AG203" s="25"/>
    </row>
    <row x14ac:dyDescent="0.25" r="204" customHeight="1" ht="18.75">
      <c r="A204" s="13" t="s">
        <v>47</v>
      </c>
      <c r="B204" s="37">
        <v>900</v>
      </c>
      <c r="C204" s="13" t="s">
        <v>3</v>
      </c>
      <c r="D204" s="13" t="s">
        <v>48</v>
      </c>
      <c r="E204" s="38">
        <v>45658</v>
      </c>
      <c r="F204" s="38">
        <v>46022</v>
      </c>
      <c r="G204" s="39">
        <v>202</v>
      </c>
      <c r="H204" s="13" t="s">
        <v>666</v>
      </c>
      <c r="I204" s="38">
        <v>32138</v>
      </c>
      <c r="J204" s="38">
        <v>45658</v>
      </c>
      <c r="K204" s="40" t="s">
        <v>50</v>
      </c>
      <c r="L204" s="13" t="s">
        <v>51</v>
      </c>
      <c r="M204" s="13" t="s">
        <v>52</v>
      </c>
      <c r="N204" s="13" t="s">
        <v>667</v>
      </c>
      <c r="O204" s="13" t="s">
        <v>54</v>
      </c>
      <c r="P204" s="13" t="s">
        <v>55</v>
      </c>
      <c r="Q204" s="38">
        <v>32138</v>
      </c>
      <c r="R204" s="13" t="s">
        <v>668</v>
      </c>
      <c r="S204" s="41" t="s">
        <v>57</v>
      </c>
      <c r="T204" s="37">
        <v>1200000</v>
      </c>
      <c r="U204" s="38">
        <v>45981</v>
      </c>
      <c r="V204" s="39">
        <v>2025</v>
      </c>
      <c r="W204" s="42">
        <v>45964</v>
      </c>
      <c r="X204" s="41" t="s">
        <v>58</v>
      </c>
      <c r="Y204" s="38">
        <v>45983</v>
      </c>
      <c r="Z204" s="39">
        <v>0</v>
      </c>
      <c r="AA204" s="38"/>
      <c r="AB204" s="43">
        <f>IF($AB$1&lt;W204,0,IF($AB$1&gt;Y204,0,T204))</f>
      </c>
      <c r="AC204" s="43">
        <f>IF($AC$2&lt;U204,0,IF(AND($AC$2&gt;U204,$AC$2&lt;Y204),T204,IF(X204="REJET",0,T204-Z204)))</f>
      </c>
      <c r="AD204" s="1"/>
      <c r="AE204" s="23"/>
      <c r="AF204" s="24"/>
      <c r="AG204" s="25"/>
    </row>
    <row x14ac:dyDescent="0.25" r="205" customHeight="1" ht="18.75">
      <c r="A205" s="13" t="s">
        <v>47</v>
      </c>
      <c r="B205" s="37">
        <v>900</v>
      </c>
      <c r="C205" s="13" t="s">
        <v>3</v>
      </c>
      <c r="D205" s="13" t="s">
        <v>48</v>
      </c>
      <c r="E205" s="38">
        <v>45658</v>
      </c>
      <c r="F205" s="38">
        <v>46022</v>
      </c>
      <c r="G205" s="39">
        <v>203</v>
      </c>
      <c r="H205" s="13" t="s">
        <v>669</v>
      </c>
      <c r="I205" s="38">
        <v>32138</v>
      </c>
      <c r="J205" s="38">
        <v>45658</v>
      </c>
      <c r="K205" s="40" t="s">
        <v>50</v>
      </c>
      <c r="L205" s="13" t="s">
        <v>51</v>
      </c>
      <c r="M205" s="13" t="s">
        <v>52</v>
      </c>
      <c r="N205" s="13" t="s">
        <v>670</v>
      </c>
      <c r="O205" s="13" t="s">
        <v>54</v>
      </c>
      <c r="P205" s="13" t="s">
        <v>55</v>
      </c>
      <c r="Q205" s="38">
        <v>32138</v>
      </c>
      <c r="R205" s="13" t="s">
        <v>671</v>
      </c>
      <c r="S205" s="41" t="s">
        <v>82</v>
      </c>
      <c r="T205" s="37">
        <v>6000000</v>
      </c>
      <c r="U205" s="38">
        <v>45983</v>
      </c>
      <c r="V205" s="39">
        <v>2025</v>
      </c>
      <c r="W205" s="42">
        <v>45983</v>
      </c>
      <c r="X205" s="41" t="s">
        <v>6</v>
      </c>
      <c r="Y205" s="38"/>
      <c r="Z205" s="50"/>
      <c r="AA205" s="38"/>
      <c r="AB205" s="43">
        <f>IF($AB$1&lt;W205,0,IF($AB$1&gt;Y205,0,T205))</f>
      </c>
      <c r="AC205" s="43">
        <f>IF($AC$2&lt;U205,0,IF(AND($AC$2&gt;U205,$AC$2&lt;Y205),T205,IF(X205="REJET",0,T205-Z205)))</f>
      </c>
      <c r="AD205" s="1"/>
      <c r="AE205" s="23"/>
      <c r="AF205" s="24"/>
      <c r="AG205" s="25"/>
    </row>
    <row x14ac:dyDescent="0.25" r="206" customHeight="1" ht="18.75">
      <c r="A206" s="13" t="s">
        <v>47</v>
      </c>
      <c r="B206" s="37">
        <v>900</v>
      </c>
      <c r="C206" s="13" t="s">
        <v>3</v>
      </c>
      <c r="D206" s="13" t="s">
        <v>48</v>
      </c>
      <c r="E206" s="38">
        <v>45658</v>
      </c>
      <c r="F206" s="38">
        <v>46022</v>
      </c>
      <c r="G206" s="39">
        <v>204</v>
      </c>
      <c r="H206" s="13" t="s">
        <v>672</v>
      </c>
      <c r="I206" s="38">
        <v>26984</v>
      </c>
      <c r="J206" s="38">
        <v>45658</v>
      </c>
      <c r="K206" s="40" t="s">
        <v>50</v>
      </c>
      <c r="L206" s="13" t="s">
        <v>51</v>
      </c>
      <c r="M206" s="13" t="s">
        <v>52</v>
      </c>
      <c r="N206" s="13" t="s">
        <v>673</v>
      </c>
      <c r="O206" s="13" t="s">
        <v>54</v>
      </c>
      <c r="P206" s="13" t="s">
        <v>55</v>
      </c>
      <c r="Q206" s="38">
        <v>26984</v>
      </c>
      <c r="R206" s="13" t="s">
        <v>674</v>
      </c>
      <c r="S206" s="41" t="s">
        <v>82</v>
      </c>
      <c r="T206" s="37">
        <v>6000000</v>
      </c>
      <c r="U206" s="38">
        <v>45984</v>
      </c>
      <c r="V206" s="39">
        <v>2025</v>
      </c>
      <c r="W206" s="42">
        <v>45982</v>
      </c>
      <c r="X206" s="41" t="s">
        <v>6</v>
      </c>
      <c r="Y206" s="38"/>
      <c r="Z206" s="50"/>
      <c r="AA206" s="38"/>
      <c r="AB206" s="43">
        <f>IF($AB$1&lt;W206,0,IF($AB$1&gt;Y206,0,T206))</f>
      </c>
      <c r="AC206" s="43">
        <f>IF($AC$2&lt;U206,0,IF(AND($AC$2&gt;U206,$AC$2&lt;Y206),T206,IF(X206="REJET",0,T206-Z206)))</f>
      </c>
      <c r="AD206" s="1"/>
      <c r="AE206" s="23"/>
      <c r="AF206" s="24"/>
      <c r="AG206" s="25"/>
    </row>
    <row x14ac:dyDescent="0.25" r="207" customHeight="1" ht="18.75">
      <c r="A207" s="13" t="s">
        <v>47</v>
      </c>
      <c r="B207" s="37">
        <v>900</v>
      </c>
      <c r="C207" s="13" t="s">
        <v>3</v>
      </c>
      <c r="D207" s="13" t="s">
        <v>48</v>
      </c>
      <c r="E207" s="38">
        <v>45658</v>
      </c>
      <c r="F207" s="38">
        <v>46022</v>
      </c>
      <c r="G207" s="39">
        <v>205</v>
      </c>
      <c r="H207" s="13" t="s">
        <v>675</v>
      </c>
      <c r="I207" s="38">
        <v>22794</v>
      </c>
      <c r="J207" s="38">
        <v>45658</v>
      </c>
      <c r="K207" s="40" t="s">
        <v>50</v>
      </c>
      <c r="L207" s="13" t="s">
        <v>51</v>
      </c>
      <c r="M207" s="13" t="s">
        <v>52</v>
      </c>
      <c r="N207" s="13" t="s">
        <v>676</v>
      </c>
      <c r="O207" s="13" t="s">
        <v>54</v>
      </c>
      <c r="P207" s="13" t="s">
        <v>55</v>
      </c>
      <c r="Q207" s="38">
        <v>22794</v>
      </c>
      <c r="R207" s="13" t="s">
        <v>677</v>
      </c>
      <c r="S207" s="41" t="s">
        <v>82</v>
      </c>
      <c r="T207" s="37">
        <v>6000000</v>
      </c>
      <c r="U207" s="38">
        <v>45984</v>
      </c>
      <c r="V207" s="39">
        <v>2025</v>
      </c>
      <c r="W207" s="42">
        <v>45982</v>
      </c>
      <c r="X207" s="41" t="s">
        <v>6</v>
      </c>
      <c r="Y207" s="38"/>
      <c r="Z207" s="50"/>
      <c r="AA207" s="38"/>
      <c r="AB207" s="43">
        <f>IF($AB$1&lt;W207,0,IF($AB$1&gt;Y207,0,T207))</f>
      </c>
      <c r="AC207" s="43">
        <f>IF($AC$2&lt;U207,0,IF(AND($AC$2&gt;U207,$AC$2&lt;Y207),T207,IF(X207="REJET",0,T207-Z207)))</f>
      </c>
      <c r="AD207" s="1"/>
      <c r="AE207" s="23"/>
      <c r="AF207" s="24"/>
      <c r="AG207" s="25"/>
    </row>
    <row x14ac:dyDescent="0.25" r="208" customHeight="1" ht="18.75">
      <c r="A208" s="13" t="s">
        <v>47</v>
      </c>
      <c r="B208" s="37">
        <v>900</v>
      </c>
      <c r="C208" s="13" t="s">
        <v>3</v>
      </c>
      <c r="D208" s="13" t="s">
        <v>48</v>
      </c>
      <c r="E208" s="38">
        <v>45658</v>
      </c>
      <c r="F208" s="38">
        <v>46022</v>
      </c>
      <c r="G208" s="39">
        <v>206</v>
      </c>
      <c r="H208" s="13" t="s">
        <v>678</v>
      </c>
      <c r="I208" s="38">
        <v>33503</v>
      </c>
      <c r="J208" s="38">
        <v>45658</v>
      </c>
      <c r="K208" s="40" t="s">
        <v>50</v>
      </c>
      <c r="L208" s="13" t="s">
        <v>51</v>
      </c>
      <c r="M208" s="13" t="s">
        <v>52</v>
      </c>
      <c r="N208" s="13" t="s">
        <v>679</v>
      </c>
      <c r="O208" s="13" t="s">
        <v>54</v>
      </c>
      <c r="P208" s="13" t="s">
        <v>55</v>
      </c>
      <c r="Q208" s="38">
        <v>33503</v>
      </c>
      <c r="R208" s="13" t="s">
        <v>680</v>
      </c>
      <c r="S208" s="41" t="s">
        <v>82</v>
      </c>
      <c r="T208" s="37">
        <v>6000000</v>
      </c>
      <c r="U208" s="38">
        <v>45988</v>
      </c>
      <c r="V208" s="39">
        <v>2025</v>
      </c>
      <c r="W208" s="42">
        <v>45969</v>
      </c>
      <c r="X208" s="41" t="s">
        <v>6</v>
      </c>
      <c r="Y208" s="38"/>
      <c r="Z208" s="50"/>
      <c r="AA208" s="38"/>
      <c r="AB208" s="43">
        <f>IF($AB$1&lt;W208,0,IF($AB$1&gt;Y208,0,T208))</f>
      </c>
      <c r="AC208" s="43">
        <f>IF($AC$2&lt;U208,0,IF(AND($AC$2&gt;U208,$AC$2&lt;Y208),T208,IF(X208="REJET",0,T208-Z208)))</f>
      </c>
      <c r="AD208" s="1"/>
      <c r="AE208" s="23"/>
      <c r="AF208" s="24"/>
      <c r="AG208" s="25"/>
    </row>
    <row x14ac:dyDescent="0.25" r="209" customHeight="1" ht="18.75">
      <c r="A209" s="13" t="s">
        <v>47</v>
      </c>
      <c r="B209" s="37">
        <v>900</v>
      </c>
      <c r="C209" s="13" t="s">
        <v>3</v>
      </c>
      <c r="D209" s="13" t="s">
        <v>48</v>
      </c>
      <c r="E209" s="38">
        <v>45658</v>
      </c>
      <c r="F209" s="38">
        <v>46022</v>
      </c>
      <c r="G209" s="39">
        <v>207</v>
      </c>
      <c r="H209" s="13" t="s">
        <v>681</v>
      </c>
      <c r="I209" s="38">
        <v>25713</v>
      </c>
      <c r="J209" s="38">
        <v>45658</v>
      </c>
      <c r="K209" s="40" t="s">
        <v>50</v>
      </c>
      <c r="L209" s="13" t="s">
        <v>51</v>
      </c>
      <c r="M209" s="13" t="s">
        <v>52</v>
      </c>
      <c r="N209" s="13" t="s">
        <v>682</v>
      </c>
      <c r="O209" s="13" t="s">
        <v>54</v>
      </c>
      <c r="P209" s="13" t="s">
        <v>55</v>
      </c>
      <c r="Q209" s="38">
        <v>25713</v>
      </c>
      <c r="R209" s="13" t="s">
        <v>683</v>
      </c>
      <c r="S209" s="41" t="s">
        <v>82</v>
      </c>
      <c r="T209" s="37">
        <v>6000000</v>
      </c>
      <c r="U209" s="38">
        <v>45991</v>
      </c>
      <c r="V209" s="39">
        <v>2025</v>
      </c>
      <c r="W209" s="42">
        <v>45990</v>
      </c>
      <c r="X209" s="41" t="s">
        <v>6</v>
      </c>
      <c r="Y209" s="38"/>
      <c r="Z209" s="50"/>
      <c r="AA209" s="38"/>
      <c r="AB209" s="43">
        <f>IF($AB$1&lt;W209,0,IF($AB$1&gt;Y209,0,T209))</f>
      </c>
      <c r="AC209" s="43">
        <f>IF($AC$2&lt;U209,0,IF(AND($AC$2&gt;U209,$AC$2&lt;Y209),T209,IF(X209="REJET",0,T209-Z209)))</f>
      </c>
      <c r="AD209" s="1"/>
      <c r="AE209" s="23"/>
      <c r="AF209" s="24"/>
      <c r="AG209" s="25"/>
    </row>
    <row x14ac:dyDescent="0.25" r="210" customHeight="1" ht="18.75">
      <c r="A210" s="13" t="s">
        <v>47</v>
      </c>
      <c r="B210" s="37">
        <v>900</v>
      </c>
      <c r="C210" s="13" t="s">
        <v>3</v>
      </c>
      <c r="D210" s="13" t="s">
        <v>48</v>
      </c>
      <c r="E210" s="38">
        <v>45658</v>
      </c>
      <c r="F210" s="38">
        <v>46022</v>
      </c>
      <c r="G210" s="39">
        <v>208</v>
      </c>
      <c r="H210" s="13" t="s">
        <v>684</v>
      </c>
      <c r="I210" s="38">
        <v>24856</v>
      </c>
      <c r="J210" s="38">
        <v>45658</v>
      </c>
      <c r="K210" s="40" t="s">
        <v>50</v>
      </c>
      <c r="L210" s="13" t="s">
        <v>51</v>
      </c>
      <c r="M210" s="13" t="s">
        <v>52</v>
      </c>
      <c r="N210" s="13" t="s">
        <v>685</v>
      </c>
      <c r="O210" s="13" t="s">
        <v>54</v>
      </c>
      <c r="P210" s="13" t="s">
        <v>55</v>
      </c>
      <c r="Q210" s="38">
        <v>24856</v>
      </c>
      <c r="R210" s="13" t="s">
        <v>686</v>
      </c>
      <c r="S210" s="41" t="s">
        <v>57</v>
      </c>
      <c r="T210" s="37">
        <v>1200000</v>
      </c>
      <c r="U210" s="38">
        <v>45992</v>
      </c>
      <c r="V210" s="39">
        <v>2025</v>
      </c>
      <c r="W210" s="42">
        <v>45992</v>
      </c>
      <c r="X210" s="41" t="s">
        <v>6</v>
      </c>
      <c r="Y210" s="38"/>
      <c r="Z210" s="50"/>
      <c r="AA210" s="38"/>
      <c r="AB210" s="43">
        <f>IF($AB$1&lt;W210,0,IF($AB$1&gt;Y210,0,T210))</f>
      </c>
      <c r="AC210" s="43">
        <f>IF($AC$2&lt;U210,0,IF(AND($AC$2&gt;U210,$AC$2&lt;Y210),T210,IF(X210="REJET",0,T210-Z210)))</f>
      </c>
      <c r="AD210" s="1"/>
      <c r="AE210" s="23"/>
      <c r="AF210" s="24"/>
      <c r="AG210" s="25"/>
    </row>
    <row x14ac:dyDescent="0.25" r="211" customHeight="1" ht="18.75">
      <c r="A211" s="13" t="s">
        <v>47</v>
      </c>
      <c r="B211" s="37">
        <v>900</v>
      </c>
      <c r="C211" s="13" t="s">
        <v>3</v>
      </c>
      <c r="D211" s="13" t="s">
        <v>48</v>
      </c>
      <c r="E211" s="38">
        <v>45658</v>
      </c>
      <c r="F211" s="38">
        <v>46022</v>
      </c>
      <c r="G211" s="39">
        <v>209</v>
      </c>
      <c r="H211" s="13" t="s">
        <v>687</v>
      </c>
      <c r="I211" s="38">
        <v>23214</v>
      </c>
      <c r="J211" s="38">
        <v>45658</v>
      </c>
      <c r="K211" s="40" t="s">
        <v>50</v>
      </c>
      <c r="L211" s="13" t="s">
        <v>51</v>
      </c>
      <c r="M211" s="13" t="s">
        <v>52</v>
      </c>
      <c r="N211" s="13" t="s">
        <v>688</v>
      </c>
      <c r="O211" s="13" t="s">
        <v>54</v>
      </c>
      <c r="P211" s="13" t="s">
        <v>55</v>
      </c>
      <c r="Q211" s="38">
        <v>23214</v>
      </c>
      <c r="R211" s="13" t="s">
        <v>689</v>
      </c>
      <c r="S211" s="41" t="s">
        <v>82</v>
      </c>
      <c r="T211" s="37">
        <v>6000000</v>
      </c>
      <c r="U211" s="38">
        <v>45993</v>
      </c>
      <c r="V211" s="39">
        <v>2025</v>
      </c>
      <c r="W211" s="42">
        <v>45992</v>
      </c>
      <c r="X211" s="41" t="s">
        <v>6</v>
      </c>
      <c r="Y211" s="38"/>
      <c r="Z211" s="50"/>
      <c r="AA211" s="38"/>
      <c r="AB211" s="43">
        <f>IF($AB$1&lt;W211,0,IF($AB$1&gt;Y211,0,T211))</f>
      </c>
      <c r="AC211" s="43">
        <f>IF($AC$2&lt;U211,0,IF(AND($AC$2&gt;U211,$AC$2&lt;Y211),T211,IF(X211="REJET",0,T211-Z211)))</f>
      </c>
      <c r="AD211" s="1"/>
      <c r="AE211" s="23"/>
      <c r="AF211" s="24"/>
      <c r="AG211" s="25"/>
    </row>
    <row x14ac:dyDescent="0.25" r="212" customHeight="1" ht="18.75">
      <c r="A212" s="13" t="s">
        <v>47</v>
      </c>
      <c r="B212" s="37">
        <v>900</v>
      </c>
      <c r="C212" s="13" t="s">
        <v>3</v>
      </c>
      <c r="D212" s="13" t="s">
        <v>48</v>
      </c>
      <c r="E212" s="38">
        <v>45658</v>
      </c>
      <c r="F212" s="38">
        <v>46022</v>
      </c>
      <c r="G212" s="39">
        <v>210</v>
      </c>
      <c r="H212" s="13" t="s">
        <v>690</v>
      </c>
      <c r="I212" s="38">
        <v>26082</v>
      </c>
      <c r="J212" s="38">
        <v>45658</v>
      </c>
      <c r="K212" s="40" t="s">
        <v>50</v>
      </c>
      <c r="L212" s="13" t="s">
        <v>51</v>
      </c>
      <c r="M212" s="13" t="s">
        <v>52</v>
      </c>
      <c r="N212" s="13" t="s">
        <v>691</v>
      </c>
      <c r="O212" s="13" t="s">
        <v>54</v>
      </c>
      <c r="P212" s="13" t="s">
        <v>55</v>
      </c>
      <c r="Q212" s="38">
        <v>26082</v>
      </c>
      <c r="R212" s="13" t="s">
        <v>692</v>
      </c>
      <c r="S212" s="41" t="s">
        <v>57</v>
      </c>
      <c r="T212" s="37">
        <v>1200000</v>
      </c>
      <c r="U212" s="38">
        <v>45995</v>
      </c>
      <c r="V212" s="39">
        <v>2025</v>
      </c>
      <c r="W212" s="42">
        <v>45995</v>
      </c>
      <c r="X212" s="41" t="s">
        <v>6</v>
      </c>
      <c r="Y212" s="38"/>
      <c r="Z212" s="50"/>
      <c r="AA212" s="38"/>
      <c r="AB212" s="43">
        <f>IF($AB$1&lt;W212,0,IF($AB$1&gt;Y212,0,T212))</f>
      </c>
      <c r="AC212" s="43">
        <f>IF($AC$2&lt;U212,0,IF(AND($AC$2&gt;U212,$AC$2&lt;Y212),T212,IF(X212="REJET",0,T212-Z212)))</f>
      </c>
      <c r="AD212" s="1"/>
      <c r="AE212" s="23"/>
      <c r="AF212" s="24"/>
      <c r="AG212" s="25"/>
    </row>
    <row x14ac:dyDescent="0.25" r="213" customHeight="1" ht="18.75">
      <c r="A213" s="13" t="s">
        <v>47</v>
      </c>
      <c r="B213" s="37">
        <v>900</v>
      </c>
      <c r="C213" s="13" t="s">
        <v>3</v>
      </c>
      <c r="D213" s="13" t="s">
        <v>48</v>
      </c>
      <c r="E213" s="38">
        <v>45658</v>
      </c>
      <c r="F213" s="38">
        <v>46022</v>
      </c>
      <c r="G213" s="39">
        <v>211</v>
      </c>
      <c r="H213" s="13" t="s">
        <v>693</v>
      </c>
      <c r="I213" s="38">
        <v>24485</v>
      </c>
      <c r="J213" s="38">
        <v>45658</v>
      </c>
      <c r="K213" s="40" t="s">
        <v>50</v>
      </c>
      <c r="L213" s="13" t="s">
        <v>51</v>
      </c>
      <c r="M213" s="13" t="s">
        <v>52</v>
      </c>
      <c r="N213" s="13" t="s">
        <v>694</v>
      </c>
      <c r="O213" s="13" t="s">
        <v>54</v>
      </c>
      <c r="P213" s="13" t="s">
        <v>55</v>
      </c>
      <c r="Q213" s="38">
        <v>24485</v>
      </c>
      <c r="R213" s="13" t="s">
        <v>695</v>
      </c>
      <c r="S213" s="41" t="s">
        <v>82</v>
      </c>
      <c r="T213" s="37">
        <v>6000000</v>
      </c>
      <c r="U213" s="38">
        <v>45998</v>
      </c>
      <c r="V213" s="39">
        <v>2025</v>
      </c>
      <c r="W213" s="42">
        <v>45997</v>
      </c>
      <c r="X213" s="41" t="s">
        <v>6</v>
      </c>
      <c r="Y213" s="38"/>
      <c r="Z213" s="50"/>
      <c r="AA213" s="38"/>
      <c r="AB213" s="43">
        <f>IF($AB$1&lt;W213,0,IF($AB$1&gt;Y213,0,T213))</f>
      </c>
      <c r="AC213" s="43">
        <f>IF($AC$2&lt;U213,0,IF(AND($AC$2&gt;U213,$AC$2&lt;Y213),T213,IF(X213="REJET",0,T213-Z213)))</f>
      </c>
      <c r="AD213" s="1"/>
      <c r="AE213" s="23"/>
      <c r="AF213" s="24"/>
      <c r="AG213" s="25"/>
    </row>
    <row x14ac:dyDescent="0.25" r="214" customHeight="1" ht="18.75">
      <c r="A214" s="13" t="s">
        <v>47</v>
      </c>
      <c r="B214" s="37">
        <v>900</v>
      </c>
      <c r="C214" s="13" t="s">
        <v>3</v>
      </c>
      <c r="D214" s="13" t="s">
        <v>48</v>
      </c>
      <c r="E214" s="38">
        <v>45658</v>
      </c>
      <c r="F214" s="38">
        <v>46022</v>
      </c>
      <c r="G214" s="39">
        <v>212</v>
      </c>
      <c r="H214" s="13" t="s">
        <v>696</v>
      </c>
      <c r="I214" s="38">
        <v>24766</v>
      </c>
      <c r="J214" s="38">
        <v>45658</v>
      </c>
      <c r="K214" s="40" t="s">
        <v>50</v>
      </c>
      <c r="L214" s="13" t="s">
        <v>51</v>
      </c>
      <c r="M214" s="13" t="s">
        <v>52</v>
      </c>
      <c r="N214" s="13" t="s">
        <v>697</v>
      </c>
      <c r="O214" s="13" t="s">
        <v>54</v>
      </c>
      <c r="P214" s="13" t="s">
        <v>55</v>
      </c>
      <c r="Q214" s="38">
        <v>24766</v>
      </c>
      <c r="R214" s="13" t="s">
        <v>698</v>
      </c>
      <c r="S214" s="41" t="s">
        <v>57</v>
      </c>
      <c r="T214" s="37">
        <v>1200000</v>
      </c>
      <c r="U214" s="38">
        <v>46002</v>
      </c>
      <c r="V214" s="39">
        <v>2025</v>
      </c>
      <c r="W214" s="42">
        <v>46002</v>
      </c>
      <c r="X214" s="41" t="s">
        <v>6</v>
      </c>
      <c r="Y214" s="38"/>
      <c r="Z214" s="50"/>
      <c r="AA214" s="38"/>
      <c r="AB214" s="43">
        <f>IF($AB$1&lt;W214,0,IF($AB$1&gt;Y214,0,T214))</f>
      </c>
      <c r="AC214" s="43">
        <f>IF($AC$2&lt;U214,0,IF(AND($AC$2&gt;U214,$AC$2&lt;Y214),T214,IF(X214="REJET",0,T214-Z214)))</f>
      </c>
      <c r="AD214" s="1"/>
      <c r="AE214" s="23"/>
      <c r="AF214" s="24"/>
      <c r="AG214" s="25"/>
    </row>
    <row x14ac:dyDescent="0.25" r="215" customHeight="1" ht="18.75">
      <c r="A215" s="13" t="s">
        <v>47</v>
      </c>
      <c r="B215" s="37">
        <v>900</v>
      </c>
      <c r="C215" s="13" t="s">
        <v>3</v>
      </c>
      <c r="D215" s="13" t="s">
        <v>48</v>
      </c>
      <c r="E215" s="38">
        <v>45658</v>
      </c>
      <c r="F215" s="38">
        <v>46022</v>
      </c>
      <c r="G215" s="39">
        <v>213</v>
      </c>
      <c r="H215" s="13" t="s">
        <v>699</v>
      </c>
      <c r="I215" s="38">
        <v>24406</v>
      </c>
      <c r="J215" s="38">
        <v>45658</v>
      </c>
      <c r="K215" s="40" t="s">
        <v>50</v>
      </c>
      <c r="L215" s="13" t="s">
        <v>51</v>
      </c>
      <c r="M215" s="13" t="s">
        <v>52</v>
      </c>
      <c r="N215" s="13" t="s">
        <v>700</v>
      </c>
      <c r="O215" s="13" t="s">
        <v>54</v>
      </c>
      <c r="P215" s="13" t="s">
        <v>55</v>
      </c>
      <c r="Q215" s="38">
        <v>24406</v>
      </c>
      <c r="R215" s="13" t="s">
        <v>701</v>
      </c>
      <c r="S215" s="41" t="s">
        <v>57</v>
      </c>
      <c r="T215" s="37">
        <v>1200000</v>
      </c>
      <c r="U215" s="38">
        <v>46002</v>
      </c>
      <c r="V215" s="39">
        <v>2025</v>
      </c>
      <c r="W215" s="42">
        <v>46002</v>
      </c>
      <c r="X215" s="41" t="s">
        <v>6</v>
      </c>
      <c r="Y215" s="38"/>
      <c r="Z215" s="50"/>
      <c r="AA215" s="38"/>
      <c r="AB215" s="43">
        <f>IF($AB$1&lt;W215,0,IF($AB$1&gt;Y215,0,T215))</f>
      </c>
      <c r="AC215" s="43">
        <f>IF($AC$2&lt;U215,0,IF(AND($AC$2&gt;U215,$AC$2&lt;Y215),T215,IF(X215="REJET",0,T215-Z215)))</f>
      </c>
      <c r="AD215" s="1"/>
      <c r="AE215" s="23"/>
      <c r="AF215" s="24"/>
      <c r="AG215" s="25"/>
    </row>
    <row x14ac:dyDescent="0.25" r="216" customHeight="1" ht="18.75">
      <c r="A216" s="13" t="s">
        <v>47</v>
      </c>
      <c r="B216" s="37">
        <v>900</v>
      </c>
      <c r="C216" s="13" t="s">
        <v>3</v>
      </c>
      <c r="D216" s="13" t="s">
        <v>48</v>
      </c>
      <c r="E216" s="38">
        <v>45658</v>
      </c>
      <c r="F216" s="38">
        <v>46022</v>
      </c>
      <c r="G216" s="39">
        <v>214</v>
      </c>
      <c r="H216" s="13" t="s">
        <v>702</v>
      </c>
      <c r="I216" s="38">
        <v>30236</v>
      </c>
      <c r="J216" s="38">
        <v>45658</v>
      </c>
      <c r="K216" s="40" t="s">
        <v>50</v>
      </c>
      <c r="L216" s="13" t="s">
        <v>51</v>
      </c>
      <c r="M216" s="13" t="s">
        <v>52</v>
      </c>
      <c r="N216" s="13" t="s">
        <v>703</v>
      </c>
      <c r="O216" s="13" t="s">
        <v>54</v>
      </c>
      <c r="P216" s="13" t="s">
        <v>55</v>
      </c>
      <c r="Q216" s="38">
        <v>30236</v>
      </c>
      <c r="R216" s="13" t="s">
        <v>704</v>
      </c>
      <c r="S216" s="41" t="s">
        <v>57</v>
      </c>
      <c r="T216" s="37">
        <v>1200000</v>
      </c>
      <c r="U216" s="38">
        <v>46006</v>
      </c>
      <c r="V216" s="39">
        <v>2025</v>
      </c>
      <c r="W216" s="42">
        <v>46006</v>
      </c>
      <c r="X216" s="41" t="s">
        <v>6</v>
      </c>
      <c r="Y216" s="38"/>
      <c r="Z216" s="50"/>
      <c r="AA216" s="38"/>
      <c r="AB216" s="43">
        <f>IF($AB$1&lt;W216,0,IF($AB$1&gt;Y216,0,T216))</f>
      </c>
      <c r="AC216" s="43">
        <f>IF($AC$2&lt;U216,0,IF(AND($AC$2&gt;U216,$AC$2&lt;Y216),T216,IF(X216="REJET",0,T216-Z216)))</f>
      </c>
      <c r="AD216" s="1"/>
      <c r="AE216" s="23"/>
      <c r="AF216" s="24"/>
      <c r="AG216" s="25"/>
    </row>
    <row x14ac:dyDescent="0.25" r="217" customHeight="1" ht="18.75">
      <c r="A217" s="13" t="s">
        <v>47</v>
      </c>
      <c r="B217" s="37">
        <v>900</v>
      </c>
      <c r="C217" s="13" t="s">
        <v>3</v>
      </c>
      <c r="D217" s="13" t="s">
        <v>48</v>
      </c>
      <c r="E217" s="38">
        <v>45658</v>
      </c>
      <c r="F217" s="38">
        <v>46022</v>
      </c>
      <c r="G217" s="39">
        <v>215</v>
      </c>
      <c r="H217" s="13" t="s">
        <v>705</v>
      </c>
      <c r="I217" s="38">
        <v>30704</v>
      </c>
      <c r="J217" s="38">
        <v>45658</v>
      </c>
      <c r="K217" s="40" t="s">
        <v>50</v>
      </c>
      <c r="L217" s="13" t="s">
        <v>51</v>
      </c>
      <c r="M217" s="13" t="s">
        <v>52</v>
      </c>
      <c r="N217" s="13" t="s">
        <v>706</v>
      </c>
      <c r="O217" s="13" t="s">
        <v>54</v>
      </c>
      <c r="P217" s="13" t="s">
        <v>55</v>
      </c>
      <c r="Q217" s="38">
        <v>30704</v>
      </c>
      <c r="R217" s="13" t="s">
        <v>707</v>
      </c>
      <c r="S217" s="41" t="s">
        <v>82</v>
      </c>
      <c r="T217" s="37">
        <v>6000000</v>
      </c>
      <c r="U217" s="38">
        <v>46007</v>
      </c>
      <c r="V217" s="39">
        <v>2025</v>
      </c>
      <c r="W217" s="42">
        <v>46002</v>
      </c>
      <c r="X217" s="41" t="s">
        <v>6</v>
      </c>
      <c r="Y217" s="38"/>
      <c r="Z217" s="50"/>
      <c r="AA217" s="38"/>
      <c r="AB217" s="43">
        <f>IF($AB$1&lt;W217,0,IF($AB$1&gt;Y217,0,T217))</f>
      </c>
      <c r="AC217" s="43">
        <f>IF($AC$2&lt;U217,0,IF(AND($AC$2&gt;U217,$AC$2&lt;Y217),T217,IF(X217="REJET",0,T217-Z217)))</f>
      </c>
      <c r="AD217" s="1"/>
      <c r="AE217" s="23"/>
      <c r="AF217" s="24"/>
      <c r="AG217" s="25"/>
    </row>
    <row x14ac:dyDescent="0.25" r="218" customHeight="1" ht="18.75">
      <c r="A218" s="13" t="s">
        <v>47</v>
      </c>
      <c r="B218" s="37">
        <v>900</v>
      </c>
      <c r="C218" s="13" t="s">
        <v>3</v>
      </c>
      <c r="D218" s="13" t="s">
        <v>48</v>
      </c>
      <c r="E218" s="38">
        <v>45658</v>
      </c>
      <c r="F218" s="38">
        <v>46022</v>
      </c>
      <c r="G218" s="39">
        <v>216</v>
      </c>
      <c r="H218" s="13" t="s">
        <v>708</v>
      </c>
      <c r="I218" s="38">
        <v>25080</v>
      </c>
      <c r="J218" s="38">
        <v>45658</v>
      </c>
      <c r="K218" s="40" t="s">
        <v>50</v>
      </c>
      <c r="L218" s="13" t="s">
        <v>51</v>
      </c>
      <c r="M218" s="13" t="s">
        <v>52</v>
      </c>
      <c r="N218" s="13" t="s">
        <v>709</v>
      </c>
      <c r="O218" s="13" t="s">
        <v>62</v>
      </c>
      <c r="P218" s="13" t="s">
        <v>63</v>
      </c>
      <c r="Q218" s="38">
        <v>25080</v>
      </c>
      <c r="R218" s="13" t="s">
        <v>710</v>
      </c>
      <c r="S218" s="41" t="s">
        <v>57</v>
      </c>
      <c r="T218" s="37">
        <v>1200000</v>
      </c>
      <c r="U218" s="38">
        <v>46007</v>
      </c>
      <c r="V218" s="39">
        <v>2025</v>
      </c>
      <c r="W218" s="42">
        <v>46007</v>
      </c>
      <c r="X218" s="41" t="s">
        <v>6</v>
      </c>
      <c r="Y218" s="38"/>
      <c r="Z218" s="50"/>
      <c r="AA218" s="38"/>
      <c r="AB218" s="43">
        <f>IF($AB$1&lt;W218,0,IF($AB$1&gt;Y218,0,T218))</f>
      </c>
      <c r="AC218" s="43">
        <f>IF($AC$2&lt;U218,0,IF(AND($AC$2&gt;U218,$AC$2&lt;Y218),T218,IF(X218="REJET",0,T218-Z218)))</f>
      </c>
      <c r="AD218" s="1"/>
      <c r="AE218" s="23"/>
      <c r="AF218" s="24"/>
      <c r="AG218" s="25"/>
    </row>
    <row x14ac:dyDescent="0.25" r="219" customHeight="1" ht="18.75">
      <c r="A219" s="13" t="s">
        <v>47</v>
      </c>
      <c r="B219" s="37">
        <v>900</v>
      </c>
      <c r="C219" s="13" t="s">
        <v>3</v>
      </c>
      <c r="D219" s="13" t="s">
        <v>48</v>
      </c>
      <c r="E219" s="38">
        <v>45658</v>
      </c>
      <c r="F219" s="38">
        <v>46022</v>
      </c>
      <c r="G219" s="39">
        <v>217</v>
      </c>
      <c r="H219" s="13" t="s">
        <v>711</v>
      </c>
      <c r="I219" s="38">
        <v>29603</v>
      </c>
      <c r="J219" s="38">
        <v>45658</v>
      </c>
      <c r="K219" s="40" t="s">
        <v>50</v>
      </c>
      <c r="L219" s="13" t="s">
        <v>51</v>
      </c>
      <c r="M219" s="13" t="s">
        <v>52</v>
      </c>
      <c r="N219" s="13" t="s">
        <v>712</v>
      </c>
      <c r="O219" s="13" t="s">
        <v>54</v>
      </c>
      <c r="P219" s="13" t="s">
        <v>55</v>
      </c>
      <c r="Q219" s="38">
        <v>29603</v>
      </c>
      <c r="R219" s="13" t="s">
        <v>713</v>
      </c>
      <c r="S219" s="41" t="s">
        <v>57</v>
      </c>
      <c r="T219" s="37">
        <v>1200000</v>
      </c>
      <c r="U219" s="38">
        <v>46007</v>
      </c>
      <c r="V219" s="39">
        <v>2025</v>
      </c>
      <c r="W219" s="42">
        <v>46007</v>
      </c>
      <c r="X219" s="41" t="s">
        <v>6</v>
      </c>
      <c r="Y219" s="38"/>
      <c r="Z219" s="50"/>
      <c r="AA219" s="38"/>
      <c r="AB219" s="43">
        <f>IF($AB$1&lt;W219,0,IF($AB$1&gt;Y219,0,T219))</f>
      </c>
      <c r="AC219" s="43">
        <f>IF($AC$2&lt;U219,0,IF(AND($AC$2&gt;U219,$AC$2&lt;Y219),T219,IF(X219="REJET",0,T219-Z219)))</f>
      </c>
      <c r="AD219" s="1"/>
      <c r="AE219" s="23"/>
      <c r="AF219" s="24"/>
      <c r="AG219" s="25"/>
    </row>
    <row x14ac:dyDescent="0.25" r="220" customHeight="1" ht="18.75">
      <c r="A220" s="13" t="s">
        <v>47</v>
      </c>
      <c r="B220" s="37">
        <v>900</v>
      </c>
      <c r="C220" s="13" t="s">
        <v>3</v>
      </c>
      <c r="D220" s="13" t="s">
        <v>48</v>
      </c>
      <c r="E220" s="38">
        <v>45658</v>
      </c>
      <c r="F220" s="38">
        <v>46022</v>
      </c>
      <c r="G220" s="39">
        <v>218</v>
      </c>
      <c r="H220" s="13" t="s">
        <v>714</v>
      </c>
      <c r="I220" s="38">
        <v>23206</v>
      </c>
      <c r="J220" s="38">
        <v>45658</v>
      </c>
      <c r="K220" s="40" t="s">
        <v>50</v>
      </c>
      <c r="L220" s="13" t="s">
        <v>51</v>
      </c>
      <c r="M220" s="13" t="s">
        <v>52</v>
      </c>
      <c r="N220" s="13" t="s">
        <v>715</v>
      </c>
      <c r="O220" s="13" t="s">
        <v>54</v>
      </c>
      <c r="P220" s="13" t="s">
        <v>55</v>
      </c>
      <c r="Q220" s="38">
        <v>23206</v>
      </c>
      <c r="R220" s="13" t="s">
        <v>716</v>
      </c>
      <c r="S220" s="41" t="s">
        <v>57</v>
      </c>
      <c r="T220" s="37">
        <v>1200000</v>
      </c>
      <c r="U220" s="38">
        <v>46007</v>
      </c>
      <c r="V220" s="39">
        <v>2025</v>
      </c>
      <c r="W220" s="42">
        <v>46007</v>
      </c>
      <c r="X220" s="41" t="s">
        <v>6</v>
      </c>
      <c r="Y220" s="38"/>
      <c r="Z220" s="50"/>
      <c r="AA220" s="38"/>
      <c r="AB220" s="43">
        <f>IF($AB$1&lt;W220,0,IF($AB$1&gt;Y220,0,T220))</f>
      </c>
      <c r="AC220" s="43">
        <f>IF($AC$2&lt;U220,0,IF(AND($AC$2&gt;U220,$AC$2&lt;Y220),T220,IF(X220="REJET",0,T220-Z220)))</f>
      </c>
      <c r="AD220" s="1"/>
      <c r="AE220" s="23"/>
      <c r="AF220" s="24"/>
      <c r="AG220" s="25"/>
    </row>
    <row x14ac:dyDescent="0.25" r="221" customHeight="1" ht="18.75">
      <c r="A221" s="13" t="s">
        <v>47</v>
      </c>
      <c r="B221" s="37">
        <v>900</v>
      </c>
      <c r="C221" s="13" t="s">
        <v>3</v>
      </c>
      <c r="D221" s="13" t="s">
        <v>48</v>
      </c>
      <c r="E221" s="38">
        <v>45658</v>
      </c>
      <c r="F221" s="38">
        <v>46022</v>
      </c>
      <c r="G221" s="39">
        <v>219</v>
      </c>
      <c r="H221" s="13" t="s">
        <v>717</v>
      </c>
      <c r="I221" s="38">
        <v>25632</v>
      </c>
      <c r="J221" s="38">
        <v>45658</v>
      </c>
      <c r="K221" s="40" t="s">
        <v>50</v>
      </c>
      <c r="L221" s="13" t="s">
        <v>51</v>
      </c>
      <c r="M221" s="13" t="s">
        <v>52</v>
      </c>
      <c r="N221" s="13" t="s">
        <v>718</v>
      </c>
      <c r="O221" s="13" t="s">
        <v>54</v>
      </c>
      <c r="P221" s="13" t="s">
        <v>55</v>
      </c>
      <c r="Q221" s="38">
        <v>25632</v>
      </c>
      <c r="R221" s="13" t="s">
        <v>719</v>
      </c>
      <c r="S221" s="41" t="s">
        <v>57</v>
      </c>
      <c r="T221" s="37">
        <v>1200000</v>
      </c>
      <c r="U221" s="38">
        <v>46007</v>
      </c>
      <c r="V221" s="39">
        <v>2025</v>
      </c>
      <c r="W221" s="42">
        <v>46007</v>
      </c>
      <c r="X221" s="41" t="s">
        <v>6</v>
      </c>
      <c r="Y221" s="38"/>
      <c r="Z221" s="50"/>
      <c r="AA221" s="38"/>
      <c r="AB221" s="43">
        <f>IF($AB$1&lt;W221,0,IF($AB$1&gt;Y221,0,T221))</f>
      </c>
      <c r="AC221" s="43">
        <f>IF($AC$2&lt;U221,0,IF(AND($AC$2&gt;U221,$AC$2&lt;Y221),T221,IF(X221="REJET",0,T221-Z221)))</f>
      </c>
      <c r="AD221" s="1"/>
      <c r="AE221" s="23"/>
      <c r="AF221" s="24"/>
      <c r="AG221" s="25"/>
    </row>
    <row x14ac:dyDescent="0.25" r="222" customHeight="1" ht="18.75">
      <c r="A222" s="13" t="s">
        <v>47</v>
      </c>
      <c r="B222" s="37">
        <v>900</v>
      </c>
      <c r="C222" s="13" t="s">
        <v>3</v>
      </c>
      <c r="D222" s="13" t="s">
        <v>48</v>
      </c>
      <c r="E222" s="38">
        <v>45658</v>
      </c>
      <c r="F222" s="38">
        <v>46022</v>
      </c>
      <c r="G222" s="39">
        <v>220</v>
      </c>
      <c r="H222" s="13" t="s">
        <v>720</v>
      </c>
      <c r="I222" s="38">
        <v>28473</v>
      </c>
      <c r="J222" s="38">
        <v>45658</v>
      </c>
      <c r="K222" s="40" t="s">
        <v>50</v>
      </c>
      <c r="L222" s="13" t="s">
        <v>51</v>
      </c>
      <c r="M222" s="13" t="s">
        <v>52</v>
      </c>
      <c r="N222" s="13" t="s">
        <v>721</v>
      </c>
      <c r="O222" s="13" t="s">
        <v>62</v>
      </c>
      <c r="P222" s="13" t="s">
        <v>63</v>
      </c>
      <c r="Q222" s="38">
        <v>28473</v>
      </c>
      <c r="R222" s="13" t="s">
        <v>722</v>
      </c>
      <c r="S222" s="41" t="s">
        <v>57</v>
      </c>
      <c r="T222" s="37">
        <v>1200000</v>
      </c>
      <c r="U222" s="38">
        <v>46007</v>
      </c>
      <c r="V222" s="39">
        <v>2025</v>
      </c>
      <c r="W222" s="42">
        <v>45970</v>
      </c>
      <c r="X222" s="41" t="s">
        <v>6</v>
      </c>
      <c r="Y222" s="38"/>
      <c r="Z222" s="50"/>
      <c r="AA222" s="38"/>
      <c r="AB222" s="43">
        <f>IF($AB$1&lt;W222,0,IF($AB$1&gt;Y222,0,T222))</f>
      </c>
      <c r="AC222" s="43">
        <f>IF($AC$2&lt;U222,0,IF(AND($AC$2&gt;U222,$AC$2&lt;Y222),T222,IF(X222="REJET",0,T222-Z222)))</f>
      </c>
      <c r="AD222" s="1"/>
      <c r="AE222" s="23"/>
      <c r="AF222" s="24"/>
      <c r="AG222" s="25"/>
    </row>
    <row x14ac:dyDescent="0.25" r="223" customHeight="1" ht="18.75">
      <c r="A223" s="13" t="s">
        <v>47</v>
      </c>
      <c r="B223" s="37">
        <v>900</v>
      </c>
      <c r="C223" s="13" t="s">
        <v>3</v>
      </c>
      <c r="D223" s="13" t="s">
        <v>48</v>
      </c>
      <c r="E223" s="38">
        <v>45658</v>
      </c>
      <c r="F223" s="38">
        <v>46022</v>
      </c>
      <c r="G223" s="39">
        <v>221</v>
      </c>
      <c r="H223" s="13" t="s">
        <v>723</v>
      </c>
      <c r="I223" s="38">
        <v>29064</v>
      </c>
      <c r="J223" s="38">
        <v>45658</v>
      </c>
      <c r="K223" s="40" t="s">
        <v>50</v>
      </c>
      <c r="L223" s="13" t="s">
        <v>51</v>
      </c>
      <c r="M223" s="13" t="s">
        <v>52</v>
      </c>
      <c r="N223" s="13" t="s">
        <v>724</v>
      </c>
      <c r="O223" s="13" t="s">
        <v>54</v>
      </c>
      <c r="P223" s="13" t="s">
        <v>55</v>
      </c>
      <c r="Q223" s="38">
        <v>29064</v>
      </c>
      <c r="R223" s="13" t="s">
        <v>725</v>
      </c>
      <c r="S223" s="41" t="s">
        <v>82</v>
      </c>
      <c r="T223" s="37">
        <v>6000000</v>
      </c>
      <c r="U223" s="38">
        <v>46007</v>
      </c>
      <c r="V223" s="39">
        <v>2025</v>
      </c>
      <c r="W223" s="42">
        <v>46004</v>
      </c>
      <c r="X223" s="41" t="s">
        <v>6</v>
      </c>
      <c r="Y223" s="38"/>
      <c r="Z223" s="50"/>
      <c r="AA223" s="38"/>
      <c r="AB223" s="43">
        <f>IF($AB$1&lt;W223,0,IF($AB$1&gt;Y223,0,T223))</f>
      </c>
      <c r="AC223" s="43">
        <f>IF($AC$2&lt;U223,0,IF(AND($AC$2&gt;U223,$AC$2&lt;Y223),T223,IF(X223="REJET",0,T223-Z223)))</f>
      </c>
      <c r="AD223" s="1"/>
      <c r="AE223" s="23"/>
      <c r="AF223" s="24"/>
      <c r="AG223" s="25"/>
    </row>
    <row x14ac:dyDescent="0.25" r="224" customHeight="1" ht="18.75">
      <c r="A224" s="13" t="s">
        <v>47</v>
      </c>
      <c r="B224" s="37">
        <v>900</v>
      </c>
      <c r="C224" s="13" t="s">
        <v>3</v>
      </c>
      <c r="D224" s="13" t="s">
        <v>48</v>
      </c>
      <c r="E224" s="38">
        <v>45658</v>
      </c>
      <c r="F224" s="38">
        <v>46022</v>
      </c>
      <c r="G224" s="39">
        <v>222</v>
      </c>
      <c r="H224" s="13" t="s">
        <v>726</v>
      </c>
      <c r="I224" s="38">
        <v>30184</v>
      </c>
      <c r="J224" s="38">
        <v>45658</v>
      </c>
      <c r="K224" s="40" t="s">
        <v>50</v>
      </c>
      <c r="L224" s="13" t="s">
        <v>51</v>
      </c>
      <c r="M224" s="13" t="s">
        <v>52</v>
      </c>
      <c r="N224" s="13" t="s">
        <v>727</v>
      </c>
      <c r="O224" s="13" t="s">
        <v>54</v>
      </c>
      <c r="P224" s="13" t="s">
        <v>55</v>
      </c>
      <c r="Q224" s="38">
        <v>30184</v>
      </c>
      <c r="R224" s="13" t="s">
        <v>728</v>
      </c>
      <c r="S224" s="41" t="s">
        <v>57</v>
      </c>
      <c r="T224" s="37">
        <v>1200000</v>
      </c>
      <c r="U224" s="38">
        <v>46008</v>
      </c>
      <c r="V224" s="39">
        <v>2025</v>
      </c>
      <c r="W224" s="42">
        <v>46008</v>
      </c>
      <c r="X224" s="41" t="s">
        <v>6</v>
      </c>
      <c r="Y224" s="38"/>
      <c r="Z224" s="50"/>
      <c r="AA224" s="38"/>
      <c r="AB224" s="43">
        <f>IF($AB$1&lt;W224,0,IF($AB$1&gt;Y224,0,T224))</f>
      </c>
      <c r="AC224" s="43">
        <f>IF($AC$2&lt;U224,0,IF(AND($AC$2&gt;U224,$AC$2&lt;Y224),T224,IF(X224="REJET",0,T224-Z224)))</f>
      </c>
      <c r="AD224" s="1"/>
      <c r="AE224" s="23"/>
      <c r="AF224" s="24"/>
      <c r="AG224" s="25"/>
    </row>
    <row x14ac:dyDescent="0.25" r="225" customHeight="1" ht="18.75">
      <c r="A225" s="13" t="s">
        <v>47</v>
      </c>
      <c r="B225" s="37">
        <v>900</v>
      </c>
      <c r="C225" s="13" t="s">
        <v>3</v>
      </c>
      <c r="D225" s="13" t="s">
        <v>48</v>
      </c>
      <c r="E225" s="38">
        <v>45658</v>
      </c>
      <c r="F225" s="38">
        <v>46022</v>
      </c>
      <c r="G225" s="39">
        <v>223</v>
      </c>
      <c r="H225" s="13" t="s">
        <v>729</v>
      </c>
      <c r="I225" s="38">
        <v>25846</v>
      </c>
      <c r="J225" s="38">
        <v>45658</v>
      </c>
      <c r="K225" s="40" t="s">
        <v>50</v>
      </c>
      <c r="L225" s="13" t="s">
        <v>51</v>
      </c>
      <c r="M225" s="13" t="s">
        <v>52</v>
      </c>
      <c r="N225" s="13" t="s">
        <v>730</v>
      </c>
      <c r="O225" s="13" t="s">
        <v>54</v>
      </c>
      <c r="P225" s="13" t="s">
        <v>55</v>
      </c>
      <c r="Q225" s="38">
        <v>25846</v>
      </c>
      <c r="R225" s="13" t="s">
        <v>731</v>
      </c>
      <c r="S225" s="41" t="s">
        <v>57</v>
      </c>
      <c r="T225" s="37">
        <v>1200000</v>
      </c>
      <c r="U225" s="38">
        <v>46008</v>
      </c>
      <c r="V225" s="39">
        <v>2025</v>
      </c>
      <c r="W225" s="42">
        <v>46008</v>
      </c>
      <c r="X225" s="41" t="s">
        <v>6</v>
      </c>
      <c r="Y225" s="38"/>
      <c r="Z225" s="50"/>
      <c r="AA225" s="38"/>
      <c r="AB225" s="43">
        <f>IF($AB$1&lt;W225,0,IF($AB$1&gt;Y225,0,T225))</f>
      </c>
      <c r="AC225" s="43">
        <f>IF($AC$2&lt;U225,0,IF(AND($AC$2&gt;U225,$AC$2&lt;Y225),T225,IF(X225="REJET",0,T225-Z225)))</f>
      </c>
      <c r="AD225" s="1"/>
      <c r="AE225" s="23"/>
      <c r="AF225" s="24"/>
      <c r="AG225" s="25"/>
    </row>
    <row x14ac:dyDescent="0.25" r="226" customHeight="1" ht="18.75">
      <c r="A226" s="13" t="s">
        <v>47</v>
      </c>
      <c r="B226" s="37">
        <v>900</v>
      </c>
      <c r="C226" s="13" t="s">
        <v>3</v>
      </c>
      <c r="D226" s="13" t="s">
        <v>48</v>
      </c>
      <c r="E226" s="38">
        <v>45658</v>
      </c>
      <c r="F226" s="38">
        <v>46022</v>
      </c>
      <c r="G226" s="39">
        <v>224</v>
      </c>
      <c r="H226" s="13" t="s">
        <v>732</v>
      </c>
      <c r="I226" s="38">
        <v>25969</v>
      </c>
      <c r="J226" s="38">
        <v>45658</v>
      </c>
      <c r="K226" s="40" t="s">
        <v>50</v>
      </c>
      <c r="L226" s="13" t="s">
        <v>51</v>
      </c>
      <c r="M226" s="13" t="s">
        <v>52</v>
      </c>
      <c r="N226" s="13" t="s">
        <v>733</v>
      </c>
      <c r="O226" s="13" t="s">
        <v>54</v>
      </c>
      <c r="P226" s="13" t="s">
        <v>55</v>
      </c>
      <c r="Q226" s="38">
        <v>25969</v>
      </c>
      <c r="R226" s="13" t="s">
        <v>734</v>
      </c>
      <c r="S226" s="41" t="s">
        <v>82</v>
      </c>
      <c r="T226" s="37">
        <v>6000000</v>
      </c>
      <c r="U226" s="38">
        <v>46009</v>
      </c>
      <c r="V226" s="39">
        <v>2025</v>
      </c>
      <c r="W226" s="42">
        <v>46009</v>
      </c>
      <c r="X226" s="41" t="s">
        <v>6</v>
      </c>
      <c r="Y226" s="38"/>
      <c r="Z226" s="50"/>
      <c r="AA226" s="38"/>
      <c r="AB226" s="43">
        <f>IF($AB$1&lt;W226,0,IF($AB$1&gt;Y226,0,T226))</f>
      </c>
      <c r="AC226" s="43">
        <f>IF($AC$2&lt;U226,0,IF(AND($AC$2&gt;U226,$AC$2&lt;Y226),T226,IF(X226="REJET",0,T226-Z226)))</f>
      </c>
      <c r="AD226" s="1"/>
      <c r="AE226" s="23"/>
      <c r="AF226" s="24"/>
      <c r="AG226" s="25"/>
    </row>
    <row x14ac:dyDescent="0.25" r="227" customHeight="1" ht="18.75">
      <c r="A227" s="13" t="s">
        <v>47</v>
      </c>
      <c r="B227" s="37">
        <v>900</v>
      </c>
      <c r="C227" s="13" t="s">
        <v>3</v>
      </c>
      <c r="D227" s="13" t="s">
        <v>48</v>
      </c>
      <c r="E227" s="38">
        <v>45658</v>
      </c>
      <c r="F227" s="38">
        <v>46022</v>
      </c>
      <c r="G227" s="39">
        <v>225</v>
      </c>
      <c r="H227" s="13" t="s">
        <v>735</v>
      </c>
      <c r="I227" s="38">
        <v>24685</v>
      </c>
      <c r="J227" s="38">
        <v>45658</v>
      </c>
      <c r="K227" s="40" t="s">
        <v>50</v>
      </c>
      <c r="L227" s="13" t="s">
        <v>51</v>
      </c>
      <c r="M227" s="13" t="s">
        <v>52</v>
      </c>
      <c r="N227" s="13" t="s">
        <v>736</v>
      </c>
      <c r="O227" s="13" t="s">
        <v>54</v>
      </c>
      <c r="P227" s="13" t="s">
        <v>55</v>
      </c>
      <c r="Q227" s="38">
        <v>24685</v>
      </c>
      <c r="R227" s="13" t="s">
        <v>737</v>
      </c>
      <c r="S227" s="41" t="s">
        <v>57</v>
      </c>
      <c r="T227" s="37">
        <v>1200000</v>
      </c>
      <c r="U227" s="38">
        <v>46014</v>
      </c>
      <c r="V227" s="39">
        <v>2025</v>
      </c>
      <c r="W227" s="42">
        <v>46014</v>
      </c>
      <c r="X227" s="41" t="s">
        <v>6</v>
      </c>
      <c r="Y227" s="38"/>
      <c r="Z227" s="50"/>
      <c r="AA227" s="38"/>
      <c r="AB227" s="43">
        <f>IF($AB$1&lt;W227,0,IF($AB$1&gt;Y227,0,T227))</f>
      </c>
      <c r="AC227" s="43">
        <f>IF($AC$2&lt;U227,0,IF(AND($AC$2&gt;U227,$AC$2&lt;Y227),T227,IF(X227="REJET",0,T227-Z227)))</f>
      </c>
      <c r="AD227" s="1"/>
      <c r="AE227" s="23"/>
      <c r="AF227" s="24"/>
      <c r="AG227" s="25"/>
    </row>
    <row x14ac:dyDescent="0.25" r="228" customHeight="1" ht="18.75">
      <c r="A228" s="13" t="s">
        <v>47</v>
      </c>
      <c r="B228" s="37">
        <v>900</v>
      </c>
      <c r="C228" s="13" t="s">
        <v>3</v>
      </c>
      <c r="D228" s="13" t="s">
        <v>48</v>
      </c>
      <c r="E228" s="38">
        <v>45658</v>
      </c>
      <c r="F228" s="38">
        <v>46022</v>
      </c>
      <c r="G228" s="39">
        <v>226</v>
      </c>
      <c r="H228" s="13" t="s">
        <v>738</v>
      </c>
      <c r="I228" s="38">
        <v>26357</v>
      </c>
      <c r="J228" s="38">
        <v>45658</v>
      </c>
      <c r="K228" s="40" t="s">
        <v>50</v>
      </c>
      <c r="L228" s="13" t="s">
        <v>51</v>
      </c>
      <c r="M228" s="13" t="s">
        <v>52</v>
      </c>
      <c r="N228" s="13" t="s">
        <v>739</v>
      </c>
      <c r="O228" s="13" t="s">
        <v>54</v>
      </c>
      <c r="P228" s="13" t="s">
        <v>55</v>
      </c>
      <c r="Q228" s="38">
        <v>26357</v>
      </c>
      <c r="R228" s="13" t="s">
        <v>740</v>
      </c>
      <c r="S228" s="41" t="s">
        <v>82</v>
      </c>
      <c r="T228" s="37">
        <v>6000000</v>
      </c>
      <c r="U228" s="38">
        <v>46015</v>
      </c>
      <c r="V228" s="39">
        <v>2025</v>
      </c>
      <c r="W228" s="42">
        <v>46008</v>
      </c>
      <c r="X228" s="41" t="s">
        <v>6</v>
      </c>
      <c r="Y228" s="38"/>
      <c r="Z228" s="50"/>
      <c r="AA228" s="38"/>
      <c r="AB228" s="43">
        <f>IF($AB$1&lt;W228,0,IF($AB$1&gt;Y228,0,T228))</f>
      </c>
      <c r="AC228" s="43">
        <f>IF($AC$2&lt;U228,0,IF(AND($AC$2&gt;U228,$AC$2&lt;Y228),T228,IF(X228="REJET",0,T228-Z228)))</f>
      </c>
      <c r="AD228" s="1"/>
      <c r="AE228" s="23"/>
      <c r="AF228" s="24"/>
      <c r="AG228" s="25"/>
    </row>
    <row x14ac:dyDescent="0.25" r="229" customHeight="1" ht="18.75">
      <c r="A229" s="13" t="s">
        <v>47</v>
      </c>
      <c r="B229" s="37">
        <v>900</v>
      </c>
      <c r="C229" s="13" t="s">
        <v>3</v>
      </c>
      <c r="D229" s="13" t="s">
        <v>48</v>
      </c>
      <c r="E229" s="38">
        <v>45658</v>
      </c>
      <c r="F229" s="38">
        <v>46022</v>
      </c>
      <c r="G229" s="39">
        <v>227</v>
      </c>
      <c r="H229" s="13" t="s">
        <v>741</v>
      </c>
      <c r="I229" s="38">
        <v>25286</v>
      </c>
      <c r="J229" s="38">
        <v>45658</v>
      </c>
      <c r="K229" s="40" t="s">
        <v>50</v>
      </c>
      <c r="L229" s="13" t="s">
        <v>51</v>
      </c>
      <c r="M229" s="13" t="s">
        <v>52</v>
      </c>
      <c r="N229" s="13" t="s">
        <v>742</v>
      </c>
      <c r="O229" s="13" t="s">
        <v>54</v>
      </c>
      <c r="P229" s="13" t="s">
        <v>55</v>
      </c>
      <c r="Q229" s="38">
        <v>25286</v>
      </c>
      <c r="R229" s="13" t="s">
        <v>743</v>
      </c>
      <c r="S229" s="41" t="s">
        <v>57</v>
      </c>
      <c r="T229" s="37">
        <v>1200000</v>
      </c>
      <c r="U229" s="38">
        <v>46016</v>
      </c>
      <c r="V229" s="39">
        <v>2025</v>
      </c>
      <c r="W229" s="42">
        <v>46016</v>
      </c>
      <c r="X229" s="41" t="s">
        <v>6</v>
      </c>
      <c r="Y229" s="38"/>
      <c r="Z229" s="50"/>
      <c r="AA229" s="38"/>
      <c r="AB229" s="43">
        <f>IF($AB$1&lt;W229,0,IF($AB$1&gt;Y229,0,T229))</f>
      </c>
      <c r="AC229" s="43">
        <f>IF($AC$2&lt;U229,0,IF(AND($AC$2&gt;U229,$AC$2&lt;Y229),T229,IF(X229="REJET",0,T229-Z229)))</f>
      </c>
      <c r="AD229" s="1"/>
      <c r="AE229" s="23"/>
      <c r="AF229" s="24"/>
      <c r="AG229" s="25"/>
    </row>
    <row x14ac:dyDescent="0.25" r="230" customHeight="1" ht="18.75">
      <c r="A230" s="13" t="s">
        <v>47</v>
      </c>
      <c r="B230" s="37">
        <v>900</v>
      </c>
      <c r="C230" s="13" t="s">
        <v>3</v>
      </c>
      <c r="D230" s="13" t="s">
        <v>48</v>
      </c>
      <c r="E230" s="38">
        <v>45658</v>
      </c>
      <c r="F230" s="38">
        <v>46022</v>
      </c>
      <c r="G230" s="39">
        <v>228</v>
      </c>
      <c r="H230" s="13" t="s">
        <v>744</v>
      </c>
      <c r="I230" s="38">
        <v>24816</v>
      </c>
      <c r="J230" s="38">
        <v>45658</v>
      </c>
      <c r="K230" s="40" t="s">
        <v>50</v>
      </c>
      <c r="L230" s="13" t="s">
        <v>51</v>
      </c>
      <c r="M230" s="13" t="s">
        <v>52</v>
      </c>
      <c r="N230" s="13" t="s">
        <v>745</v>
      </c>
      <c r="O230" s="13" t="s">
        <v>54</v>
      </c>
      <c r="P230" s="13" t="s">
        <v>55</v>
      </c>
      <c r="Q230" s="38">
        <v>24816</v>
      </c>
      <c r="R230" s="13" t="s">
        <v>746</v>
      </c>
      <c r="S230" s="41" t="s">
        <v>57</v>
      </c>
      <c r="T230" s="37">
        <v>1200000</v>
      </c>
      <c r="U230" s="38">
        <v>46016</v>
      </c>
      <c r="V230" s="39">
        <v>2025</v>
      </c>
      <c r="W230" s="42">
        <v>46016</v>
      </c>
      <c r="X230" s="41" t="s">
        <v>6</v>
      </c>
      <c r="Y230" s="38"/>
      <c r="Z230" s="50"/>
      <c r="AA230" s="38"/>
      <c r="AB230" s="43">
        <f>IF($AB$1&lt;W230,0,IF($AB$1&gt;Y230,0,T230))</f>
      </c>
      <c r="AC230" s="43">
        <f>IF($AC$2&lt;U230,0,IF(AND($AC$2&gt;U230,$AC$2&lt;Y230),T230,IF(X230="REJET",0,T230-Z230)))</f>
      </c>
      <c r="AD230" s="1"/>
      <c r="AE230" s="23"/>
      <c r="AF230" s="24"/>
      <c r="AG230" s="25"/>
    </row>
    <row x14ac:dyDescent="0.25" r="231" customHeight="1" ht="18.75">
      <c r="A231" s="13" t="s">
        <v>47</v>
      </c>
      <c r="B231" s="37">
        <v>900</v>
      </c>
      <c r="C231" s="13" t="s">
        <v>3</v>
      </c>
      <c r="D231" s="13" t="s">
        <v>48</v>
      </c>
      <c r="E231" s="38">
        <v>45658</v>
      </c>
      <c r="F231" s="38">
        <v>46022</v>
      </c>
      <c r="G231" s="39">
        <v>229</v>
      </c>
      <c r="H231" s="13" t="s">
        <v>747</v>
      </c>
      <c r="I231" s="38">
        <v>24764</v>
      </c>
      <c r="J231" s="38">
        <v>45658</v>
      </c>
      <c r="K231" s="40" t="s">
        <v>50</v>
      </c>
      <c r="L231" s="13" t="s">
        <v>51</v>
      </c>
      <c r="M231" s="13" t="s">
        <v>52</v>
      </c>
      <c r="N231" s="13" t="s">
        <v>748</v>
      </c>
      <c r="O231" s="13" t="s">
        <v>54</v>
      </c>
      <c r="P231" s="13" t="s">
        <v>55</v>
      </c>
      <c r="Q231" s="38">
        <v>24764</v>
      </c>
      <c r="R231" s="13" t="s">
        <v>749</v>
      </c>
      <c r="S231" s="41" t="s">
        <v>82</v>
      </c>
      <c r="T231" s="37">
        <v>6000000</v>
      </c>
      <c r="U231" s="38">
        <v>46018</v>
      </c>
      <c r="V231" s="39">
        <v>2025</v>
      </c>
      <c r="W231" s="42">
        <v>46004</v>
      </c>
      <c r="X231" s="41" t="s">
        <v>6</v>
      </c>
      <c r="Y231" s="38"/>
      <c r="Z231" s="50"/>
      <c r="AA231" s="38"/>
      <c r="AB231" s="43">
        <f>IF($AB$1&lt;W231,0,IF($AB$1&gt;Y231,0,T231))</f>
      </c>
      <c r="AC231" s="43">
        <f>IF($AC$2&lt;U231,0,IF(AND($AC$2&gt;U231,$AC$2&lt;Y231),T231,IF(X231="REJET",0,T231-Z231)))</f>
      </c>
      <c r="AD231" s="1"/>
      <c r="AE231" s="23"/>
      <c r="AF231" s="24"/>
      <c r="AG231" s="25"/>
    </row>
    <row x14ac:dyDescent="0.25" r="232" customHeight="1" ht="18.75">
      <c r="A232" s="13" t="s">
        <v>47</v>
      </c>
      <c r="B232" s="37">
        <v>900</v>
      </c>
      <c r="C232" s="13" t="s">
        <v>3</v>
      </c>
      <c r="D232" s="13" t="s">
        <v>48</v>
      </c>
      <c r="E232" s="38">
        <v>45658</v>
      </c>
      <c r="F232" s="38">
        <v>46022</v>
      </c>
      <c r="G232" s="39">
        <v>230</v>
      </c>
      <c r="H232" s="13" t="s">
        <v>750</v>
      </c>
      <c r="I232" s="38">
        <v>23478</v>
      </c>
      <c r="J232" s="38">
        <v>45658</v>
      </c>
      <c r="K232" s="40" t="s">
        <v>50</v>
      </c>
      <c r="L232" s="13" t="s">
        <v>51</v>
      </c>
      <c r="M232" s="13" t="s">
        <v>52</v>
      </c>
      <c r="N232" s="13" t="s">
        <v>751</v>
      </c>
      <c r="O232" s="13" t="s">
        <v>54</v>
      </c>
      <c r="P232" s="13" t="s">
        <v>55</v>
      </c>
      <c r="Q232" s="38">
        <v>23478</v>
      </c>
      <c r="R232" s="13" t="s">
        <v>752</v>
      </c>
      <c r="S232" s="41" t="s">
        <v>57</v>
      </c>
      <c r="T232" s="37">
        <v>1200000</v>
      </c>
      <c r="U232" s="38">
        <v>46019</v>
      </c>
      <c r="V232" s="39">
        <v>2025</v>
      </c>
      <c r="W232" s="42">
        <v>46019</v>
      </c>
      <c r="X232" s="41" t="s">
        <v>6</v>
      </c>
      <c r="Y232" s="38"/>
      <c r="Z232" s="50"/>
      <c r="AA232" s="38"/>
      <c r="AB232" s="43">
        <f>IF($AB$1&lt;W232,0,IF($AB$1&gt;Y232,0,T232))</f>
      </c>
      <c r="AC232" s="43">
        <f>IF($AC$2&lt;U232,0,IF(AND($AC$2&gt;U232,$AC$2&lt;Y232),T232,IF(X232="REJET",0,T232-Z232)))</f>
      </c>
      <c r="AD232" s="1"/>
      <c r="AE232" s="23"/>
      <c r="AF232" s="24"/>
      <c r="AG232" s="25"/>
    </row>
    <row x14ac:dyDescent="0.25" r="233" customHeight="1" ht="18.75">
      <c r="A233" s="13" t="s">
        <v>47</v>
      </c>
      <c r="B233" s="37">
        <v>900</v>
      </c>
      <c r="C233" s="13" t="s">
        <v>3</v>
      </c>
      <c r="D233" s="13" t="s">
        <v>48</v>
      </c>
      <c r="E233" s="38">
        <v>45658</v>
      </c>
      <c r="F233" s="38">
        <v>46022</v>
      </c>
      <c r="G233" s="39">
        <v>231</v>
      </c>
      <c r="H233" s="13" t="s">
        <v>753</v>
      </c>
      <c r="I233" s="38">
        <v>25533</v>
      </c>
      <c r="J233" s="38">
        <v>45658</v>
      </c>
      <c r="K233" s="40" t="s">
        <v>50</v>
      </c>
      <c r="L233" s="13" t="s">
        <v>51</v>
      </c>
      <c r="M233" s="13" t="s">
        <v>52</v>
      </c>
      <c r="N233" s="13" t="s">
        <v>754</v>
      </c>
      <c r="O233" s="13" t="s">
        <v>54</v>
      </c>
      <c r="P233" s="13" t="s">
        <v>55</v>
      </c>
      <c r="Q233" s="38">
        <v>25533</v>
      </c>
      <c r="R233" s="13" t="s">
        <v>755</v>
      </c>
      <c r="S233" s="41" t="s">
        <v>82</v>
      </c>
      <c r="T233" s="37">
        <v>6000000</v>
      </c>
      <c r="U233" s="38">
        <v>46019</v>
      </c>
      <c r="V233" s="39">
        <v>2025</v>
      </c>
      <c r="W233" s="42">
        <v>46018</v>
      </c>
      <c r="X233" s="41" t="s">
        <v>6</v>
      </c>
      <c r="Y233" s="38"/>
      <c r="Z233" s="50"/>
      <c r="AA233" s="38"/>
      <c r="AB233" s="43">
        <f>IF($AB$1&lt;W233,0,IF($AB$1&gt;Y233,0,T233))</f>
      </c>
      <c r="AC233" s="43">
        <f>IF($AC$2&lt;U233,0,IF(AND($AC$2&gt;U233,$AC$2&lt;Y233),T233,IF(X233="REJET",0,T233-Z233)))</f>
      </c>
      <c r="AD233" s="1"/>
      <c r="AE233" s="23"/>
      <c r="AF233" s="24"/>
      <c r="AG233" s="25"/>
    </row>
    <row x14ac:dyDescent="0.25" r="234" customHeight="1" ht="18.75">
      <c r="A234" s="13" t="s">
        <v>47</v>
      </c>
      <c r="B234" s="37">
        <v>900</v>
      </c>
      <c r="C234" s="13" t="s">
        <v>3</v>
      </c>
      <c r="D234" s="13" t="s">
        <v>48</v>
      </c>
      <c r="E234" s="38">
        <v>45658</v>
      </c>
      <c r="F234" s="38">
        <v>46022</v>
      </c>
      <c r="G234" s="39">
        <v>232</v>
      </c>
      <c r="H234" s="13" t="s">
        <v>756</v>
      </c>
      <c r="I234" s="38">
        <v>24905</v>
      </c>
      <c r="J234" s="38">
        <v>45658</v>
      </c>
      <c r="K234" s="40" t="s">
        <v>50</v>
      </c>
      <c r="L234" s="13" t="s">
        <v>51</v>
      </c>
      <c r="M234" s="13" t="s">
        <v>52</v>
      </c>
      <c r="N234" s="13" t="s">
        <v>757</v>
      </c>
      <c r="O234" s="13" t="s">
        <v>54</v>
      </c>
      <c r="P234" s="13" t="s">
        <v>55</v>
      </c>
      <c r="Q234" s="38">
        <v>24905</v>
      </c>
      <c r="R234" s="13" t="s">
        <v>758</v>
      </c>
      <c r="S234" s="41" t="s">
        <v>82</v>
      </c>
      <c r="T234" s="37">
        <v>6000000</v>
      </c>
      <c r="U234" s="38">
        <v>46020</v>
      </c>
      <c r="V234" s="39">
        <v>2025</v>
      </c>
      <c r="W234" s="42">
        <v>46017</v>
      </c>
      <c r="X234" s="41" t="s">
        <v>6</v>
      </c>
      <c r="Y234" s="38"/>
      <c r="Z234" s="50"/>
      <c r="AA234" s="38"/>
      <c r="AB234" s="43">
        <f>IF($AB$1&lt;W234,0,IF($AB$1&gt;Y234,0,T234))</f>
      </c>
      <c r="AC234" s="43">
        <f>IF($AC$2&lt;U234,0,IF(AND($AC$2&gt;U234,$AC$2&lt;Y234),T234,IF(X234="REJET",0,T234-Z234)))</f>
      </c>
      <c r="AD234" s="1"/>
      <c r="AE234" s="23"/>
      <c r="AF234" s="24"/>
      <c r="AG234" s="25"/>
    </row>
    <row x14ac:dyDescent="0.25" r="235" customHeight="1" ht="18.75">
      <c r="A235" s="13" t="s">
        <v>47</v>
      </c>
      <c r="B235" s="37">
        <v>900</v>
      </c>
      <c r="C235" s="13" t="s">
        <v>3</v>
      </c>
      <c r="D235" s="13" t="s">
        <v>48</v>
      </c>
      <c r="E235" s="38">
        <v>45658</v>
      </c>
      <c r="F235" s="38">
        <v>46022</v>
      </c>
      <c r="G235" s="39">
        <v>233</v>
      </c>
      <c r="H235" s="13" t="s">
        <v>759</v>
      </c>
      <c r="I235" s="38">
        <v>22436</v>
      </c>
      <c r="J235" s="38">
        <v>45658</v>
      </c>
      <c r="K235" s="40" t="s">
        <v>50</v>
      </c>
      <c r="L235" s="13" t="s">
        <v>51</v>
      </c>
      <c r="M235" s="13" t="s">
        <v>52</v>
      </c>
      <c r="N235" s="13" t="s">
        <v>760</v>
      </c>
      <c r="O235" s="13" t="s">
        <v>54</v>
      </c>
      <c r="P235" s="13" t="s">
        <v>55</v>
      </c>
      <c r="Q235" s="38">
        <v>22436</v>
      </c>
      <c r="R235" s="13" t="s">
        <v>761</v>
      </c>
      <c r="S235" s="41" t="s">
        <v>57</v>
      </c>
      <c r="T235" s="37">
        <v>1200000</v>
      </c>
      <c r="U235" s="38">
        <v>46022</v>
      </c>
      <c r="V235" s="39">
        <v>2025</v>
      </c>
      <c r="W235" s="42">
        <v>46022</v>
      </c>
      <c r="X235" s="41" t="s">
        <v>6</v>
      </c>
      <c r="Y235" s="38"/>
      <c r="Z235" s="50"/>
      <c r="AA235" s="38"/>
      <c r="AB235" s="43">
        <f>IF($AB$1&lt;W235,0,IF($AB$1&gt;Y235,0,T235))</f>
      </c>
      <c r="AC235" s="43">
        <f>IF($AC$2&lt;U235,0,IF(AND($AC$2&gt;U235,$AC$2&lt;Y235),T235,IF(X235="REJET",0,T235-Z235)))</f>
      </c>
      <c r="AD235" s="1"/>
      <c r="AE235" s="23"/>
      <c r="AF235" s="24"/>
      <c r="AG235" s="25"/>
    </row>
    <row x14ac:dyDescent="0.25" r="236" customHeight="1" ht="18.75">
      <c r="A236" s="13" t="s">
        <v>47</v>
      </c>
      <c r="B236" s="37">
        <v>900</v>
      </c>
      <c r="C236" s="13" t="s">
        <v>3</v>
      </c>
      <c r="D236" s="13" t="s">
        <v>48</v>
      </c>
      <c r="E236" s="38">
        <v>45658</v>
      </c>
      <c r="F236" s="38">
        <v>46022</v>
      </c>
      <c r="G236" s="39">
        <v>234</v>
      </c>
      <c r="H236" s="13" t="s">
        <v>762</v>
      </c>
      <c r="I236" s="38"/>
      <c r="J236" s="38">
        <v>45658</v>
      </c>
      <c r="K236" s="40" t="s">
        <v>50</v>
      </c>
      <c r="L236" s="13" t="s">
        <v>51</v>
      </c>
      <c r="M236" s="13" t="s">
        <v>52</v>
      </c>
      <c r="N236" s="13" t="s">
        <v>763</v>
      </c>
      <c r="O236" s="13" t="s">
        <v>54</v>
      </c>
      <c r="P236" s="13" t="s">
        <v>63</v>
      </c>
      <c r="Q236" s="38"/>
      <c r="R236" s="13" t="s">
        <v>764</v>
      </c>
      <c r="S236" s="41" t="s">
        <v>82</v>
      </c>
      <c r="T236" s="37">
        <v>6000000</v>
      </c>
      <c r="U236" s="38">
        <v>45839</v>
      </c>
      <c r="V236" s="39">
        <v>2025</v>
      </c>
      <c r="W236" s="42">
        <v>45802</v>
      </c>
      <c r="X236" s="41" t="s">
        <v>6</v>
      </c>
      <c r="Y236" s="38">
        <v>45983</v>
      </c>
      <c r="Z236" s="50"/>
      <c r="AA236" s="38"/>
      <c r="AB236" s="43">
        <f>IF($AB$1&lt;W236,0,IF($AB$1&gt;Y236,0,T236))</f>
      </c>
      <c r="AC236" s="43">
        <f>IF($AC$2&lt;U236,0,IF(AND($AC$2&gt;U236,$AC$2&lt;Y236),T236,IF(X236="REJET",0,T236-Z236)))</f>
      </c>
      <c r="AD236" s="1"/>
      <c r="AE236" s="23"/>
      <c r="AF236" s="24"/>
      <c r="AG236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5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/>
      <c r="B1" s="1"/>
      <c r="C1" s="1"/>
      <c r="D1" s="9"/>
      <c r="E1" s="1"/>
      <c r="F1" s="1"/>
      <c r="G1" s="1"/>
    </row>
    <row x14ac:dyDescent="0.25" r="2" customHeight="1" ht="18.75">
      <c r="A2" s="1"/>
      <c r="B2" s="1"/>
      <c r="C2" s="1"/>
      <c r="D2" s="9"/>
      <c r="E2" s="1"/>
      <c r="F2" s="1"/>
      <c r="G2" s="1"/>
    </row>
    <row x14ac:dyDescent="0.25" r="3" customHeight="1" ht="18.75">
      <c r="A3" s="1"/>
      <c r="B3" s="1"/>
      <c r="C3" s="1" t="s">
        <v>4</v>
      </c>
      <c r="D3" s="9" t="s">
        <v>5</v>
      </c>
      <c r="E3" s="1"/>
      <c r="F3" s="10" t="s">
        <v>6</v>
      </c>
      <c r="G3" s="1"/>
    </row>
    <row x14ac:dyDescent="0.25" r="4" customHeight="1" ht="18.75">
      <c r="A4" s="1"/>
      <c r="B4" s="1"/>
      <c r="C4" s="1"/>
      <c r="D4" s="11" t="s">
        <v>7</v>
      </c>
      <c r="E4" s="11" t="s">
        <v>8</v>
      </c>
      <c r="F4" s="11" t="s">
        <v>9</v>
      </c>
      <c r="G4" s="11" t="s">
        <v>6</v>
      </c>
    </row>
    <row x14ac:dyDescent="0.25" r="5" customHeight="1" ht="18.75">
      <c r="A5" s="1"/>
      <c r="B5" s="1"/>
      <c r="C5" s="1"/>
      <c r="D5" s="12" t="s">
        <v>10</v>
      </c>
      <c r="E5" s="13" t="s">
        <v>11</v>
      </c>
      <c r="F5" s="13" t="s">
        <v>12</v>
      </c>
      <c r="G5" s="13"/>
    </row>
    <row x14ac:dyDescent="0.25" r="6" customHeight="1" ht="18.75">
      <c r="A6" s="1"/>
      <c r="B6" s="1"/>
      <c r="C6" s="1"/>
      <c r="D6" s="14"/>
      <c r="E6" s="13" t="s">
        <v>11</v>
      </c>
      <c r="F6" s="13" t="s">
        <v>13</v>
      </c>
      <c r="G6" s="13"/>
    </row>
    <row x14ac:dyDescent="0.25" r="7" customHeight="1" ht="18.75">
      <c r="A7" s="1"/>
      <c r="B7" s="1"/>
      <c r="C7" s="1"/>
      <c r="D7" s="14"/>
      <c r="E7" s="13" t="s">
        <v>14</v>
      </c>
      <c r="F7" s="13" t="s">
        <v>12</v>
      </c>
      <c r="G7" s="13"/>
    </row>
    <row x14ac:dyDescent="0.25" r="8" customHeight="1" ht="18.75">
      <c r="A8" s="1"/>
      <c r="B8" s="1"/>
      <c r="C8" s="1"/>
      <c r="D8" s="14"/>
      <c r="E8" s="13" t="s">
        <v>14</v>
      </c>
      <c r="F8" s="13" t="s">
        <v>13</v>
      </c>
      <c r="G8" s="13"/>
    </row>
    <row x14ac:dyDescent="0.25" r="9" customHeight="1" ht="18.75">
      <c r="A9" s="1"/>
      <c r="B9" s="1"/>
      <c r="C9" s="1"/>
      <c r="D9" s="14"/>
      <c r="E9" s="13" t="s">
        <v>15</v>
      </c>
      <c r="F9" s="13"/>
      <c r="G9" s="13"/>
    </row>
    <row x14ac:dyDescent="0.25" r="10" customHeight="1" ht="18.75">
      <c r="A10" s="1"/>
      <c r="B10" s="1"/>
      <c r="C10" s="1"/>
      <c r="D10" s="14"/>
      <c r="E10" s="13" t="s">
        <v>16</v>
      </c>
      <c r="F10" s="13"/>
      <c r="G10" s="13"/>
    </row>
  </sheetData>
  <mergeCells count="1">
    <mergeCell ref="D5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4.005" customWidth="1" bestFit="1"/>
    <col min="5" max="5" style="8" width="16.290714285714284" customWidth="1" bestFit="1"/>
  </cols>
  <sheetData>
    <row x14ac:dyDescent="0.25" r="1" customHeight="1" ht="18.75">
      <c r="A1" s="1"/>
      <c r="B1" s="1"/>
      <c r="C1" s="1"/>
      <c r="D1" s="2"/>
      <c r="E1" s="3"/>
    </row>
    <row x14ac:dyDescent="0.25" r="2" customHeight="1" ht="18.75">
      <c r="A2" s="1"/>
      <c r="B2" s="1"/>
      <c r="C2" s="1"/>
      <c r="D2" s="2"/>
      <c r="E2" s="3"/>
    </row>
    <row x14ac:dyDescent="0.25" r="3" customHeight="1" ht="18.75">
      <c r="A3" s="1"/>
      <c r="B3" s="1"/>
      <c r="C3" s="1"/>
      <c r="D3" s="2"/>
      <c r="E3" s="3"/>
    </row>
    <row x14ac:dyDescent="0.25" r="4" customHeight="1" ht="18.75">
      <c r="A4" s="1"/>
      <c r="B4" s="1"/>
      <c r="C4" s="1" t="s">
        <v>0</v>
      </c>
      <c r="D4" s="2" t="s">
        <v>1</v>
      </c>
      <c r="E4" s="3" t="s">
        <v>2</v>
      </c>
    </row>
    <row x14ac:dyDescent="0.25" r="5" customHeight="1" ht="18.75">
      <c r="A5" s="1"/>
      <c r="B5" s="1"/>
      <c r="C5" s="1" t="s">
        <v>3</v>
      </c>
      <c r="D5" s="4">
        <f>'SAP GROUPE (2)'!AB1</f>
        <v>25569</v>
      </c>
      <c r="E5" s="5">
        <f>SUM('SAP GROUPE (2)'!AB3:AB236)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SAP GROUPE (2)</vt:lpstr>
      <vt:lpstr>RECAP</vt:lpstr>
      <vt:lpstr>ETAT SORTIE ATTENDU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2026-04-18T03:57:53.387Z</dcterms:created>
  <dcterms:modified xsi:type="dcterms:W3CDTF">2026-04-18T03:57:53.387Z</dcterms:modified>
</cp:coreProperties>
</file>