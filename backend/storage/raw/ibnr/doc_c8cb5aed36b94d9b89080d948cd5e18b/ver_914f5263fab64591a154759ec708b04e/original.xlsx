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I\INTERVENTION\PM\PROVISION THECHNIQUE ECOLE STATISTIQUE\"/>
    </mc:Choice>
  </mc:AlternateContent>
  <xr:revisionPtr revIDLastSave="0" documentId="13_ncr:1_{BCA5F6BB-86D2-486F-B5F5-1E7BE42EB17D}" xr6:coauthVersionLast="47" xr6:coauthVersionMax="47" xr10:uidLastSave="{00000000-0000-0000-0000-000000000000}"/>
  <bookViews>
    <workbookView xWindow="-108" yWindow="-108" windowWidth="23256" windowHeight="13896" xr2:uid="{D981AFF9-992F-49DB-8F0F-127EE3DAE64D}"/>
  </bookViews>
  <sheets>
    <sheet name="calcule IBNR" sheetId="3" r:id="rId1"/>
    <sheet name="base ADE" sheetId="1" r:id="rId2"/>
  </sheets>
  <externalReferences>
    <externalReference r:id="rId3"/>
    <externalReference r:id="rId4"/>
  </externalReferences>
  <definedNames>
    <definedName name="listeAgence">[1]!TAgence[[Agence ]]</definedName>
    <definedName name="listeProduit">[1]!TProduit[Produit]</definedName>
    <definedName name="listeStatut">[1]!TSTATUS[STATUT]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I34" i="3"/>
  <c r="I35" i="3"/>
  <c r="I36" i="3"/>
  <c r="I33" i="3"/>
  <c r="H34" i="3"/>
  <c r="H35" i="3"/>
  <c r="H36" i="3"/>
  <c r="H33" i="3"/>
  <c r="G36" i="3"/>
  <c r="G35" i="3"/>
  <c r="G34" i="3"/>
  <c r="G33" i="3"/>
  <c r="E35" i="3"/>
  <c r="E36" i="3"/>
  <c r="E34" i="3"/>
  <c r="D35" i="3"/>
  <c r="D36" i="3"/>
  <c r="C36" i="3"/>
  <c r="E29" i="3"/>
  <c r="D29" i="3"/>
  <c r="C29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K597" i="1"/>
  <c r="E597" i="1"/>
  <c r="K596" i="1"/>
  <c r="E596" i="1"/>
  <c r="K595" i="1"/>
  <c r="E595" i="1"/>
  <c r="K594" i="1"/>
  <c r="E594" i="1"/>
  <c r="K593" i="1"/>
  <c r="E593" i="1"/>
  <c r="K592" i="1"/>
  <c r="E592" i="1"/>
  <c r="K591" i="1"/>
  <c r="E591" i="1"/>
  <c r="K590" i="1"/>
  <c r="E590" i="1"/>
  <c r="K589" i="1"/>
  <c r="E589" i="1"/>
  <c r="K588" i="1"/>
  <c r="E588" i="1"/>
  <c r="K587" i="1"/>
  <c r="E587" i="1"/>
  <c r="K586" i="1"/>
  <c r="E586" i="1"/>
  <c r="K585" i="1"/>
  <c r="E585" i="1"/>
  <c r="K584" i="1"/>
  <c r="E584" i="1"/>
  <c r="K583" i="1"/>
  <c r="E583" i="1"/>
  <c r="K582" i="1"/>
  <c r="E582" i="1"/>
  <c r="K581" i="1"/>
  <c r="E581" i="1"/>
  <c r="K580" i="1"/>
  <c r="E580" i="1"/>
  <c r="K579" i="1"/>
  <c r="E579" i="1"/>
  <c r="K578" i="1"/>
  <c r="E578" i="1"/>
  <c r="K577" i="1"/>
  <c r="E577" i="1"/>
  <c r="K576" i="1"/>
  <c r="E576" i="1"/>
  <c r="K575" i="1"/>
  <c r="E575" i="1"/>
  <c r="K574" i="1"/>
  <c r="E574" i="1"/>
  <c r="K573" i="1"/>
  <c r="E573" i="1"/>
  <c r="K572" i="1"/>
  <c r="E572" i="1"/>
  <c r="K571" i="1"/>
  <c r="E571" i="1"/>
  <c r="K570" i="1"/>
  <c r="E570" i="1"/>
  <c r="K569" i="1"/>
  <c r="E569" i="1"/>
  <c r="K568" i="1"/>
  <c r="E568" i="1"/>
  <c r="K567" i="1"/>
  <c r="E567" i="1"/>
  <c r="K566" i="1"/>
  <c r="E566" i="1"/>
  <c r="K565" i="1"/>
  <c r="E565" i="1"/>
  <c r="K564" i="1"/>
  <c r="E564" i="1"/>
  <c r="K563" i="1"/>
  <c r="E563" i="1"/>
  <c r="K562" i="1"/>
  <c r="E562" i="1"/>
  <c r="K561" i="1"/>
  <c r="E561" i="1"/>
  <c r="K560" i="1"/>
  <c r="E560" i="1"/>
  <c r="K559" i="1"/>
  <c r="E559" i="1"/>
  <c r="K558" i="1"/>
  <c r="E558" i="1"/>
  <c r="K557" i="1"/>
  <c r="E557" i="1"/>
  <c r="K556" i="1"/>
  <c r="E556" i="1"/>
  <c r="K555" i="1"/>
  <c r="E555" i="1"/>
  <c r="K554" i="1"/>
  <c r="E554" i="1"/>
  <c r="K553" i="1"/>
  <c r="E553" i="1"/>
  <c r="K552" i="1"/>
  <c r="E552" i="1"/>
  <c r="K551" i="1"/>
  <c r="E551" i="1"/>
  <c r="K550" i="1"/>
  <c r="E550" i="1"/>
  <c r="K549" i="1"/>
  <c r="E549" i="1"/>
  <c r="K548" i="1"/>
  <c r="E548" i="1"/>
  <c r="K547" i="1"/>
  <c r="E547" i="1"/>
  <c r="K546" i="1"/>
  <c r="E546" i="1"/>
  <c r="K545" i="1"/>
  <c r="E545" i="1"/>
  <c r="K544" i="1"/>
  <c r="E544" i="1"/>
  <c r="K543" i="1"/>
  <c r="E543" i="1"/>
  <c r="K542" i="1"/>
  <c r="E542" i="1"/>
  <c r="K541" i="1"/>
  <c r="E541" i="1"/>
  <c r="K540" i="1"/>
  <c r="E540" i="1"/>
  <c r="K539" i="1"/>
  <c r="E539" i="1"/>
  <c r="K538" i="1"/>
  <c r="E538" i="1"/>
  <c r="K537" i="1"/>
  <c r="E537" i="1"/>
  <c r="K536" i="1"/>
  <c r="E536" i="1"/>
  <c r="K535" i="1"/>
  <c r="E535" i="1"/>
  <c r="K534" i="1"/>
  <c r="E534" i="1"/>
  <c r="K533" i="1"/>
  <c r="E533" i="1"/>
  <c r="K532" i="1"/>
  <c r="E532" i="1"/>
  <c r="K531" i="1"/>
  <c r="E531" i="1"/>
  <c r="K530" i="1"/>
  <c r="E530" i="1"/>
  <c r="K529" i="1"/>
  <c r="E529" i="1"/>
  <c r="K528" i="1"/>
  <c r="E528" i="1"/>
  <c r="K527" i="1"/>
  <c r="E527" i="1"/>
  <c r="K526" i="1"/>
  <c r="E526" i="1"/>
  <c r="K525" i="1"/>
  <c r="E525" i="1"/>
  <c r="K524" i="1"/>
  <c r="E524" i="1"/>
  <c r="K523" i="1"/>
  <c r="E523" i="1"/>
  <c r="K522" i="1"/>
  <c r="E522" i="1"/>
  <c r="K521" i="1"/>
  <c r="E521" i="1"/>
  <c r="K520" i="1"/>
  <c r="E520" i="1"/>
  <c r="K519" i="1"/>
  <c r="E519" i="1"/>
  <c r="K518" i="1"/>
  <c r="E518" i="1"/>
  <c r="K517" i="1"/>
  <c r="E517" i="1"/>
  <c r="K516" i="1"/>
  <c r="E516" i="1"/>
  <c r="K515" i="1"/>
  <c r="E515" i="1"/>
  <c r="K514" i="1"/>
  <c r="E514" i="1"/>
  <c r="K513" i="1"/>
  <c r="E513" i="1"/>
  <c r="K512" i="1"/>
  <c r="E512" i="1"/>
  <c r="K511" i="1"/>
  <c r="E511" i="1"/>
  <c r="K510" i="1"/>
  <c r="E510" i="1"/>
  <c r="K509" i="1"/>
  <c r="E509" i="1"/>
  <c r="K508" i="1"/>
  <c r="E508" i="1"/>
  <c r="K507" i="1"/>
  <c r="E507" i="1"/>
  <c r="K506" i="1"/>
  <c r="E506" i="1"/>
  <c r="K505" i="1"/>
  <c r="E505" i="1"/>
  <c r="K504" i="1"/>
  <c r="E504" i="1"/>
  <c r="K503" i="1"/>
  <c r="E503" i="1"/>
  <c r="K502" i="1"/>
  <c r="E502" i="1"/>
  <c r="K501" i="1"/>
  <c r="E501" i="1"/>
  <c r="K500" i="1"/>
  <c r="E500" i="1"/>
  <c r="K499" i="1"/>
  <c r="E499" i="1"/>
  <c r="K498" i="1"/>
  <c r="E498" i="1"/>
  <c r="K497" i="1"/>
  <c r="E497" i="1"/>
  <c r="K496" i="1"/>
  <c r="E496" i="1"/>
  <c r="K495" i="1"/>
  <c r="E495" i="1"/>
  <c r="K494" i="1"/>
  <c r="E494" i="1"/>
  <c r="K493" i="1"/>
  <c r="E493" i="1"/>
  <c r="K492" i="1"/>
  <c r="E492" i="1"/>
  <c r="K491" i="1"/>
  <c r="E491" i="1"/>
  <c r="K490" i="1"/>
  <c r="E490" i="1"/>
  <c r="K489" i="1"/>
  <c r="E489" i="1"/>
  <c r="K488" i="1"/>
  <c r="E488" i="1"/>
  <c r="K487" i="1"/>
  <c r="E487" i="1"/>
  <c r="K486" i="1"/>
  <c r="E486" i="1"/>
  <c r="K485" i="1"/>
  <c r="E485" i="1"/>
  <c r="K484" i="1"/>
  <c r="E484" i="1"/>
  <c r="K483" i="1"/>
  <c r="E483" i="1"/>
  <c r="K482" i="1"/>
  <c r="E482" i="1"/>
  <c r="K481" i="1"/>
  <c r="E481" i="1"/>
  <c r="K480" i="1"/>
  <c r="E480" i="1"/>
  <c r="K479" i="1"/>
  <c r="E479" i="1"/>
  <c r="K478" i="1"/>
  <c r="E478" i="1"/>
  <c r="K477" i="1"/>
  <c r="E477" i="1"/>
  <c r="K476" i="1"/>
  <c r="E476" i="1"/>
  <c r="K475" i="1"/>
  <c r="E475" i="1"/>
  <c r="K474" i="1"/>
  <c r="E474" i="1"/>
  <c r="K473" i="1"/>
  <c r="E473" i="1"/>
  <c r="K472" i="1"/>
  <c r="E472" i="1"/>
  <c r="K471" i="1"/>
  <c r="E471" i="1"/>
  <c r="K470" i="1"/>
  <c r="E470" i="1"/>
  <c r="K469" i="1"/>
  <c r="E469" i="1"/>
  <c r="K468" i="1"/>
  <c r="E468" i="1"/>
  <c r="K467" i="1"/>
  <c r="E467" i="1"/>
  <c r="K466" i="1"/>
  <c r="E466" i="1"/>
  <c r="K465" i="1"/>
  <c r="E465" i="1"/>
  <c r="K464" i="1"/>
  <c r="E464" i="1"/>
  <c r="K463" i="1"/>
  <c r="E463" i="1"/>
  <c r="K462" i="1"/>
  <c r="E462" i="1"/>
  <c r="K461" i="1"/>
  <c r="E461" i="1"/>
  <c r="K460" i="1"/>
  <c r="E460" i="1"/>
  <c r="K459" i="1"/>
  <c r="E459" i="1"/>
  <c r="K458" i="1"/>
  <c r="E458" i="1"/>
  <c r="K457" i="1"/>
  <c r="E457" i="1"/>
  <c r="K456" i="1"/>
  <c r="E456" i="1"/>
  <c r="K455" i="1"/>
  <c r="E455" i="1"/>
  <c r="K454" i="1"/>
  <c r="E454" i="1"/>
  <c r="K453" i="1"/>
  <c r="E453" i="1"/>
  <c r="K452" i="1"/>
  <c r="E452" i="1"/>
  <c r="K451" i="1"/>
  <c r="E451" i="1"/>
  <c r="K450" i="1"/>
  <c r="E450" i="1"/>
  <c r="K449" i="1"/>
  <c r="E449" i="1"/>
  <c r="K448" i="1"/>
  <c r="E448" i="1"/>
  <c r="K447" i="1"/>
  <c r="E447" i="1"/>
  <c r="K446" i="1"/>
  <c r="E446" i="1"/>
  <c r="K445" i="1"/>
  <c r="E445" i="1"/>
  <c r="K444" i="1"/>
  <c r="E444" i="1"/>
  <c r="K443" i="1"/>
  <c r="E443" i="1"/>
  <c r="K442" i="1"/>
  <c r="E442" i="1"/>
  <c r="K441" i="1"/>
  <c r="E441" i="1"/>
  <c r="K440" i="1"/>
  <c r="E440" i="1"/>
  <c r="K439" i="1"/>
  <c r="E439" i="1"/>
  <c r="K438" i="1"/>
  <c r="E438" i="1"/>
  <c r="K437" i="1"/>
  <c r="E437" i="1"/>
  <c r="K436" i="1"/>
  <c r="E436" i="1"/>
  <c r="K435" i="1"/>
  <c r="E435" i="1"/>
  <c r="K434" i="1"/>
  <c r="E434" i="1"/>
  <c r="K433" i="1"/>
  <c r="E433" i="1"/>
  <c r="K432" i="1"/>
  <c r="E432" i="1"/>
  <c r="K431" i="1"/>
  <c r="E431" i="1"/>
  <c r="K430" i="1"/>
  <c r="E430" i="1"/>
  <c r="K429" i="1"/>
  <c r="E429" i="1"/>
  <c r="K428" i="1"/>
  <c r="E428" i="1"/>
  <c r="K427" i="1"/>
  <c r="E427" i="1"/>
  <c r="K426" i="1"/>
  <c r="E426" i="1"/>
  <c r="K425" i="1"/>
  <c r="E425" i="1"/>
  <c r="K424" i="1"/>
  <c r="E424" i="1"/>
  <c r="K423" i="1"/>
  <c r="E423" i="1"/>
  <c r="K422" i="1"/>
  <c r="E422" i="1"/>
  <c r="K421" i="1"/>
  <c r="E421" i="1"/>
  <c r="K420" i="1"/>
  <c r="E420" i="1"/>
  <c r="K419" i="1"/>
  <c r="E419" i="1"/>
  <c r="K418" i="1"/>
  <c r="E418" i="1"/>
  <c r="K417" i="1"/>
  <c r="E417" i="1"/>
  <c r="K416" i="1"/>
  <c r="E416" i="1"/>
  <c r="K415" i="1"/>
  <c r="E415" i="1"/>
  <c r="K414" i="1"/>
  <c r="E414" i="1"/>
  <c r="K413" i="1"/>
  <c r="E413" i="1"/>
  <c r="K412" i="1"/>
  <c r="E412" i="1"/>
  <c r="K411" i="1"/>
  <c r="E411" i="1"/>
  <c r="K410" i="1"/>
  <c r="E410" i="1"/>
  <c r="K409" i="1"/>
  <c r="E409" i="1"/>
  <c r="K408" i="1"/>
  <c r="E408" i="1"/>
  <c r="K407" i="1"/>
  <c r="E407" i="1"/>
  <c r="K406" i="1"/>
  <c r="E406" i="1"/>
  <c r="K405" i="1"/>
  <c r="E405" i="1"/>
  <c r="K404" i="1"/>
  <c r="E404" i="1"/>
  <c r="K403" i="1"/>
  <c r="E403" i="1"/>
  <c r="K402" i="1"/>
  <c r="E402" i="1"/>
  <c r="K401" i="1"/>
  <c r="E401" i="1"/>
  <c r="K400" i="1"/>
  <c r="E400" i="1"/>
  <c r="K399" i="1"/>
  <c r="E399" i="1"/>
  <c r="K398" i="1"/>
  <c r="E398" i="1"/>
  <c r="K397" i="1"/>
  <c r="E397" i="1"/>
  <c r="K396" i="1"/>
  <c r="E396" i="1"/>
  <c r="K395" i="1"/>
  <c r="E395" i="1"/>
  <c r="K394" i="1"/>
  <c r="E394" i="1"/>
  <c r="K393" i="1"/>
  <c r="E393" i="1"/>
  <c r="K392" i="1"/>
  <c r="E392" i="1"/>
  <c r="K391" i="1"/>
  <c r="E391" i="1"/>
  <c r="K390" i="1"/>
  <c r="E390" i="1"/>
  <c r="K389" i="1"/>
  <c r="E389" i="1"/>
  <c r="K388" i="1"/>
  <c r="E388" i="1"/>
  <c r="K387" i="1"/>
  <c r="E387" i="1"/>
  <c r="K386" i="1"/>
  <c r="E386" i="1"/>
  <c r="K385" i="1"/>
  <c r="E385" i="1"/>
  <c r="K384" i="1"/>
  <c r="E384" i="1"/>
  <c r="K383" i="1"/>
  <c r="E383" i="1"/>
  <c r="K382" i="1"/>
  <c r="E382" i="1"/>
  <c r="K381" i="1"/>
  <c r="E381" i="1"/>
  <c r="K380" i="1"/>
  <c r="E380" i="1"/>
  <c r="K379" i="1"/>
  <c r="K378" i="1"/>
  <c r="K377" i="1"/>
  <c r="K376" i="1"/>
  <c r="K375" i="1"/>
  <c r="K374" i="1"/>
  <c r="K373" i="1"/>
  <c r="K372" i="1"/>
  <c r="J371" i="1"/>
  <c r="K371" i="1" s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K311" i="1"/>
  <c r="K310" i="1"/>
  <c r="J310" i="1"/>
  <c r="J309" i="1"/>
  <c r="K309" i="1" s="1"/>
  <c r="J308" i="1"/>
  <c r="K308" i="1" s="1"/>
  <c r="K307" i="1"/>
  <c r="J307" i="1"/>
  <c r="J306" i="1"/>
  <c r="K306" i="1" s="1"/>
  <c r="J305" i="1"/>
  <c r="K305" i="1" s="1"/>
  <c r="J304" i="1"/>
  <c r="K304" i="1" s="1"/>
  <c r="J303" i="1"/>
  <c r="K303" i="1" s="1"/>
  <c r="K302" i="1"/>
  <c r="J302" i="1"/>
  <c r="J301" i="1"/>
  <c r="K301" i="1" s="1"/>
  <c r="K300" i="1"/>
  <c r="J300" i="1"/>
  <c r="J299" i="1"/>
  <c r="K299" i="1" s="1"/>
  <c r="K298" i="1"/>
  <c r="J298" i="1"/>
  <c r="K297" i="1"/>
  <c r="J296" i="1"/>
  <c r="K296" i="1" s="1"/>
  <c r="J295" i="1"/>
  <c r="K295" i="1" s="1"/>
  <c r="K294" i="1"/>
  <c r="J294" i="1"/>
  <c r="K293" i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J258" i="1"/>
  <c r="K258" i="1" s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E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E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E17" i="3"/>
  <c r="D18" i="3"/>
  <c r="D17" i="3"/>
  <c r="C19" i="3"/>
  <c r="C18" i="3"/>
  <c r="C17" i="3"/>
  <c r="B20" i="3"/>
  <c r="B19" i="3"/>
  <c r="B18" i="3"/>
  <c r="B17" i="3"/>
  <c r="C25" i="3" l="1"/>
  <c r="D25" i="3" s="1"/>
  <c r="E25" i="3" s="1"/>
  <c r="C26" i="3"/>
  <c r="D26" i="3" s="1"/>
  <c r="C27" i="3"/>
</calcChain>
</file>

<file path=xl/sharedStrings.xml><?xml version="1.0" encoding="utf-8"?>
<sst xmlns="http://schemas.openxmlformats.org/spreadsheetml/2006/main" count="1240" uniqueCount="628">
  <si>
    <t>N° SINISTRE</t>
  </si>
  <si>
    <t xml:space="preserve">Produit </t>
  </si>
  <si>
    <t xml:space="preserve">N°Adhesion </t>
  </si>
  <si>
    <t>Date de sous</t>
  </si>
  <si>
    <t>Année de souscription</t>
  </si>
  <si>
    <t xml:space="preserve">Date effet </t>
  </si>
  <si>
    <t>Date Échéance</t>
  </si>
  <si>
    <t>Date du Sinistre</t>
  </si>
  <si>
    <t>Année de sinistre</t>
  </si>
  <si>
    <t>Date de déclaration</t>
  </si>
  <si>
    <t>Année de déclaration</t>
  </si>
  <si>
    <t>le montant de sinistre</t>
  </si>
  <si>
    <t>611.2018.20.2.00001</t>
  </si>
  <si>
    <t>IMMO</t>
  </si>
  <si>
    <t>611.2018.20.2.00003</t>
  </si>
  <si>
    <t>611.2018.20.2.00005</t>
  </si>
  <si>
    <t>CONSO</t>
  </si>
  <si>
    <t>611.2018.20.2.00004</t>
  </si>
  <si>
    <t>611.2018.20.2.00002</t>
  </si>
  <si>
    <t>611.2019.20.2.00001</t>
  </si>
  <si>
    <t>611.2019.20.2.00002</t>
  </si>
  <si>
    <t>611.2019.20.2.00003</t>
  </si>
  <si>
    <t>611.2019.20.2.00004</t>
  </si>
  <si>
    <t>611.2019.20.2.00005</t>
  </si>
  <si>
    <t>WARDA</t>
  </si>
  <si>
    <t>611.2019.20.2.00006</t>
  </si>
  <si>
    <t>611.2019.20.2.00007</t>
  </si>
  <si>
    <t>611.2019.20.2.00008</t>
  </si>
  <si>
    <t>611.2019.20.2.00009</t>
  </si>
  <si>
    <t>611.2019.20.2.00010</t>
  </si>
  <si>
    <t>611.2019.20.2.00011</t>
  </si>
  <si>
    <t>611.2019.20.2.00012</t>
  </si>
  <si>
    <t>611,2019,20,2,00001</t>
  </si>
  <si>
    <t>611,2020,20,2,00001/1477</t>
  </si>
  <si>
    <t>611.2020.20.2.00003</t>
  </si>
  <si>
    <t>611,2019,20,2,00001/4360</t>
  </si>
  <si>
    <t>611.2020.20.2.00005</t>
  </si>
  <si>
    <t>611.2020.20.2.00006</t>
  </si>
  <si>
    <t>611.2020.20.2.00008</t>
  </si>
  <si>
    <t>611,2020,20,2,00001/8055</t>
  </si>
  <si>
    <t>611.2020.20.2.00011</t>
  </si>
  <si>
    <t>611.2020.20.2.00016</t>
  </si>
  <si>
    <t>611.2020.20.2.00012</t>
  </si>
  <si>
    <t>611.2020.20.2.00013</t>
  </si>
  <si>
    <t>611,2024,20,2,00001/22808</t>
  </si>
  <si>
    <t>611.2020.20.2.00014</t>
  </si>
  <si>
    <t>611.2020.20.2.00015</t>
  </si>
  <si>
    <t>29/02/2022</t>
  </si>
  <si>
    <t>611.2020.20.2.00017</t>
  </si>
  <si>
    <t>611,2020,20,2,00001/3654</t>
  </si>
  <si>
    <t>611,2020,20,2,00001/5384</t>
  </si>
  <si>
    <t>611,2020,20,2,00001/</t>
  </si>
  <si>
    <t>611.2020.20.2.00020</t>
  </si>
  <si>
    <t>611.2020.20.2.00022</t>
  </si>
  <si>
    <t>611.2020.20.2.00023</t>
  </si>
  <si>
    <t>611,2020,20,2,00001/5210</t>
  </si>
  <si>
    <t>611.2020.20.2.00025</t>
  </si>
  <si>
    <t>611.2020.20.2.00026</t>
  </si>
  <si>
    <t>611,2020,20,2,00001/1242</t>
  </si>
  <si>
    <t>611,2020,20,2,00001/2283</t>
  </si>
  <si>
    <t>611,2020,20,2,00001/1508</t>
  </si>
  <si>
    <t>611.2020.20.2.00030</t>
  </si>
  <si>
    <t>611.2020.20.2.00029</t>
  </si>
  <si>
    <t>611,2020,20,2,00001/7826</t>
  </si>
  <si>
    <t>900.2020.20.2.00006</t>
  </si>
  <si>
    <t>611,2020,20,2,00001/702</t>
  </si>
  <si>
    <t>611.2020.20.2.00033</t>
  </si>
  <si>
    <t>611.2020.20.2.00034</t>
  </si>
  <si>
    <t>611,2019,20,2,00001/2946</t>
  </si>
  <si>
    <t>611,2021,20,2,00001/7681</t>
  </si>
  <si>
    <t>611,2020,20,2,00001/7786</t>
  </si>
  <si>
    <t>611.2021.20.2.00001</t>
  </si>
  <si>
    <t>611.2021.20.2.00002</t>
  </si>
  <si>
    <t>611.2021.20.2.00006</t>
  </si>
  <si>
    <t>611.2021.20.2.00021</t>
  </si>
  <si>
    <t>611,2020,20,2,00001/2988</t>
  </si>
  <si>
    <t>611,2021,20,2,00001/633</t>
  </si>
  <si>
    <t>611.2021.20.2.00005</t>
  </si>
  <si>
    <t>611,2021,20,2,00001/10056</t>
  </si>
  <si>
    <t>611.2021.20.2.00008</t>
  </si>
  <si>
    <t>611.2021.20.2.00010</t>
  </si>
  <si>
    <t>611,2020,20,2,00001/5336</t>
  </si>
  <si>
    <t>611.2021.20.2.00030</t>
  </si>
  <si>
    <t>611,2020,20,2,00001/4053</t>
  </si>
  <si>
    <t>611.2021.20.2.00012</t>
  </si>
  <si>
    <t>611.2021.20.2.00013</t>
  </si>
  <si>
    <t>611.2021.20.2.00016</t>
  </si>
  <si>
    <t>611.2021.20.2.00015</t>
  </si>
  <si>
    <t>611.2021.20.2.00017</t>
  </si>
  <si>
    <t>611.2021.20.2.00018</t>
  </si>
  <si>
    <t>611.2021.20.2.00032</t>
  </si>
  <si>
    <t>611,2021,20,2,00001/6692</t>
  </si>
  <si>
    <t>611.2021.20.2.00019</t>
  </si>
  <si>
    <t>611,2021,20,2,00001/10119</t>
  </si>
  <si>
    <t>611.2021.20.2.00020</t>
  </si>
  <si>
    <t>611.2021.20.2.00031</t>
  </si>
  <si>
    <t>611.2021.20.2.00036</t>
  </si>
  <si>
    <t>611.2021.20.2.00035</t>
  </si>
  <si>
    <t>611.2021.20.2.00054</t>
  </si>
  <si>
    <t>611,2021,20,2,00001/523</t>
  </si>
  <si>
    <t>611.2021.20.2.00022</t>
  </si>
  <si>
    <t>611,2021,20,2,00001/13109</t>
  </si>
  <si>
    <t>611.2021.20.2.00025</t>
  </si>
  <si>
    <t>611.2021.20.2.00038</t>
  </si>
  <si>
    <t>611,2021,20,2,00001/5476</t>
  </si>
  <si>
    <t>611.2021.20.2.00026</t>
  </si>
  <si>
    <t>611,2021,20,2,00001/12893</t>
  </si>
  <si>
    <t>611.2021.20.2.00027</t>
  </si>
  <si>
    <t>611.2021.20.2.00046</t>
  </si>
  <si>
    <t>611,2021,20,2,00001/2386</t>
  </si>
  <si>
    <t>611.2021.20.2.00037</t>
  </si>
  <si>
    <t>611.2021.20.2.00039</t>
  </si>
  <si>
    <t>611,2021,20,2,00001/957</t>
  </si>
  <si>
    <t>611.2021.20.2.00042</t>
  </si>
  <si>
    <t>611.2021.20.2.00041</t>
  </si>
  <si>
    <t>611.2021.20.2.00043</t>
  </si>
  <si>
    <t>611.2021.20.2.00045</t>
  </si>
  <si>
    <t>611,2021,20,2,00001/4061</t>
  </si>
  <si>
    <t>611,2021,20,2,00001/12396</t>
  </si>
  <si>
    <t>611.2021.20.2.00047</t>
  </si>
  <si>
    <t>611.2021.20.2.00048</t>
  </si>
  <si>
    <t>611.2022.20.2.00002</t>
  </si>
  <si>
    <t>611.2022.20.2.00025</t>
  </si>
  <si>
    <t>611.2021.20.2.00050</t>
  </si>
  <si>
    <t>611.2021.20.2.00053</t>
  </si>
  <si>
    <t>611,2021,20,2,00001/7218</t>
  </si>
  <si>
    <t>611.2021.20.2.00051</t>
  </si>
  <si>
    <t>611,2021,20,2,00001/9585</t>
  </si>
  <si>
    <t>611.2022.20.2.00026</t>
  </si>
  <si>
    <t>611,2021,20,2,00001/1172</t>
  </si>
  <si>
    <t>611.2021.20.2.00055</t>
  </si>
  <si>
    <t>611.2021.20.2.00056</t>
  </si>
  <si>
    <t>611,2022,20,2,00001/3182</t>
  </si>
  <si>
    <t>611,2022,20,2,00001/13604</t>
  </si>
  <si>
    <t>611,2022,20,2,00001/5804</t>
  </si>
  <si>
    <t>611,2022,20,2,00001/546</t>
  </si>
  <si>
    <t>611,2021,20,2,00001/13862</t>
  </si>
  <si>
    <t>611,2022,20,2,00001/4756</t>
  </si>
  <si>
    <t>611.2022.20.2.00007</t>
  </si>
  <si>
    <t>611.2022.20.2.00009</t>
  </si>
  <si>
    <t>611.2022.20.2.00019</t>
  </si>
  <si>
    <t>611,2022,20,2,00001/1800</t>
  </si>
  <si>
    <t>611.2022.20.2.00028</t>
  </si>
  <si>
    <t>611.2022.20.2.00013</t>
  </si>
  <si>
    <t>611.2023.20.2.00041</t>
  </si>
  <si>
    <t>611,2021,20,2,00001/13604</t>
  </si>
  <si>
    <t>611.2022.20.2.00030</t>
  </si>
  <si>
    <t>611,2022,20,2,00001/804</t>
  </si>
  <si>
    <t>611,2022,20,2,00001/9581</t>
  </si>
  <si>
    <t>611.2022.20.2.00020</t>
  </si>
  <si>
    <t>611.2022.20.2.00021</t>
  </si>
  <si>
    <t>611.2022.20.2.00031</t>
  </si>
  <si>
    <t>611.2022.20.2.00023</t>
  </si>
  <si>
    <t>611,2021,20,2,00001/1342</t>
  </si>
  <si>
    <t>611.2022.20.2.00032</t>
  </si>
  <si>
    <t>611.2022.20.2.00035</t>
  </si>
  <si>
    <t>Devis</t>
  </si>
  <si>
    <t>611.2022.20.2.00036</t>
  </si>
  <si>
    <t>611.2022.20.2.00037</t>
  </si>
  <si>
    <t>611,2022,20,2,00001/15573</t>
  </si>
  <si>
    <t>611,2022,20,2,00001/1753</t>
  </si>
  <si>
    <t>611.2022.20.2.00040</t>
  </si>
  <si>
    <t>611.2022.20.2.00041</t>
  </si>
  <si>
    <t>611,2021,20,2,00001/10171</t>
  </si>
  <si>
    <t>611.2022.20.2.00043</t>
  </si>
  <si>
    <t>611,2021,20,2,00001/1543</t>
  </si>
  <si>
    <t>611,2022,20,2,00001/5362</t>
  </si>
  <si>
    <t>611,2020,20,2,00001/894</t>
  </si>
  <si>
    <t>611.2022.20.2.00047</t>
  </si>
  <si>
    <t>611.2022.20.2.00062</t>
  </si>
  <si>
    <t>611,2022,20,2,00001/5124</t>
  </si>
  <si>
    <t>611,2022,20,2,00001/4253</t>
  </si>
  <si>
    <t>611.2022.20.2.00054</t>
  </si>
  <si>
    <t>611.2023.20.2.00019</t>
  </si>
  <si>
    <t>611,2022,20,2,00001/11609</t>
  </si>
  <si>
    <t>611.2022.20.2.00058</t>
  </si>
  <si>
    <t>611.2022.20.2.00053</t>
  </si>
  <si>
    <t>611,2022,20,2,00001/16145</t>
  </si>
  <si>
    <t>611.2022.20.2.00056</t>
  </si>
  <si>
    <t>611,2022,20,2,00001/1207</t>
  </si>
  <si>
    <t>611,2022,20,2,00059</t>
  </si>
  <si>
    <t>611.2022.20.2.00060</t>
  </si>
  <si>
    <t>611,2022,20,2,00001/1952</t>
  </si>
  <si>
    <t>611.2022.20.2.00064</t>
  </si>
  <si>
    <t>611,2022,20,2,00001/15602</t>
  </si>
  <si>
    <t>611,2022,20,2,00001/584</t>
  </si>
  <si>
    <t>AC-ELITE</t>
  </si>
  <si>
    <t>611,2022,20,2,00001/1931</t>
  </si>
  <si>
    <t>611.2022.20.2.00071</t>
  </si>
  <si>
    <t>611.2022.20.2.00076</t>
  </si>
  <si>
    <t>611.2022.20.2.00074</t>
  </si>
  <si>
    <t>611.2022.20.2.00077</t>
  </si>
  <si>
    <t>611,2022,20,2,00001/16677</t>
  </si>
  <si>
    <t>611,2022,20,2,00001/14821</t>
  </si>
  <si>
    <t>611,2022,20,2,00001/14423</t>
  </si>
  <si>
    <t>611,2022,20,2,00001/13416</t>
  </si>
  <si>
    <t>611,2022,20,2,00001/160063</t>
  </si>
  <si>
    <t>611.2022.20.2.00048</t>
  </si>
  <si>
    <t>611.2023.20.2.00004</t>
  </si>
  <si>
    <t>611,2022,20,2,00001/15233</t>
  </si>
  <si>
    <t>611.2023.20.2.00006</t>
  </si>
  <si>
    <t>611,2022,20,2,00001/4105</t>
  </si>
  <si>
    <t>611.2023.20.2.00007</t>
  </si>
  <si>
    <t>611.2023.20.2.00009</t>
  </si>
  <si>
    <t>611,2023,20,2,00001/10127</t>
  </si>
  <si>
    <t>611.2023.20.2.00012</t>
  </si>
  <si>
    <t>611,2022,20,2,00001/8269</t>
  </si>
  <si>
    <t>611.2023.20.2.00014</t>
  </si>
  <si>
    <t>611,2023,20,2,00001/17763</t>
  </si>
  <si>
    <t>611.2023.20.2.00016</t>
  </si>
  <si>
    <t>611.2023.20.2.00017</t>
  </si>
  <si>
    <t>611.2023.20.2.00022</t>
  </si>
  <si>
    <t>611.2023.20.2.00027</t>
  </si>
  <si>
    <t>611.2023.20.2.00020</t>
  </si>
  <si>
    <t>611.2023.20.2.00038</t>
  </si>
  <si>
    <t>611.2023.20.2.00024</t>
  </si>
  <si>
    <t>611.2023.20.2.00028</t>
  </si>
  <si>
    <t>611.2023.20.2.00026</t>
  </si>
  <si>
    <t>611,2023,20,2,00001/21537</t>
  </si>
  <si>
    <t>611.2023.20.2.00029</t>
  </si>
  <si>
    <t>611.2023.20.2.00031</t>
  </si>
  <si>
    <t>611,2023,20,2,00001/13805</t>
  </si>
  <si>
    <t>611.2023.20.2.00036</t>
  </si>
  <si>
    <t>611.2023.20.2.00033</t>
  </si>
  <si>
    <t>611,2022,20,2,00001/14418</t>
  </si>
  <si>
    <t>611,2023,20,2,00001/5052</t>
  </si>
  <si>
    <t>611.2023.20.2.00035</t>
  </si>
  <si>
    <t>611.2023.20.2.00039</t>
  </si>
  <si>
    <t>611.2023.20.2.00040</t>
  </si>
  <si>
    <t>611.2023.20.2.00042</t>
  </si>
  <si>
    <t>611.2023.20.2.00043</t>
  </si>
  <si>
    <t>611.2023.20.2.00057</t>
  </si>
  <si>
    <t>611.2023.20.2.00044</t>
  </si>
  <si>
    <t>611.2023.20.2.00045</t>
  </si>
  <si>
    <t>611.2023.20.2.00046</t>
  </si>
  <si>
    <t>611.2023.20.2.00056</t>
  </si>
  <si>
    <t>611.2023.20.2.00047</t>
  </si>
  <si>
    <t>611,2023,20,2,00001/14075</t>
  </si>
  <si>
    <t>611,2023,20,2,00001/22406</t>
  </si>
  <si>
    <t>611,2023,20,2,00001/18488</t>
  </si>
  <si>
    <t>611.2023.20.2.00051</t>
  </si>
  <si>
    <t>611.2023.20.2.00052</t>
  </si>
  <si>
    <t>611,2023,20,2,00001/3289</t>
  </si>
  <si>
    <t>611.2023.20.2.00055</t>
  </si>
  <si>
    <t>611,2023,20,2,00001/3956</t>
  </si>
  <si>
    <t>611.2023.20.2.00069</t>
  </si>
  <si>
    <t>611,2023,20,2,00001/18342</t>
  </si>
  <si>
    <t>611.2023.20.2.00072</t>
  </si>
  <si>
    <t>611.2023.20.2.00073</t>
  </si>
  <si>
    <t>611.2023.20.2.00074</t>
  </si>
  <si>
    <t>611,2023,20,2,00001/6475</t>
  </si>
  <si>
    <t>611.2023.20.2.00078</t>
  </si>
  <si>
    <t>611.2023.20.2.00075</t>
  </si>
  <si>
    <t>611.2023.20.2.00079</t>
  </si>
  <si>
    <t>611.2023.20.2.00081</t>
  </si>
  <si>
    <t>611.2023.20.2.00082</t>
  </si>
  <si>
    <t>611,2023,20,2,00001/18232</t>
  </si>
  <si>
    <t>611.2023.20.2.00087</t>
  </si>
  <si>
    <t>611.2023.20.2.00085</t>
  </si>
  <si>
    <t>611,2023,20,2,00001/14065</t>
  </si>
  <si>
    <t>611.2023.20.2.00086</t>
  </si>
  <si>
    <t>611.2023.20.2.00088</t>
  </si>
  <si>
    <t>23/0/2024</t>
  </si>
  <si>
    <t>611.2023.20.2.00090</t>
  </si>
  <si>
    <t>611.2023.20.2.00092</t>
  </si>
  <si>
    <t>611,2024,20,2,00001/18102</t>
  </si>
  <si>
    <t>611,2024,20,2,00001</t>
  </si>
  <si>
    <t>611,2024,20,2,00002</t>
  </si>
  <si>
    <t>611,2024,20,2,00003</t>
  </si>
  <si>
    <t>611,2023,20,2,00001/15184</t>
  </si>
  <si>
    <t>611,2023,20,2,00001/19729</t>
  </si>
  <si>
    <t>611,2024,20,2,00007</t>
  </si>
  <si>
    <t>611,2024,20,2,00008</t>
  </si>
  <si>
    <t>611,2024,20,2,00009</t>
  </si>
  <si>
    <t>611,2024,20,2,00010</t>
  </si>
  <si>
    <t>611,2024,20,2,00013</t>
  </si>
  <si>
    <t>611,2024,20,2,00011</t>
  </si>
  <si>
    <t>611,2024,20,2,00014</t>
  </si>
  <si>
    <t>611,2024,20,2,00012</t>
  </si>
  <si>
    <t>611,2024,20,2,00017</t>
  </si>
  <si>
    <t>611,2024,20,2,00018</t>
  </si>
  <si>
    <t>611,2024,20,2,00019</t>
  </si>
  <si>
    <t>611,2024,20,2,00023</t>
  </si>
  <si>
    <t>611,2024,20,2,00022</t>
  </si>
  <si>
    <t>611,2024,20,2,00029</t>
  </si>
  <si>
    <t>611,2024,20,2,00024</t>
  </si>
  <si>
    <t>611,2024,20,2,00026</t>
  </si>
  <si>
    <t>611,2024,20,2,00028</t>
  </si>
  <si>
    <t>611,2024,20,2,00030</t>
  </si>
  <si>
    <t>611,2024,20,2,00031</t>
  </si>
  <si>
    <t>611,2024,20,2,00033</t>
  </si>
  <si>
    <t>611,2023,20,2,00001/214404</t>
  </si>
  <si>
    <t>611,2024,20,2,00035</t>
  </si>
  <si>
    <t>611,2023,20,2,00001/18722</t>
  </si>
  <si>
    <t>611,2024,20,2,00001/31077</t>
  </si>
  <si>
    <t>611,2024,20,2,00039</t>
  </si>
  <si>
    <t>611,2024,20,2,00041</t>
  </si>
  <si>
    <t>611,2024,20,2,00043</t>
  </si>
  <si>
    <t>611,2024,20,2,00045</t>
  </si>
  <si>
    <t>611,2024,20,2,00001/18870</t>
  </si>
  <si>
    <t>611,2024,20,2,00048</t>
  </si>
  <si>
    <t>611,2024,20,2,00001/7463</t>
  </si>
  <si>
    <t>611,2024,20,2,00053</t>
  </si>
  <si>
    <t>611,2024,20,2,00054</t>
  </si>
  <si>
    <t>611,2024,20,2,00057</t>
  </si>
  <si>
    <t>611,2024,20,2,00001/26872</t>
  </si>
  <si>
    <t>611,2024,20,2,00061</t>
  </si>
  <si>
    <t>611,2024,20,2,00062</t>
  </si>
  <si>
    <t>611,2024,20,2,00063</t>
  </si>
  <si>
    <t>611,2024,20,2,00064</t>
  </si>
  <si>
    <t>611,2024,20,2,00065</t>
  </si>
  <si>
    <t>611,2024,20,2,00068</t>
  </si>
  <si>
    <t>611,2024,20,2,00069</t>
  </si>
  <si>
    <t>611,2024,20,2,00070</t>
  </si>
  <si>
    <t>611,2024,20,2,00001/12185</t>
  </si>
  <si>
    <t>611,2024,20,2,00073</t>
  </si>
  <si>
    <t>611,2024,20,2,00074</t>
  </si>
  <si>
    <t>611,2024,20,2,00076</t>
  </si>
  <si>
    <t>611,2024,20,2,00001/27032</t>
  </si>
  <si>
    <t>611,2024,20,2,00081</t>
  </si>
  <si>
    <t>611,2024,20,2,00083</t>
  </si>
  <si>
    <t>611,2024,20,2,00001/17481</t>
  </si>
  <si>
    <t>611,2024,20,2,00001/25272</t>
  </si>
  <si>
    <t>611,2024,20,2,00087</t>
  </si>
  <si>
    <t>611,2024,20,2,00088</t>
  </si>
  <si>
    <t>611,2024,20,2,00001/388</t>
  </si>
  <si>
    <t>611,2024,20,2,00091</t>
  </si>
  <si>
    <t>611,2024,20,2,00001/1275</t>
  </si>
  <si>
    <t>611,2024,20,2,00001/22527</t>
  </si>
  <si>
    <t>611,2024,20,2,00094</t>
  </si>
  <si>
    <t>611,2024,20,2,00095</t>
  </si>
  <si>
    <t>611,2024,20,2,00096</t>
  </si>
  <si>
    <t>611,2024,20,2,00097</t>
  </si>
  <si>
    <t>611,2024,20,2,00001/12024</t>
  </si>
  <si>
    <t>611,2024,20,2,00100</t>
  </si>
  <si>
    <t>611,2023,20,2,00001/26797</t>
  </si>
  <si>
    <t>611,2024,20,2,00001/9374</t>
  </si>
  <si>
    <t>611,2021,20,2,00001/532</t>
  </si>
  <si>
    <t>Conso</t>
  </si>
  <si>
    <t>611,2022,20,2,00001/446</t>
  </si>
  <si>
    <t>611,2022,20,2,00001/1628</t>
  </si>
  <si>
    <t>611.2023.20.2.00002</t>
  </si>
  <si>
    <t>611.2022.20.2.00051</t>
  </si>
  <si>
    <t>611,2022,20,2,00001/2326</t>
  </si>
  <si>
    <t>611,2022,20,2,00001/864</t>
  </si>
  <si>
    <t>611.2022.20.2.00081</t>
  </si>
  <si>
    <t>611.2023.20.2.00021</t>
  </si>
  <si>
    <t>611.2023.20.2.00065</t>
  </si>
  <si>
    <t>611,2023,20,2,00001/4252</t>
  </si>
  <si>
    <t>611,2023,20,2,00001/7721</t>
  </si>
  <si>
    <t>conso</t>
  </si>
  <si>
    <t>611.2023.20.2.00064</t>
  </si>
  <si>
    <t>611,2023,20,2,00001/3685</t>
  </si>
  <si>
    <t>611.2023.20.2.00063</t>
  </si>
  <si>
    <t>611,2023,20,2,00001/2635</t>
  </si>
  <si>
    <t>611.2023.20.2.00071</t>
  </si>
  <si>
    <t>611,2023,20,2,00001/6418</t>
  </si>
  <si>
    <t>611,2023,20,2,00001/149</t>
  </si>
  <si>
    <t>611.2023.20.2.00025</t>
  </si>
  <si>
    <t>611.2023.20.2.00061</t>
  </si>
  <si>
    <t>611,2023,20,2,00001/3621</t>
  </si>
  <si>
    <t>611.2023.20.2.00062</t>
  </si>
  <si>
    <t>611.2023.20.2.00080</t>
  </si>
  <si>
    <t>611,2022,20,2,00001/1979</t>
  </si>
  <si>
    <t>611.2023.20.2.00067</t>
  </si>
  <si>
    <t>611,2023,20,2,00001/544</t>
  </si>
  <si>
    <t>611.2023.20.2.00066</t>
  </si>
  <si>
    <t>611,2024,20,2,00016</t>
  </si>
  <si>
    <t>611,2024,20,2,00020</t>
  </si>
  <si>
    <t>611,2024,20,2,00015</t>
  </si>
  <si>
    <t>611,2024,20,2,00025</t>
  </si>
  <si>
    <t>611,2024,20,2,00027</t>
  </si>
  <si>
    <t>611,2024,20,2,00021</t>
  </si>
  <si>
    <t>611,2024,20,2,00006</t>
  </si>
  <si>
    <t>611,2024,20,2,00001/3977</t>
  </si>
  <si>
    <t>611,2024,20,2,00036</t>
  </si>
  <si>
    <t>611,2024,20,2,00001/1074</t>
  </si>
  <si>
    <t>611,2024,20,2,00001/10416</t>
  </si>
  <si>
    <t>611,2023,20,2,00001/471</t>
  </si>
  <si>
    <t>611,2024,20,2,00046</t>
  </si>
  <si>
    <t>611,2024,20,2,00050</t>
  </si>
  <si>
    <t>611,2024,20,2,00001/8286</t>
  </si>
  <si>
    <t>611,2024,20,2,00055</t>
  </si>
  <si>
    <t>611,2024,20,2,00072</t>
  </si>
  <si>
    <t>611,2024,20,2,00058</t>
  </si>
  <si>
    <t>611,2024,20,2,00059</t>
  </si>
  <si>
    <t>611,2024,20,2,00067</t>
  </si>
  <si>
    <t>611,2024,20,2,00080</t>
  </si>
  <si>
    <t>611,2024,20,2,00082</t>
  </si>
  <si>
    <t>611,2023,20,2,00001/4836</t>
  </si>
  <si>
    <t>611,2024,20,2,00098</t>
  </si>
  <si>
    <t>900,2020,20,2,00001/74</t>
  </si>
  <si>
    <t>900,2020,20,2,00001/7</t>
  </si>
  <si>
    <t>900.2020.20.2.00005</t>
  </si>
  <si>
    <t>900.2020.20.2.00004</t>
  </si>
  <si>
    <t>900.2020.20.2.00007</t>
  </si>
  <si>
    <t>900,2021,20,2,00001/74</t>
  </si>
  <si>
    <t>900.2022.20.2.00001</t>
  </si>
  <si>
    <t>900,2022,20,2,00001/23</t>
  </si>
  <si>
    <t>900,2022,20,2,00001/7</t>
  </si>
  <si>
    <t>900,2023,20,2,00001/198</t>
  </si>
  <si>
    <t>900.2023.20.2.00003</t>
  </si>
  <si>
    <t>900.2023.20.2.00004</t>
  </si>
  <si>
    <t>900.2023.20.2.00006</t>
  </si>
  <si>
    <t>900.2023.20.2.00007</t>
  </si>
  <si>
    <t>611.2022.20.2.00063</t>
  </si>
  <si>
    <t>611,2024,20,2,00044</t>
  </si>
  <si>
    <t>611,2024,20,2,00077</t>
  </si>
  <si>
    <t>611,2024,20,2,00001/601241</t>
  </si>
  <si>
    <t>611,2024,20,2,00086</t>
  </si>
  <si>
    <t>611,2024,20,2,00090</t>
  </si>
  <si>
    <t>611,2024,20,2,00106</t>
  </si>
  <si>
    <t>611,2024,20,2,00107</t>
  </si>
  <si>
    <t>611,2024,20,2,00109</t>
  </si>
  <si>
    <t>611,2024,20,2,00111</t>
  </si>
  <si>
    <t>611,2024,20,2,00113</t>
  </si>
  <si>
    <t>611,2024,20,2,00114</t>
  </si>
  <si>
    <t>611,2024,20,2,00116</t>
  </si>
  <si>
    <t>611,2024,20,2,00122</t>
  </si>
  <si>
    <t>611,2024,20,2,00127</t>
  </si>
  <si>
    <t>611,2024,20,2,00132</t>
  </si>
  <si>
    <t>611,2024,20,2,00101</t>
  </si>
  <si>
    <t>611,2024,20,2,00102</t>
  </si>
  <si>
    <t>611,2024,20,2,00104</t>
  </si>
  <si>
    <t>611,2024,20,2,00105</t>
  </si>
  <si>
    <t>611,2024,20,2,00108</t>
  </si>
  <si>
    <t>611,2024,20,2,00110</t>
  </si>
  <si>
    <t>611,2024,20,2,00112</t>
  </si>
  <si>
    <t>611,2024,20,2,00115</t>
  </si>
  <si>
    <t>611,2024,20,2,00117</t>
  </si>
  <si>
    <t>611,2024,20,2,00118</t>
  </si>
  <si>
    <t>611,2024,20,2,00119</t>
  </si>
  <si>
    <t>611,2024,20,2,00120</t>
  </si>
  <si>
    <t>611,2024,20,2,00121</t>
  </si>
  <si>
    <t>611,2024,20,2,00123</t>
  </si>
  <si>
    <t>611,2024,20,2,00125</t>
  </si>
  <si>
    <t>611,2024,20,2,00126</t>
  </si>
  <si>
    <t>611,2024,20,2,00128</t>
  </si>
  <si>
    <t>611,2024,20,2,00129</t>
  </si>
  <si>
    <t>611,2024,20,2,00130</t>
  </si>
  <si>
    <t>611,2024,20,2,00133</t>
  </si>
  <si>
    <t>611,2024,20,2,00134</t>
  </si>
  <si>
    <t>611,2024,20,2,00135</t>
  </si>
  <si>
    <t>611,2024,20,2,00136</t>
  </si>
  <si>
    <t>611,2024,20,2,00137</t>
  </si>
  <si>
    <t>611,2024,20,2,00138</t>
  </si>
  <si>
    <t>11-022026</t>
  </si>
  <si>
    <t>611,2024,20,2,00139</t>
  </si>
  <si>
    <t>611,2024,20,2,00140</t>
  </si>
  <si>
    <t>611,2024,20,2,00079</t>
  </si>
  <si>
    <t>611,2024,20,2,00103</t>
  </si>
  <si>
    <t>611,2024,20,2,00124</t>
  </si>
  <si>
    <t>611,2024,20,2,00131</t>
  </si>
  <si>
    <t>900,2024,20,2,00001</t>
  </si>
  <si>
    <t>611,2025,20,2,00001</t>
  </si>
  <si>
    <t>611,2025,20,2,00002</t>
  </si>
  <si>
    <t>611,2025,20,2,00003</t>
  </si>
  <si>
    <t>611,2025,20,2,00004</t>
  </si>
  <si>
    <t>611,2025,20,2,00005</t>
  </si>
  <si>
    <t>611,2025,20,2,00006</t>
  </si>
  <si>
    <t>611,2025,20,2,00007</t>
  </si>
  <si>
    <t>611,2025,20,2,00008</t>
  </si>
  <si>
    <t>611,2025,20,2,00009</t>
  </si>
  <si>
    <t>611,2025,20,2,00010</t>
  </si>
  <si>
    <t>611,2025,20,2,00011</t>
  </si>
  <si>
    <t>611,2025,20,2,00012</t>
  </si>
  <si>
    <t>611,2025,20,2,00013</t>
  </si>
  <si>
    <t>611,2025,20,2,00014</t>
  </si>
  <si>
    <t>611,2025,20,2,00015</t>
  </si>
  <si>
    <t>611,2025,20,2,00016</t>
  </si>
  <si>
    <t>611,2025,20,2,00017</t>
  </si>
  <si>
    <t>611,2025,20,2,00018</t>
  </si>
  <si>
    <t>611,2025,20,2,00019</t>
  </si>
  <si>
    <t>611,2025,20,2,00020</t>
  </si>
  <si>
    <t>611,2025,20,2,00021</t>
  </si>
  <si>
    <t>611,2025,20,2,00022</t>
  </si>
  <si>
    <t>611,2025,20,2,00023</t>
  </si>
  <si>
    <t>611,2025,20,2,00024</t>
  </si>
  <si>
    <t>611,2025,20,2,00025</t>
  </si>
  <si>
    <t>611,2025,20,2,00026</t>
  </si>
  <si>
    <t>611,2025,20,2,00027</t>
  </si>
  <si>
    <t>611,2025,20,2,00028</t>
  </si>
  <si>
    <t>611,2025,20,2,00029</t>
  </si>
  <si>
    <t>611,2025,20,2,00030</t>
  </si>
  <si>
    <t>611,2025,20,2,00031</t>
  </si>
  <si>
    <t>611,2025,20,2,00032</t>
  </si>
  <si>
    <t>611,2025,20,2,00033</t>
  </si>
  <si>
    <t>611,2025,20,2,00034</t>
  </si>
  <si>
    <t>611,2025,20,2,00035</t>
  </si>
  <si>
    <t>611,2025,20,2,00036</t>
  </si>
  <si>
    <t>611,2025,20,2,00037</t>
  </si>
  <si>
    <t>10/11/20235</t>
  </si>
  <si>
    <t>611,2025,20,2,00038</t>
  </si>
  <si>
    <t>611,2025,20,2,00039</t>
  </si>
  <si>
    <t>611,2025,20,2,00040</t>
  </si>
  <si>
    <t>611,2025,20,2,00041</t>
  </si>
  <si>
    <t>18/05/027</t>
  </si>
  <si>
    <t>611,2025,20,2,00042</t>
  </si>
  <si>
    <t>611,2025,20,2,00043</t>
  </si>
  <si>
    <t>611,2025,20,2,00044</t>
  </si>
  <si>
    <t>611,2025,20,2,00045</t>
  </si>
  <si>
    <t>611,2025,20,2,00046</t>
  </si>
  <si>
    <t>611,2025,20,2,00047</t>
  </si>
  <si>
    <t>611,2025,20,2,00048</t>
  </si>
  <si>
    <t>611,2025,20,2,00049</t>
  </si>
  <si>
    <t>611,2025,20,2,00050</t>
  </si>
  <si>
    <t>611,2025,20,2,00051</t>
  </si>
  <si>
    <t>611,2025,20,2,00052</t>
  </si>
  <si>
    <t>611,2025,20,2,00053</t>
  </si>
  <si>
    <t>611,2025,20,2,00054</t>
  </si>
  <si>
    <t>611,2025,20,2,00055</t>
  </si>
  <si>
    <t>611,2025,20,2,00056</t>
  </si>
  <si>
    <t>611,2025,20,2,00057</t>
  </si>
  <si>
    <t>611,2025,20,2,00058</t>
  </si>
  <si>
    <t>611,2025,20,2,00059</t>
  </si>
  <si>
    <t>611,2025,20,2,00060</t>
  </si>
  <si>
    <t>611,2025,20,2,00061</t>
  </si>
  <si>
    <t>611,2025,20,2,00062</t>
  </si>
  <si>
    <t>611,2025,20,2,00063</t>
  </si>
  <si>
    <t>611,2025,20,2,00064</t>
  </si>
  <si>
    <t>611,2025,20,2,00065</t>
  </si>
  <si>
    <t>611,2025,20,2,00066</t>
  </si>
  <si>
    <t>611,2025,20,2,00067</t>
  </si>
  <si>
    <t>611,2025,20,2,00068</t>
  </si>
  <si>
    <t>611,2025,20,2,00069</t>
  </si>
  <si>
    <t>611,2025,20,2,00070</t>
  </si>
  <si>
    <t>611,2025,20,2,00071</t>
  </si>
  <si>
    <t>611,2025,20,2,00072</t>
  </si>
  <si>
    <t>611,2025,20,2,00073</t>
  </si>
  <si>
    <t>611,2025,20,2,00074</t>
  </si>
  <si>
    <t>611,2025,20,2,00075</t>
  </si>
  <si>
    <t>611,2025,20,2,00076</t>
  </si>
  <si>
    <t>611,2025,20,2,00077</t>
  </si>
  <si>
    <t>611,2025,20,2,00078</t>
  </si>
  <si>
    <t>611,2025,20,2,00079</t>
  </si>
  <si>
    <t>611,2025,20,2,00080</t>
  </si>
  <si>
    <t>611,2025,20,2,00081</t>
  </si>
  <si>
    <t>611,2025,20,2,00082</t>
  </si>
  <si>
    <t>611,2025,20,2,00083</t>
  </si>
  <si>
    <t>611,2025,20,2,00084</t>
  </si>
  <si>
    <t>611,2025,20,2,00085</t>
  </si>
  <si>
    <t>611,2025,20,2,00086</t>
  </si>
  <si>
    <t>611,2025,20,2,00087</t>
  </si>
  <si>
    <t>611,2025,20,2,00088</t>
  </si>
  <si>
    <t>611,2025,20,2,00089</t>
  </si>
  <si>
    <t>611,2025,20,2,00090</t>
  </si>
  <si>
    <t>611,2025,20,2,00091</t>
  </si>
  <si>
    <t>611,2025,20,2,00092</t>
  </si>
  <si>
    <t>611,2025,20,2,00093</t>
  </si>
  <si>
    <t>611,2025,20,2,00094</t>
  </si>
  <si>
    <t>611,2025,20,2,00095</t>
  </si>
  <si>
    <t>611,2025,20,2,00096</t>
  </si>
  <si>
    <t>611,2025,20,2,00097</t>
  </si>
  <si>
    <t>611,2025,20,2,00098</t>
  </si>
  <si>
    <t>611,2025,20,2,00099</t>
  </si>
  <si>
    <t>611,2025,20,2,00100</t>
  </si>
  <si>
    <t>611,2025,20,2,00101</t>
  </si>
  <si>
    <t>611,2025,20,2,00102</t>
  </si>
  <si>
    <t>611,2025,20,2,00103</t>
  </si>
  <si>
    <t>611,2025,20,2,00104</t>
  </si>
  <si>
    <t>611,2025,20,2,00105</t>
  </si>
  <si>
    <t>611,2025,20,2,00106</t>
  </si>
  <si>
    <t>611,2025,20,2,00107</t>
  </si>
  <si>
    <t>611,2025,20,2,00108</t>
  </si>
  <si>
    <t>611,2025,20,2,00109</t>
  </si>
  <si>
    <t>611,2025,20,2,00110</t>
  </si>
  <si>
    <t>611,2025,20,2,00111</t>
  </si>
  <si>
    <t>611,2025,20,2,00112</t>
  </si>
  <si>
    <t>611,2025,20,2,00113</t>
  </si>
  <si>
    <t>611,2025,20,2,00114</t>
  </si>
  <si>
    <t>611,2025,20,2,00115</t>
  </si>
  <si>
    <t>611,2025,20,2,00116</t>
  </si>
  <si>
    <t>611,2025,20,2,00117</t>
  </si>
  <si>
    <t>611,2025,20,2,00118</t>
  </si>
  <si>
    <t>611,2025,20,2,00119</t>
  </si>
  <si>
    <t>611,2025,20,2,00120</t>
  </si>
  <si>
    <t>30/19/2043</t>
  </si>
  <si>
    <t>611,2025,20,2,00121</t>
  </si>
  <si>
    <t>611,2025,20,2,00122</t>
  </si>
  <si>
    <t>611,2025,20,2,00123</t>
  </si>
  <si>
    <t>611,2025,20,2,00124</t>
  </si>
  <si>
    <t>611,2025,20,2,00125</t>
  </si>
  <si>
    <t>611,2025,20,2,00126</t>
  </si>
  <si>
    <t>611,2025,20,2,00127</t>
  </si>
  <si>
    <t>611,2025,20,2,00128</t>
  </si>
  <si>
    <t>611,2025,20,2,00129</t>
  </si>
  <si>
    <t>611,2025,20,2,00130</t>
  </si>
  <si>
    <t>611,2025,20,2,00131</t>
  </si>
  <si>
    <t>611,2025,20,2,00132</t>
  </si>
  <si>
    <t>611,2025,20,2,00133</t>
  </si>
  <si>
    <t>611,2025,20,2,00134</t>
  </si>
  <si>
    <t>611,2025,20,2,00135</t>
  </si>
  <si>
    <t>611,2025,20,2,00136</t>
  </si>
  <si>
    <t>611,2025,20,2,00137</t>
  </si>
  <si>
    <t>611,2025,20,2,00138</t>
  </si>
  <si>
    <t>611,2025,20,2,00139</t>
  </si>
  <si>
    <t>611,2025,20,2,00140</t>
  </si>
  <si>
    <t>611,2025,20,2,00141</t>
  </si>
  <si>
    <t>611,2025,20,2,00142</t>
  </si>
  <si>
    <t>611,2025,20,2,00143</t>
  </si>
  <si>
    <t>611,2025,20,2,00144</t>
  </si>
  <si>
    <t>611,2025,20,2,00145</t>
  </si>
  <si>
    <t>611,2025,20,2,00146</t>
  </si>
  <si>
    <t>611,2025,20,2,00147</t>
  </si>
  <si>
    <t>611,2025,20,2,00148</t>
  </si>
  <si>
    <t>611,2025,20,2,00149</t>
  </si>
  <si>
    <t>611,2025,20,2,00150</t>
  </si>
  <si>
    <t>611,2025,20,2,00151</t>
  </si>
  <si>
    <t>611,2025,20,2,00152</t>
  </si>
  <si>
    <t>611,2025,20,2,00153</t>
  </si>
  <si>
    <t>611,2025,20,2,00154</t>
  </si>
  <si>
    <t>611,2025,20,2,00155</t>
  </si>
  <si>
    <t>611,2025,20,2,00156</t>
  </si>
  <si>
    <t>Année de survenance/Année de développement</t>
  </si>
  <si>
    <t>colonne  mois IBNR</t>
  </si>
  <si>
    <t>Étiquettes de lignes</t>
  </si>
  <si>
    <t>Total général</t>
  </si>
  <si>
    <t>Étiquettes de colonnes</t>
  </si>
  <si>
    <t>Somme de le montant de sinistre</t>
  </si>
  <si>
    <t>?</t>
  </si>
  <si>
    <t>F</t>
  </si>
  <si>
    <t>estime</t>
  </si>
  <si>
    <t>cumul</t>
  </si>
  <si>
    <t>completer le cumul manquant</t>
  </si>
  <si>
    <t>Element de diagonale</t>
  </si>
  <si>
    <t>Valeur ultime</t>
  </si>
  <si>
    <t>reserve tardive</t>
  </si>
  <si>
    <t>IBNR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</si>
</sst>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D_A_-;\-* #,##0.00\ _D_A_-;_-* &quot;-&quot;??\ _D_A_-;_-@_-"/>
    <numFmt numFmtId="165" formatCode="#,##0.00\ &quot;DA&quot;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5" fontId="1" fillId="0" borderId="0" xfId="1" applyNumberFormat="1" applyFont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65" fontId="0" fillId="2" borderId="3" xfId="1" applyNumberFormat="1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4" borderId="1" xfId="0" applyNumberFormat="1" applyFill="1" applyBorder="1"/>
    <xf numFmtId="164" fontId="0" fillId="4" borderId="0" xfId="1" applyFont="1" applyFill="1"/>
    <xf numFmtId="164" fontId="0" fillId="5" borderId="1" xfId="0" applyNumberFormat="1" applyFill="1" applyBorder="1"/>
    <xf numFmtId="164" fontId="0" fillId="5" borderId="0" xfId="1" applyFont="1" applyFill="1"/>
    <xf numFmtId="164" fontId="0" fillId="6" borderId="1" xfId="0" applyNumberFormat="1" applyFill="1" applyBorder="1"/>
    <xf numFmtId="164" fontId="0" fillId="6" borderId="0" xfId="1" applyFont="1" applyFill="1"/>
    <xf numFmtId="164" fontId="0" fillId="7" borderId="1" xfId="0" applyNumberFormat="1" applyFill="1" applyBorder="1"/>
    <xf numFmtId="164" fontId="0" fillId="7" borderId="0" xfId="1" applyFont="1" applyFill="1"/>
    <xf numFmtId="166" fontId="0" fillId="0" borderId="1" xfId="0" applyNumberFormat="1" applyBorder="1"/>
    <xf numFmtId="0" fontId="0" fillId="7" borderId="0" xfId="0" applyFill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1" applyFont="1" applyBorder="1"/>
    <xf numFmtId="164" fontId="3" fillId="0" borderId="1" xfId="1" applyFont="1" applyBorder="1"/>
    <xf numFmtId="0" fontId="4" fillId="7" borderId="1" xfId="0" applyFont="1" applyFill="1" applyBorder="1"/>
    <xf numFmtId="164" fontId="5" fillId="0" borderId="1" xfId="1" applyFont="1" applyBorder="1"/>
    <xf numFmtId="164" fontId="5" fillId="0" borderId="1" xfId="0" applyNumberFormat="1" applyFont="1" applyBorder="1"/>
    <xf numFmtId="0" fontId="0" fillId="0" borderId="1" xfId="1" applyNumberFormat="1" applyFont="1" applyBorder="1"/>
    <xf numFmtId="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8" borderId="0" xfId="0" applyNumberFormat="1" applyFont="1" applyFill="1"/>
    <xf numFmtId="0" fontId="0" fillId="0" borderId="4" xfId="0" applyBorder="1" applyAlignment="1">
      <alignment horizontal="center"/>
    </xf>
  </cellXfs>
  <cellStyles count="2">
    <cellStyle name="Milliers" xfId="1" builtinId="3"/>
    <cellStyle name="Normal" xfId="0" builtinId="0"/>
  </cellStyles>
  <dxfs count="53">
    <dxf>
      <numFmt numFmtId="164" formatCode="_-* #,##0.00\ _D_A_-;\-* #,##0.00\ _D_A_-;_-* &quot;-&quot;??\ _D_A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0\ &quot;DA&quot;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_-* #,##0.00\ _D_A_-;\-* #,##0.00\ _D_A_-;_-* &quot;-&quot;??\ _D_A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ic.local\AGLIC\COMMERCIALE\BANCASSURANCE\BNA\Sinistres\Gestion-Sinistr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bie.youfiane\Desktop\IBNR%202026\ADE%202025.xlsx" TargetMode="External"/><Relationship Id="rId1" Type="http://schemas.openxmlformats.org/officeDocument/2006/relationships/externalLinkPath" Target="file:///C:\Users\rabie.youfiane\Desktop\IBNR%202026\AD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LISTE "/>
      <sheetName val="Gestion-Sinistres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istre"/>
      <sheetName val="Détails1"/>
      <sheetName val="Feuil3"/>
      <sheetName val="Feuil1"/>
      <sheetName val="Feuil2"/>
    </sheetNames>
    <sheetDataSet>
      <sheetData sheetId="0">
        <row r="232">
          <cell r="G232">
            <v>6115</v>
          </cell>
          <cell r="H232">
            <v>72419596</v>
          </cell>
          <cell r="I232">
            <v>43656</v>
          </cell>
          <cell r="J232">
            <v>43656</v>
          </cell>
          <cell r="K232">
            <v>54612</v>
          </cell>
          <cell r="L232">
            <v>900000</v>
          </cell>
          <cell r="M232">
            <v>61110</v>
          </cell>
          <cell r="N232">
            <v>30</v>
          </cell>
          <cell r="O232" t="str">
            <v>Unique</v>
          </cell>
          <cell r="P232" t="str">
            <v>Réglé</v>
          </cell>
          <cell r="Q232">
            <v>2023</v>
          </cell>
          <cell r="R232">
            <v>45208</v>
          </cell>
          <cell r="S232">
            <v>45164</v>
          </cell>
          <cell r="T232">
            <v>45456</v>
          </cell>
          <cell r="U232">
            <v>849970.66</v>
          </cell>
        </row>
        <row r="233">
          <cell r="G233">
            <v>3289</v>
          </cell>
          <cell r="I233">
            <v>43373</v>
          </cell>
          <cell r="J233">
            <v>43373</v>
          </cell>
          <cell r="K233">
            <v>54322</v>
          </cell>
          <cell r="L233">
            <v>1595075.16</v>
          </cell>
          <cell r="M233">
            <v>157783.95000000001</v>
          </cell>
          <cell r="N233">
            <v>30</v>
          </cell>
          <cell r="O233" t="str">
            <v>Unique</v>
          </cell>
          <cell r="P233" t="str">
            <v>Réglé</v>
          </cell>
          <cell r="Q233">
            <v>2023</v>
          </cell>
          <cell r="R233">
            <v>45208</v>
          </cell>
          <cell r="S233">
            <v>45185</v>
          </cell>
          <cell r="T233">
            <v>45279</v>
          </cell>
          <cell r="U233">
            <v>1375759.93</v>
          </cell>
        </row>
        <row r="234">
          <cell r="G234">
            <v>22150</v>
          </cell>
          <cell r="H234">
            <v>649</v>
          </cell>
          <cell r="I234">
            <v>44966</v>
          </cell>
          <cell r="J234">
            <v>44966</v>
          </cell>
          <cell r="K234">
            <v>46061</v>
          </cell>
          <cell r="L234">
            <v>358670</v>
          </cell>
          <cell r="M234">
            <v>3228.03</v>
          </cell>
          <cell r="N234">
            <v>3</v>
          </cell>
          <cell r="O234" t="str">
            <v>Unique</v>
          </cell>
          <cell r="P234" t="str">
            <v>Réglé</v>
          </cell>
          <cell r="Q234">
            <v>2023</v>
          </cell>
          <cell r="R234">
            <v>45309</v>
          </cell>
          <cell r="S234">
            <v>45204</v>
          </cell>
          <cell r="T234">
            <v>45349</v>
          </cell>
          <cell r="U234">
            <v>305924.40000000002</v>
          </cell>
        </row>
        <row r="235">
          <cell r="G235">
            <v>3956</v>
          </cell>
          <cell r="I235">
            <v>43450</v>
          </cell>
          <cell r="J235">
            <v>43450</v>
          </cell>
          <cell r="K235">
            <v>51844</v>
          </cell>
          <cell r="L235">
            <v>2685735</v>
          </cell>
          <cell r="M235">
            <v>285735</v>
          </cell>
          <cell r="N235">
            <v>23</v>
          </cell>
          <cell r="O235" t="str">
            <v>Unique</v>
          </cell>
          <cell r="P235" t="str">
            <v>Réglé</v>
          </cell>
          <cell r="Q235">
            <v>2023</v>
          </cell>
          <cell r="R235">
            <v>45348</v>
          </cell>
          <cell r="S235">
            <v>45117</v>
          </cell>
          <cell r="T235">
            <v>45280</v>
          </cell>
          <cell r="U235">
            <v>2451629.7400000002</v>
          </cell>
        </row>
        <row r="236">
          <cell r="G236">
            <v>28376</v>
          </cell>
          <cell r="H236">
            <v>52628989</v>
          </cell>
          <cell r="I236">
            <v>45137</v>
          </cell>
          <cell r="J236">
            <v>45137</v>
          </cell>
          <cell r="K236">
            <v>46232</v>
          </cell>
          <cell r="L236">
            <v>500000</v>
          </cell>
          <cell r="M236">
            <v>4500</v>
          </cell>
          <cell r="N236">
            <v>3</v>
          </cell>
          <cell r="O236" t="str">
            <v>Unique</v>
          </cell>
          <cell r="P236" t="str">
            <v>Réglé</v>
          </cell>
          <cell r="Q236">
            <v>2023</v>
          </cell>
          <cell r="R236">
            <v>45215</v>
          </cell>
          <cell r="S236">
            <v>45210</v>
          </cell>
          <cell r="T236">
            <v>45417</v>
          </cell>
          <cell r="U236">
            <v>475312.76</v>
          </cell>
        </row>
        <row r="237">
          <cell r="G237">
            <v>18342</v>
          </cell>
          <cell r="H237">
            <v>774000838</v>
          </cell>
          <cell r="I237">
            <v>44691</v>
          </cell>
          <cell r="J237">
            <v>44696</v>
          </cell>
          <cell r="K237">
            <v>55653</v>
          </cell>
          <cell r="L237">
            <v>6500000</v>
          </cell>
          <cell r="M237">
            <v>1131</v>
          </cell>
          <cell r="N237">
            <v>30</v>
          </cell>
          <cell r="O237" t="str">
            <v>Mensuelle</v>
          </cell>
          <cell r="P237" t="str">
            <v>Réglé</v>
          </cell>
          <cell r="Q237">
            <v>2023</v>
          </cell>
          <cell r="R237">
            <v>45320</v>
          </cell>
          <cell r="S237">
            <v>45217</v>
          </cell>
          <cell r="T237">
            <v>45279</v>
          </cell>
          <cell r="U237">
            <v>6235616.9800000004</v>
          </cell>
        </row>
        <row r="238">
          <cell r="G238">
            <v>3563</v>
          </cell>
          <cell r="H238">
            <v>57805840</v>
          </cell>
          <cell r="I238">
            <v>43402</v>
          </cell>
          <cell r="J238">
            <v>43403</v>
          </cell>
          <cell r="K238">
            <v>43398</v>
          </cell>
          <cell r="L238">
            <v>4000000</v>
          </cell>
          <cell r="M238">
            <v>406800</v>
          </cell>
          <cell r="N238">
            <v>15</v>
          </cell>
          <cell r="O238" t="str">
            <v>Unique</v>
          </cell>
          <cell r="P238" t="str">
            <v>Réglé</v>
          </cell>
          <cell r="Q238">
            <v>2023</v>
          </cell>
          <cell r="R238">
            <v>45266</v>
          </cell>
          <cell r="S238">
            <v>45066</v>
          </cell>
          <cell r="T238">
            <v>45372</v>
          </cell>
          <cell r="U238">
            <v>3064244.79</v>
          </cell>
        </row>
        <row r="239">
          <cell r="G239">
            <v>17627</v>
          </cell>
          <cell r="H239">
            <v>48725560</v>
          </cell>
          <cell r="I239">
            <v>44749</v>
          </cell>
          <cell r="J239">
            <v>44749</v>
          </cell>
          <cell r="K239">
            <v>45844</v>
          </cell>
          <cell r="L239">
            <v>460000</v>
          </cell>
          <cell r="M239">
            <v>4416</v>
          </cell>
          <cell r="N239">
            <v>3</v>
          </cell>
          <cell r="O239" t="str">
            <v>Unique</v>
          </cell>
          <cell r="P239" t="str">
            <v>Réglé</v>
          </cell>
          <cell r="Q239">
            <v>2023</v>
          </cell>
          <cell r="R239">
            <v>45407</v>
          </cell>
          <cell r="S239">
            <v>45091</v>
          </cell>
          <cell r="T239">
            <v>45315</v>
          </cell>
          <cell r="U239">
            <v>333726.88</v>
          </cell>
        </row>
        <row r="240">
          <cell r="G240">
            <v>24186</v>
          </cell>
          <cell r="H240">
            <v>63505499</v>
          </cell>
          <cell r="I240">
            <v>45004</v>
          </cell>
          <cell r="J240">
            <v>45004</v>
          </cell>
          <cell r="K240">
            <v>53769</v>
          </cell>
          <cell r="L240">
            <v>10800000</v>
          </cell>
          <cell r="M240">
            <v>870829.92</v>
          </cell>
          <cell r="N240">
            <v>24</v>
          </cell>
          <cell r="O240" t="str">
            <v>Unique</v>
          </cell>
          <cell r="P240" t="str">
            <v>Rejeté</v>
          </cell>
          <cell r="Q240">
            <v>2023</v>
          </cell>
          <cell r="R240">
            <v>45266</v>
          </cell>
          <cell r="S240">
            <v>45185</v>
          </cell>
          <cell r="T240" t="str">
            <v>-</v>
          </cell>
          <cell r="U240">
            <v>0</v>
          </cell>
        </row>
        <row r="241">
          <cell r="G241">
            <v>6475</v>
          </cell>
          <cell r="H241">
            <v>64613463</v>
          </cell>
          <cell r="I241">
            <v>43706</v>
          </cell>
          <cell r="J241">
            <v>43706</v>
          </cell>
          <cell r="K241">
            <v>51735</v>
          </cell>
          <cell r="L241">
            <v>7290000</v>
          </cell>
          <cell r="M241">
            <v>650126.21</v>
          </cell>
          <cell r="N241">
            <v>22</v>
          </cell>
          <cell r="O241" t="str">
            <v>Unique</v>
          </cell>
          <cell r="P241" t="str">
            <v>Réglé</v>
          </cell>
          <cell r="Q241">
            <v>2023</v>
          </cell>
          <cell r="R241">
            <v>45319</v>
          </cell>
          <cell r="S241">
            <v>45250</v>
          </cell>
          <cell r="T241">
            <v>45279</v>
          </cell>
          <cell r="U241">
            <v>3107643.32</v>
          </cell>
        </row>
        <row r="242">
          <cell r="G242">
            <v>20294</v>
          </cell>
          <cell r="H242">
            <v>85801377</v>
          </cell>
          <cell r="I242">
            <v>44797</v>
          </cell>
          <cell r="J242">
            <v>44797</v>
          </cell>
          <cell r="K242">
            <v>48449</v>
          </cell>
          <cell r="L242">
            <v>681000</v>
          </cell>
          <cell r="M242">
            <v>51619.8</v>
          </cell>
          <cell r="N242">
            <v>10</v>
          </cell>
          <cell r="O242" t="str">
            <v>Unique</v>
          </cell>
          <cell r="P242" t="str">
            <v>Réglé</v>
          </cell>
          <cell r="Q242">
            <v>2023</v>
          </cell>
          <cell r="R242">
            <v>45293</v>
          </cell>
          <cell r="S242">
            <v>45213</v>
          </cell>
          <cell r="T242">
            <v>45467</v>
          </cell>
          <cell r="U242">
            <v>637708.14</v>
          </cell>
        </row>
        <row r="243">
          <cell r="G243">
            <v>26189</v>
          </cell>
          <cell r="H243">
            <v>412233752</v>
          </cell>
          <cell r="I243">
            <v>45111</v>
          </cell>
          <cell r="J243">
            <v>45111</v>
          </cell>
          <cell r="K243">
            <v>59720</v>
          </cell>
          <cell r="L243">
            <v>3900000</v>
          </cell>
          <cell r="M243">
            <v>124410</v>
          </cell>
          <cell r="N243">
            <v>40</v>
          </cell>
          <cell r="O243" t="str">
            <v>Unique</v>
          </cell>
          <cell r="P243" t="str">
            <v>Réglé</v>
          </cell>
          <cell r="Q243">
            <v>2023</v>
          </cell>
          <cell r="R243">
            <v>45239</v>
          </cell>
          <cell r="S243">
            <v>45155</v>
          </cell>
          <cell r="T243">
            <v>45790</v>
          </cell>
          <cell r="U243">
            <v>3900000</v>
          </cell>
        </row>
        <row r="244">
          <cell r="G244">
            <v>22850</v>
          </cell>
          <cell r="H244">
            <v>72427938</v>
          </cell>
          <cell r="I244">
            <v>44987</v>
          </cell>
          <cell r="J244">
            <v>44987</v>
          </cell>
          <cell r="K244">
            <v>46082</v>
          </cell>
          <cell r="L244">
            <v>380000</v>
          </cell>
          <cell r="M244">
            <v>3420</v>
          </cell>
          <cell r="N244">
            <v>3</v>
          </cell>
          <cell r="O244" t="str">
            <v>Unique</v>
          </cell>
          <cell r="P244" t="str">
            <v>Réglé</v>
          </cell>
          <cell r="Q244">
            <v>2023</v>
          </cell>
          <cell r="R244">
            <v>45265</v>
          </cell>
          <cell r="S244">
            <v>45128</v>
          </cell>
          <cell r="T244">
            <v>45337</v>
          </cell>
          <cell r="U244">
            <v>348333.32</v>
          </cell>
        </row>
        <row r="245">
          <cell r="G245">
            <v>29841</v>
          </cell>
          <cell r="H245">
            <v>71114523</v>
          </cell>
          <cell r="I245">
            <v>45207</v>
          </cell>
          <cell r="J245">
            <v>45207</v>
          </cell>
          <cell r="K245">
            <v>46333</v>
          </cell>
          <cell r="L245">
            <v>395000</v>
          </cell>
          <cell r="M245">
            <v>3555</v>
          </cell>
          <cell r="N245">
            <v>3</v>
          </cell>
          <cell r="O245" t="str">
            <v>Unique</v>
          </cell>
          <cell r="P245" t="str">
            <v>Rejeté</v>
          </cell>
          <cell r="Q245">
            <v>2023</v>
          </cell>
          <cell r="R245">
            <v>45434</v>
          </cell>
          <cell r="S245">
            <v>45226</v>
          </cell>
          <cell r="T245" t="str">
            <v>-</v>
          </cell>
          <cell r="U245">
            <v>0</v>
          </cell>
        </row>
        <row r="246">
          <cell r="G246">
            <v>17475</v>
          </cell>
          <cell r="H246">
            <v>77400886</v>
          </cell>
          <cell r="I246">
            <v>44741</v>
          </cell>
          <cell r="J246">
            <v>44774</v>
          </cell>
          <cell r="K246">
            <v>45869</v>
          </cell>
          <cell r="L246">
            <v>459340</v>
          </cell>
          <cell r="M246">
            <v>4409.66</v>
          </cell>
          <cell r="N246">
            <v>3</v>
          </cell>
          <cell r="O246" t="str">
            <v>Unique</v>
          </cell>
          <cell r="P246" t="str">
            <v>Rejeté</v>
          </cell>
          <cell r="Q246">
            <v>2023</v>
          </cell>
          <cell r="R246">
            <v>45246</v>
          </cell>
          <cell r="S246">
            <v>45162</v>
          </cell>
          <cell r="T246" t="str">
            <v>-</v>
          </cell>
          <cell r="U246">
            <v>0</v>
          </cell>
        </row>
        <row r="247">
          <cell r="G247">
            <v>18232</v>
          </cell>
          <cell r="H247">
            <v>842217400</v>
          </cell>
          <cell r="I247">
            <v>44678</v>
          </cell>
          <cell r="J247">
            <v>44678</v>
          </cell>
          <cell r="K247">
            <v>55615</v>
          </cell>
          <cell r="L247">
            <v>2187964.5</v>
          </cell>
          <cell r="M247">
            <v>187964.5</v>
          </cell>
          <cell r="N247">
            <v>30</v>
          </cell>
          <cell r="O247" t="str">
            <v>Unique</v>
          </cell>
          <cell r="P247" t="str">
            <v>Rejeté</v>
          </cell>
          <cell r="Q247">
            <v>2023</v>
          </cell>
          <cell r="R247">
            <v>45249</v>
          </cell>
          <cell r="S247">
            <v>45253</v>
          </cell>
          <cell r="T247" t="str">
            <v>-</v>
          </cell>
          <cell r="U247">
            <v>0</v>
          </cell>
        </row>
        <row r="248">
          <cell r="G248">
            <v>20329</v>
          </cell>
          <cell r="H248">
            <v>848061120</v>
          </cell>
          <cell r="I248">
            <v>44906</v>
          </cell>
          <cell r="J248">
            <v>44907</v>
          </cell>
          <cell r="K248">
            <v>46002</v>
          </cell>
          <cell r="L248">
            <v>429000</v>
          </cell>
          <cell r="M248">
            <v>3861</v>
          </cell>
          <cell r="N248">
            <v>3</v>
          </cell>
          <cell r="O248" t="str">
            <v>Unique</v>
          </cell>
          <cell r="P248" t="str">
            <v>Réglé</v>
          </cell>
          <cell r="Q248">
            <v>2023</v>
          </cell>
          <cell r="R248">
            <v>45279</v>
          </cell>
          <cell r="S248">
            <v>45088</v>
          </cell>
          <cell r="T248">
            <v>45315</v>
          </cell>
          <cell r="U248">
            <v>376635.01</v>
          </cell>
        </row>
        <row r="249">
          <cell r="G249">
            <v>26024</v>
          </cell>
          <cell r="H249">
            <v>94800004</v>
          </cell>
          <cell r="I249">
            <v>45099</v>
          </cell>
          <cell r="J249">
            <v>45099</v>
          </cell>
          <cell r="K249">
            <v>54230</v>
          </cell>
          <cell r="L249">
            <v>5100000</v>
          </cell>
          <cell r="M249">
            <v>161925</v>
          </cell>
          <cell r="N249">
            <v>25</v>
          </cell>
          <cell r="O249" t="str">
            <v>Unique</v>
          </cell>
          <cell r="P249" t="str">
            <v>Réglé</v>
          </cell>
          <cell r="Q249">
            <v>2023</v>
          </cell>
          <cell r="R249">
            <v>45256</v>
          </cell>
          <cell r="S249">
            <v>45182</v>
          </cell>
          <cell r="T249">
            <v>45315</v>
          </cell>
          <cell r="U249">
            <v>3000000</v>
          </cell>
        </row>
        <row r="250">
          <cell r="G250">
            <v>14065</v>
          </cell>
          <cell r="H250">
            <v>773391171</v>
          </cell>
          <cell r="I250">
            <v>44389</v>
          </cell>
          <cell r="J250">
            <v>44392</v>
          </cell>
          <cell r="K250">
            <v>51691</v>
          </cell>
          <cell r="L250">
            <v>3420000</v>
          </cell>
          <cell r="M250">
            <v>103972.38</v>
          </cell>
          <cell r="N250">
            <v>20</v>
          </cell>
          <cell r="O250" t="str">
            <v>Unique</v>
          </cell>
          <cell r="P250" t="str">
            <v>Réglé</v>
          </cell>
          <cell r="Q250">
            <v>2023</v>
          </cell>
          <cell r="R250">
            <v>45273</v>
          </cell>
          <cell r="S250">
            <v>45231</v>
          </cell>
          <cell r="T250">
            <v>45294</v>
          </cell>
          <cell r="U250">
            <v>2103039.2200000002</v>
          </cell>
        </row>
        <row r="251">
          <cell r="G251">
            <v>16041</v>
          </cell>
          <cell r="H251">
            <v>32122085</v>
          </cell>
          <cell r="I251">
            <v>44644</v>
          </cell>
          <cell r="J251">
            <v>44644</v>
          </cell>
          <cell r="K251">
            <v>45739</v>
          </cell>
          <cell r="L251">
            <v>500000</v>
          </cell>
          <cell r="M251">
            <v>4800</v>
          </cell>
          <cell r="N251">
            <v>3</v>
          </cell>
          <cell r="O251" t="str">
            <v>Unique</v>
          </cell>
          <cell r="P251" t="str">
            <v>Attente complement</v>
          </cell>
          <cell r="Q251">
            <v>2023</v>
          </cell>
          <cell r="R251">
            <v>45788</v>
          </cell>
          <cell r="S251">
            <v>44969</v>
          </cell>
        </row>
        <row r="252">
          <cell r="G252">
            <v>2408</v>
          </cell>
          <cell r="H252">
            <v>62716052</v>
          </cell>
          <cell r="I252">
            <v>43520</v>
          </cell>
          <cell r="J252">
            <v>43521</v>
          </cell>
          <cell r="K252" t="str">
            <v>23/0/2024</v>
          </cell>
          <cell r="L252">
            <v>1190000</v>
          </cell>
          <cell r="M252">
            <v>11424</v>
          </cell>
          <cell r="N252">
            <v>5</v>
          </cell>
          <cell r="O252" t="str">
            <v>Unique</v>
          </cell>
          <cell r="P252" t="str">
            <v>Réglé</v>
          </cell>
          <cell r="Q252">
            <v>2023</v>
          </cell>
          <cell r="R252">
            <v>45277</v>
          </cell>
          <cell r="S252">
            <v>45252</v>
          </cell>
          <cell r="T252">
            <v>45294</v>
          </cell>
          <cell r="U252">
            <v>88901.29</v>
          </cell>
        </row>
        <row r="253">
          <cell r="G253">
            <v>15728</v>
          </cell>
          <cell r="H253">
            <v>94715329</v>
          </cell>
          <cell r="I253">
            <v>44623</v>
          </cell>
          <cell r="J253">
            <v>44650</v>
          </cell>
          <cell r="K253">
            <v>45745</v>
          </cell>
          <cell r="L253">
            <v>840000</v>
          </cell>
          <cell r="M253">
            <v>8064</v>
          </cell>
          <cell r="N253">
            <v>3</v>
          </cell>
          <cell r="O253" t="str">
            <v>Unique</v>
          </cell>
          <cell r="P253" t="str">
            <v>Attente complement</v>
          </cell>
          <cell r="Q253">
            <v>2023</v>
          </cell>
          <cell r="R253">
            <v>45267</v>
          </cell>
          <cell r="S253">
            <v>45239</v>
          </cell>
        </row>
        <row r="254">
          <cell r="G254">
            <v>22454</v>
          </cell>
          <cell r="H254">
            <v>51427083</v>
          </cell>
          <cell r="I254">
            <v>44977</v>
          </cell>
          <cell r="J254">
            <v>44977</v>
          </cell>
          <cell r="K254">
            <v>46072</v>
          </cell>
          <cell r="L254">
            <v>337000</v>
          </cell>
          <cell r="M254">
            <v>3033</v>
          </cell>
          <cell r="N254">
            <v>3</v>
          </cell>
          <cell r="O254" t="str">
            <v>Unique</v>
          </cell>
          <cell r="P254" t="str">
            <v>Attente complement</v>
          </cell>
          <cell r="Q254">
            <v>2023</v>
          </cell>
          <cell r="R254">
            <v>45424</v>
          </cell>
          <cell r="S254">
            <v>45114</v>
          </cell>
        </row>
        <row r="255">
          <cell r="G255">
            <v>18102</v>
          </cell>
          <cell r="H255">
            <v>25029917</v>
          </cell>
          <cell r="I255">
            <v>44787</v>
          </cell>
          <cell r="J255">
            <v>44788</v>
          </cell>
          <cell r="K255">
            <v>44787</v>
          </cell>
          <cell r="L255">
            <v>839000</v>
          </cell>
          <cell r="M255">
            <v>8054.4</v>
          </cell>
          <cell r="N255">
            <v>3</v>
          </cell>
          <cell r="O255" t="str">
            <v>Unique</v>
          </cell>
          <cell r="P255" t="str">
            <v>Attente complement</v>
          </cell>
          <cell r="Q255">
            <v>2024</v>
          </cell>
          <cell r="R255">
            <v>45284</v>
          </cell>
          <cell r="S255">
            <v>45292</v>
          </cell>
        </row>
        <row r="256">
          <cell r="G256">
            <v>16010</v>
          </cell>
          <cell r="H256">
            <v>60517403</v>
          </cell>
          <cell r="I256">
            <v>44643</v>
          </cell>
          <cell r="J256">
            <v>44678</v>
          </cell>
          <cell r="K256">
            <v>45773</v>
          </cell>
          <cell r="L256">
            <v>419790</v>
          </cell>
          <cell r="M256">
            <v>4029.98</v>
          </cell>
          <cell r="N256">
            <v>3</v>
          </cell>
          <cell r="O256" t="str">
            <v>Unique</v>
          </cell>
          <cell r="P256" t="str">
            <v>Attente complement</v>
          </cell>
          <cell r="Q256">
            <v>2024</v>
          </cell>
          <cell r="R256">
            <v>45279</v>
          </cell>
          <cell r="S256">
            <v>44840</v>
          </cell>
        </row>
        <row r="257">
          <cell r="G257">
            <v>18546</v>
          </cell>
          <cell r="H257">
            <v>63505651</v>
          </cell>
          <cell r="I257">
            <v>44826</v>
          </cell>
          <cell r="J257">
            <v>44826</v>
          </cell>
          <cell r="K257">
            <v>45921</v>
          </cell>
          <cell r="L257">
            <v>386526</v>
          </cell>
          <cell r="M257">
            <v>3710.65</v>
          </cell>
          <cell r="N257">
            <v>3</v>
          </cell>
          <cell r="O257" t="str">
            <v>Unique</v>
          </cell>
          <cell r="P257" t="str">
            <v>Rejeté</v>
          </cell>
          <cell r="Q257">
            <v>2024</v>
          </cell>
          <cell r="R257">
            <v>45291</v>
          </cell>
          <cell r="S257">
            <v>45234</v>
          </cell>
          <cell r="T257" t="str">
            <v>-</v>
          </cell>
          <cell r="U257">
            <v>0</v>
          </cell>
        </row>
        <row r="258">
          <cell r="G258">
            <v>22567</v>
          </cell>
          <cell r="H258">
            <v>44144863</v>
          </cell>
          <cell r="I258">
            <v>44924</v>
          </cell>
          <cell r="J258">
            <v>44924</v>
          </cell>
          <cell r="K258">
            <v>45654</v>
          </cell>
          <cell r="L258">
            <v>600000</v>
          </cell>
          <cell r="M258">
            <v>63420</v>
          </cell>
          <cell r="N258">
            <v>12</v>
          </cell>
          <cell r="O258" t="str">
            <v>Unique</v>
          </cell>
          <cell r="P258" t="str">
            <v>Transmis</v>
          </cell>
          <cell r="Q258">
            <v>2024</v>
          </cell>
          <cell r="R258">
            <v>45959</v>
          </cell>
          <cell r="S258">
            <v>45289</v>
          </cell>
        </row>
        <row r="259">
          <cell r="G259">
            <v>15184</v>
          </cell>
          <cell r="H259">
            <v>83401485</v>
          </cell>
          <cell r="I259">
            <v>44483</v>
          </cell>
          <cell r="J259">
            <v>44499</v>
          </cell>
          <cell r="K259">
            <v>47420</v>
          </cell>
          <cell r="L259">
            <v>1550578.5</v>
          </cell>
          <cell r="M259">
            <v>198531.97</v>
          </cell>
          <cell r="N259">
            <v>8</v>
          </cell>
          <cell r="O259" t="str">
            <v>Unique</v>
          </cell>
          <cell r="P259" t="str">
            <v>Réglé</v>
          </cell>
          <cell r="Q259">
            <v>2024</v>
          </cell>
          <cell r="R259">
            <v>45307</v>
          </cell>
          <cell r="S259">
            <v>45253</v>
          </cell>
          <cell r="T259">
            <v>45349</v>
          </cell>
          <cell r="U259">
            <v>398604.35</v>
          </cell>
        </row>
        <row r="260">
          <cell r="G260">
            <v>19729</v>
          </cell>
          <cell r="H260">
            <v>62606211</v>
          </cell>
          <cell r="I260">
            <v>44882</v>
          </cell>
          <cell r="J260">
            <v>44882</v>
          </cell>
          <cell r="K260">
            <v>45977</v>
          </cell>
          <cell r="L260">
            <v>970000</v>
          </cell>
          <cell r="M260">
            <v>8730</v>
          </cell>
          <cell r="N260">
            <v>3</v>
          </cell>
          <cell r="O260" t="str">
            <v>Unique</v>
          </cell>
          <cell r="P260" t="str">
            <v>Attente complement</v>
          </cell>
          <cell r="Q260">
            <v>2024</v>
          </cell>
          <cell r="R260">
            <v>45309</v>
          </cell>
          <cell r="S260">
            <v>45283</v>
          </cell>
        </row>
        <row r="261">
          <cell r="G261">
            <v>27445</v>
          </cell>
          <cell r="H261">
            <v>81322407</v>
          </cell>
          <cell r="I261">
            <v>45111</v>
          </cell>
          <cell r="J261">
            <v>45111</v>
          </cell>
          <cell r="K261">
            <v>46206</v>
          </cell>
          <cell r="L261">
            <v>550000</v>
          </cell>
          <cell r="M261">
            <v>4950</v>
          </cell>
          <cell r="N261">
            <v>3</v>
          </cell>
          <cell r="O261" t="str">
            <v>Unique</v>
          </cell>
          <cell r="P261" t="str">
            <v>Rejeté</v>
          </cell>
          <cell r="Q261">
            <v>2024</v>
          </cell>
          <cell r="R261">
            <v>45410</v>
          </cell>
          <cell r="S261">
            <v>45303</v>
          </cell>
          <cell r="T261" t="str">
            <v>-</v>
          </cell>
          <cell r="U261">
            <v>0</v>
          </cell>
        </row>
        <row r="262">
          <cell r="G262">
            <v>11057</v>
          </cell>
          <cell r="H262">
            <v>23121695</v>
          </cell>
          <cell r="I262">
            <v>44187</v>
          </cell>
          <cell r="J262">
            <v>44189</v>
          </cell>
          <cell r="K262">
            <v>45283</v>
          </cell>
          <cell r="L262">
            <v>620000</v>
          </cell>
          <cell r="M262">
            <v>5952</v>
          </cell>
          <cell r="N262">
            <v>3</v>
          </cell>
          <cell r="O262" t="str">
            <v>Unique</v>
          </cell>
          <cell r="P262" t="str">
            <v>Rejeté</v>
          </cell>
          <cell r="Q262">
            <v>2024</v>
          </cell>
          <cell r="R262">
            <v>45320</v>
          </cell>
          <cell r="S262">
            <v>44913</v>
          </cell>
          <cell r="T262" t="str">
            <v>-</v>
          </cell>
          <cell r="U262">
            <v>0</v>
          </cell>
        </row>
        <row r="263">
          <cell r="G263">
            <v>24329</v>
          </cell>
          <cell r="H263">
            <v>53308138</v>
          </cell>
          <cell r="I263">
            <v>45011</v>
          </cell>
          <cell r="J263">
            <v>45011</v>
          </cell>
          <cell r="K263">
            <v>52315</v>
          </cell>
          <cell r="L263">
            <v>1848500</v>
          </cell>
          <cell r="M263">
            <v>17523.78</v>
          </cell>
          <cell r="N263">
            <v>20</v>
          </cell>
          <cell r="O263" t="str">
            <v>Mensuelle</v>
          </cell>
          <cell r="P263" t="str">
            <v>Réglé</v>
          </cell>
          <cell r="Q263">
            <v>2024</v>
          </cell>
          <cell r="R263">
            <v>45438</v>
          </cell>
          <cell r="S263">
            <v>45309</v>
          </cell>
          <cell r="T263">
            <v>45453</v>
          </cell>
          <cell r="U263">
            <v>1848500</v>
          </cell>
        </row>
        <row r="264">
          <cell r="G264">
            <v>12312</v>
          </cell>
          <cell r="H264">
            <v>27529403</v>
          </cell>
          <cell r="I264">
            <v>44276</v>
          </cell>
          <cell r="J264">
            <v>44280</v>
          </cell>
          <cell r="K264">
            <v>45374</v>
          </cell>
          <cell r="L264">
            <v>1300000</v>
          </cell>
          <cell r="M264">
            <v>52650</v>
          </cell>
          <cell r="N264">
            <v>3</v>
          </cell>
          <cell r="O264" t="str">
            <v>Unique</v>
          </cell>
          <cell r="P264" t="str">
            <v>Réglé</v>
          </cell>
          <cell r="Q264">
            <v>2024</v>
          </cell>
          <cell r="R264">
            <v>45594</v>
          </cell>
          <cell r="S264">
            <v>45314</v>
          </cell>
          <cell r="T264">
            <v>45368</v>
          </cell>
          <cell r="U264">
            <v>153291.28</v>
          </cell>
        </row>
        <row r="265">
          <cell r="G265">
            <v>504</v>
          </cell>
          <cell r="H265">
            <v>646</v>
          </cell>
          <cell r="I265">
            <v>45217</v>
          </cell>
          <cell r="J265">
            <v>45217</v>
          </cell>
          <cell r="K265">
            <v>45582</v>
          </cell>
          <cell r="L265">
            <v>500000</v>
          </cell>
          <cell r="M265">
            <v>2218.5</v>
          </cell>
          <cell r="N265">
            <v>1</v>
          </cell>
          <cell r="O265" t="str">
            <v>Unique</v>
          </cell>
          <cell r="P265" t="str">
            <v>Réglé</v>
          </cell>
          <cell r="Q265">
            <v>2024</v>
          </cell>
          <cell r="R265">
            <v>45327</v>
          </cell>
          <cell r="S265">
            <v>45316</v>
          </cell>
          <cell r="T265">
            <v>45368</v>
          </cell>
          <cell r="U265">
            <v>500000</v>
          </cell>
        </row>
        <row r="266">
          <cell r="G266">
            <v>10973</v>
          </cell>
          <cell r="H266">
            <v>623</v>
          </cell>
          <cell r="I266">
            <v>44188</v>
          </cell>
          <cell r="J266">
            <v>44195</v>
          </cell>
          <cell r="K266">
            <v>49669</v>
          </cell>
          <cell r="L266">
            <v>8300000</v>
          </cell>
          <cell r="M266">
            <v>576020</v>
          </cell>
          <cell r="N266">
            <v>15</v>
          </cell>
          <cell r="O266" t="str">
            <v>Unique</v>
          </cell>
          <cell r="P266" t="str">
            <v>Réglé</v>
          </cell>
          <cell r="Q266">
            <v>2024</v>
          </cell>
          <cell r="R266">
            <v>45435</v>
          </cell>
          <cell r="S266">
            <v>45289</v>
          </cell>
          <cell r="T266">
            <v>45453</v>
          </cell>
          <cell r="U266">
            <v>3946284.12</v>
          </cell>
        </row>
        <row r="267">
          <cell r="G267">
            <v>24243</v>
          </cell>
          <cell r="H267">
            <v>58522087</v>
          </cell>
          <cell r="I267">
            <v>45006</v>
          </cell>
          <cell r="J267">
            <v>45006</v>
          </cell>
          <cell r="K267">
            <v>46832</v>
          </cell>
          <cell r="L267">
            <v>690000</v>
          </cell>
          <cell r="M267">
            <v>14007</v>
          </cell>
          <cell r="N267">
            <v>5</v>
          </cell>
          <cell r="O267" t="str">
            <v>Unique</v>
          </cell>
          <cell r="P267" t="str">
            <v>Réglé</v>
          </cell>
          <cell r="Q267">
            <v>2024</v>
          </cell>
          <cell r="R267">
            <v>45336</v>
          </cell>
          <cell r="S267">
            <v>45333</v>
          </cell>
          <cell r="T267">
            <v>45368</v>
          </cell>
          <cell r="U267">
            <v>563991.44999999995</v>
          </cell>
        </row>
        <row r="268">
          <cell r="G268">
            <v>19368</v>
          </cell>
          <cell r="H268">
            <v>94403917</v>
          </cell>
          <cell r="I268">
            <v>44741</v>
          </cell>
          <cell r="J268">
            <v>44741</v>
          </cell>
          <cell r="K268">
            <v>55698</v>
          </cell>
          <cell r="L268">
            <v>1399660</v>
          </cell>
          <cell r="M268">
            <v>4215.72</v>
          </cell>
          <cell r="N268">
            <v>30</v>
          </cell>
          <cell r="O268" t="str">
            <v>Mensuelle</v>
          </cell>
          <cell r="P268" t="str">
            <v>Attente complement</v>
          </cell>
          <cell r="Q268">
            <v>2024</v>
          </cell>
          <cell r="R268">
            <v>45337</v>
          </cell>
          <cell r="S268">
            <v>45314</v>
          </cell>
        </row>
        <row r="269">
          <cell r="G269">
            <v>25238</v>
          </cell>
          <cell r="H269">
            <v>87000403</v>
          </cell>
          <cell r="I269">
            <v>45060</v>
          </cell>
          <cell r="J269">
            <v>45060</v>
          </cell>
          <cell r="K269">
            <v>46155</v>
          </cell>
          <cell r="L269">
            <v>500000</v>
          </cell>
          <cell r="M269">
            <v>4500</v>
          </cell>
          <cell r="N269">
            <v>3</v>
          </cell>
          <cell r="O269" t="str">
            <v>Unique</v>
          </cell>
          <cell r="P269" t="str">
            <v>Réglé</v>
          </cell>
          <cell r="Q269">
            <v>2024</v>
          </cell>
          <cell r="R269">
            <v>45365</v>
          </cell>
          <cell r="S269">
            <v>45356</v>
          </cell>
          <cell r="T269">
            <v>45419</v>
          </cell>
          <cell r="U269">
            <v>375808.14</v>
          </cell>
        </row>
        <row r="270">
          <cell r="G270">
            <v>25227</v>
          </cell>
          <cell r="H270">
            <v>41116168</v>
          </cell>
          <cell r="I270">
            <v>45060</v>
          </cell>
          <cell r="J270">
            <v>45060</v>
          </cell>
          <cell r="K270">
            <v>46155</v>
          </cell>
          <cell r="L270">
            <v>1000000</v>
          </cell>
          <cell r="M270">
            <v>9000</v>
          </cell>
          <cell r="N270">
            <v>3</v>
          </cell>
          <cell r="O270" t="str">
            <v>Unique</v>
          </cell>
          <cell r="P270" t="str">
            <v>Réglé</v>
          </cell>
          <cell r="Q270">
            <v>2024</v>
          </cell>
          <cell r="R270">
            <v>45347</v>
          </cell>
          <cell r="S270">
            <v>45157</v>
          </cell>
          <cell r="T270">
            <v>45467</v>
          </cell>
          <cell r="U270">
            <v>941176.48</v>
          </cell>
        </row>
        <row r="271">
          <cell r="G271">
            <v>26338</v>
          </cell>
          <cell r="H271">
            <v>41167785</v>
          </cell>
          <cell r="I271">
            <v>45085</v>
          </cell>
          <cell r="J271">
            <v>45085</v>
          </cell>
          <cell r="K271">
            <v>46180</v>
          </cell>
          <cell r="L271">
            <v>610000</v>
          </cell>
          <cell r="M271">
            <v>5490</v>
          </cell>
          <cell r="N271">
            <v>3</v>
          </cell>
          <cell r="O271" t="str">
            <v>Unique</v>
          </cell>
          <cell r="P271" t="str">
            <v>Attente complement</v>
          </cell>
          <cell r="Q271">
            <v>2024</v>
          </cell>
          <cell r="R271">
            <v>45684</v>
          </cell>
          <cell r="S271">
            <v>45284</v>
          </cell>
        </row>
        <row r="272">
          <cell r="G272">
            <v>15305</v>
          </cell>
          <cell r="H272">
            <v>94611433</v>
          </cell>
          <cell r="I272">
            <v>44494</v>
          </cell>
          <cell r="J272">
            <v>44494</v>
          </cell>
          <cell r="K272">
            <v>52894</v>
          </cell>
          <cell r="L272">
            <v>10289534</v>
          </cell>
          <cell r="M272">
            <v>78159.360000000001</v>
          </cell>
          <cell r="N272">
            <v>23</v>
          </cell>
          <cell r="O272" t="str">
            <v>Mensuelle</v>
          </cell>
          <cell r="P272" t="str">
            <v>Transmis</v>
          </cell>
          <cell r="Q272">
            <v>2024</v>
          </cell>
          <cell r="R272">
            <v>45384</v>
          </cell>
          <cell r="S272">
            <v>45345</v>
          </cell>
        </row>
        <row r="273">
          <cell r="G273">
            <v>13572</v>
          </cell>
          <cell r="H273">
            <v>70600424</v>
          </cell>
          <cell r="I273">
            <v>44439</v>
          </cell>
          <cell r="J273">
            <v>44439</v>
          </cell>
          <cell r="K273">
            <v>45534</v>
          </cell>
          <cell r="L273">
            <v>282000</v>
          </cell>
          <cell r="M273">
            <v>2707.2</v>
          </cell>
          <cell r="N273">
            <v>3</v>
          </cell>
          <cell r="O273" t="str">
            <v>Unique</v>
          </cell>
          <cell r="P273" t="str">
            <v>Attente complement</v>
          </cell>
          <cell r="Q273">
            <v>2024</v>
          </cell>
          <cell r="R273">
            <v>45455</v>
          </cell>
          <cell r="S273">
            <v>45327</v>
          </cell>
        </row>
        <row r="274">
          <cell r="G274">
            <v>26978</v>
          </cell>
          <cell r="H274">
            <v>47315696</v>
          </cell>
          <cell r="I274">
            <v>45099</v>
          </cell>
          <cell r="J274">
            <v>45099</v>
          </cell>
          <cell r="K274">
            <v>46194</v>
          </cell>
          <cell r="L274">
            <v>480000</v>
          </cell>
          <cell r="M274">
            <v>4320</v>
          </cell>
          <cell r="N274">
            <v>3</v>
          </cell>
          <cell r="O274" t="str">
            <v>Unique</v>
          </cell>
          <cell r="P274" t="str">
            <v>Réglé</v>
          </cell>
          <cell r="Q274">
            <v>2024</v>
          </cell>
          <cell r="R274">
            <v>45358</v>
          </cell>
          <cell r="S274">
            <v>45242</v>
          </cell>
          <cell r="T274">
            <v>45488</v>
          </cell>
          <cell r="U274">
            <v>426666.68</v>
          </cell>
        </row>
        <row r="275">
          <cell r="G275">
            <v>20926</v>
          </cell>
          <cell r="H275">
            <v>42719297</v>
          </cell>
          <cell r="I275">
            <v>44923</v>
          </cell>
          <cell r="J275">
            <v>44924</v>
          </cell>
          <cell r="K275">
            <v>46019</v>
          </cell>
          <cell r="L275">
            <v>500000</v>
          </cell>
          <cell r="M275">
            <v>4500</v>
          </cell>
          <cell r="N275">
            <v>3</v>
          </cell>
          <cell r="O275" t="str">
            <v>Unique</v>
          </cell>
          <cell r="P275" t="str">
            <v>Attente complement</v>
          </cell>
          <cell r="Q275">
            <v>2024</v>
          </cell>
          <cell r="R275">
            <v>45369</v>
          </cell>
          <cell r="S275">
            <v>45306</v>
          </cell>
        </row>
        <row r="276">
          <cell r="G276">
            <v>19671</v>
          </cell>
          <cell r="H276">
            <v>42804134</v>
          </cell>
          <cell r="I276">
            <v>44760</v>
          </cell>
          <cell r="J276">
            <v>44760</v>
          </cell>
          <cell r="K276">
            <v>47316</v>
          </cell>
          <cell r="L276">
            <v>3200000</v>
          </cell>
          <cell r="M276">
            <v>270720</v>
          </cell>
          <cell r="N276">
            <v>7</v>
          </cell>
          <cell r="O276" t="str">
            <v>Unique</v>
          </cell>
          <cell r="P276" t="str">
            <v>Réglé</v>
          </cell>
          <cell r="Q276">
            <v>2024</v>
          </cell>
          <cell r="R276">
            <v>45358</v>
          </cell>
          <cell r="S276">
            <v>45306</v>
          </cell>
          <cell r="T276">
            <v>45462</v>
          </cell>
          <cell r="U276">
            <v>2440046</v>
          </cell>
        </row>
        <row r="277">
          <cell r="G277">
            <v>28967</v>
          </cell>
          <cell r="H277">
            <v>84218016</v>
          </cell>
          <cell r="I277">
            <v>45155</v>
          </cell>
          <cell r="J277">
            <v>45155</v>
          </cell>
          <cell r="K277">
            <v>46250</v>
          </cell>
          <cell r="L277">
            <v>600000</v>
          </cell>
          <cell r="M277">
            <v>5400</v>
          </cell>
          <cell r="N277">
            <v>3</v>
          </cell>
          <cell r="O277" t="str">
            <v>Unique</v>
          </cell>
          <cell r="P277" t="str">
            <v>Réglé</v>
          </cell>
          <cell r="Q277">
            <v>2024</v>
          </cell>
          <cell r="R277">
            <v>45469</v>
          </cell>
          <cell r="S277">
            <v>45272</v>
          </cell>
          <cell r="T277">
            <v>45383</v>
          </cell>
          <cell r="U277">
            <v>556650.12</v>
          </cell>
        </row>
        <row r="278">
          <cell r="G278">
            <v>20891</v>
          </cell>
          <cell r="H278">
            <v>63027816</v>
          </cell>
          <cell r="I278">
            <v>44836</v>
          </cell>
          <cell r="J278">
            <v>44836</v>
          </cell>
          <cell r="K278">
            <v>52140</v>
          </cell>
          <cell r="L278">
            <v>14185247.130000001</v>
          </cell>
          <cell r="M278">
            <v>1223699.1299999999</v>
          </cell>
          <cell r="N278">
            <v>20</v>
          </cell>
          <cell r="O278" t="str">
            <v>Unique</v>
          </cell>
          <cell r="P278" t="str">
            <v>Réglé</v>
          </cell>
          <cell r="Q278">
            <v>2024</v>
          </cell>
          <cell r="R278">
            <v>45362</v>
          </cell>
          <cell r="S278">
            <v>45355</v>
          </cell>
          <cell r="T278">
            <v>45685</v>
          </cell>
          <cell r="U278">
            <v>11125015.449999999</v>
          </cell>
        </row>
        <row r="279">
          <cell r="G279">
            <v>21768</v>
          </cell>
          <cell r="H279">
            <v>42719346</v>
          </cell>
          <cell r="I279">
            <v>44957</v>
          </cell>
          <cell r="J279">
            <v>44958</v>
          </cell>
          <cell r="K279">
            <v>46053</v>
          </cell>
          <cell r="L279">
            <v>400000</v>
          </cell>
          <cell r="M279">
            <v>3600</v>
          </cell>
          <cell r="N279">
            <v>3</v>
          </cell>
          <cell r="O279" t="str">
            <v>Unique</v>
          </cell>
          <cell r="P279" t="str">
            <v>Réglé</v>
          </cell>
          <cell r="Q279">
            <v>2024</v>
          </cell>
          <cell r="R279">
            <v>45448</v>
          </cell>
          <cell r="S279">
            <v>45308</v>
          </cell>
          <cell r="T279">
            <v>45419</v>
          </cell>
          <cell r="U279">
            <v>277777.78999999998</v>
          </cell>
        </row>
        <row r="280">
          <cell r="G280">
            <v>21441</v>
          </cell>
          <cell r="H280">
            <v>46021626</v>
          </cell>
          <cell r="I280">
            <v>44949</v>
          </cell>
          <cell r="J280">
            <v>44949</v>
          </cell>
          <cell r="K280">
            <v>46044</v>
          </cell>
          <cell r="L280">
            <v>390000</v>
          </cell>
          <cell r="M280">
            <v>3510</v>
          </cell>
          <cell r="N280">
            <v>3</v>
          </cell>
          <cell r="O280" t="str">
            <v>Unique</v>
          </cell>
          <cell r="P280" t="str">
            <v>Attente complement</v>
          </cell>
          <cell r="Q280">
            <v>2024</v>
          </cell>
          <cell r="R280">
            <v>45368</v>
          </cell>
          <cell r="S280">
            <v>45288</v>
          </cell>
        </row>
        <row r="281">
          <cell r="G281">
            <v>214404</v>
          </cell>
          <cell r="H281">
            <v>86931964</v>
          </cell>
          <cell r="I281">
            <v>44948</v>
          </cell>
          <cell r="J281">
            <v>44948</v>
          </cell>
          <cell r="K281">
            <v>46043</v>
          </cell>
          <cell r="L281">
            <v>770000</v>
          </cell>
          <cell r="M281">
            <v>6930</v>
          </cell>
          <cell r="N281">
            <v>3</v>
          </cell>
          <cell r="O281" t="str">
            <v>Unique</v>
          </cell>
          <cell r="P281" t="str">
            <v>Réglé</v>
          </cell>
          <cell r="Q281">
            <v>2024</v>
          </cell>
          <cell r="R281">
            <v>45588</v>
          </cell>
          <cell r="S281">
            <v>45283</v>
          </cell>
          <cell r="T281">
            <v>45446</v>
          </cell>
          <cell r="U281">
            <v>556111.1</v>
          </cell>
        </row>
        <row r="282">
          <cell r="G282">
            <v>413</v>
          </cell>
          <cell r="H282">
            <v>842215478</v>
          </cell>
          <cell r="I282">
            <v>42919</v>
          </cell>
          <cell r="J282">
            <v>42920</v>
          </cell>
          <cell r="K282">
            <v>52415</v>
          </cell>
          <cell r="L282">
            <v>1476154.48</v>
          </cell>
          <cell r="M282">
            <v>96154.48</v>
          </cell>
          <cell r="N282">
            <v>26</v>
          </cell>
          <cell r="O282" t="str">
            <v>Unique</v>
          </cell>
          <cell r="P282" t="str">
            <v>Transmis</v>
          </cell>
          <cell r="Q282">
            <v>2024</v>
          </cell>
          <cell r="R282">
            <v>45403</v>
          </cell>
          <cell r="S282">
            <v>45371</v>
          </cell>
        </row>
        <row r="283">
          <cell r="G283">
            <v>18722</v>
          </cell>
          <cell r="H283">
            <v>32120235</v>
          </cell>
          <cell r="I283">
            <v>44837</v>
          </cell>
          <cell r="J283">
            <v>44837</v>
          </cell>
          <cell r="K283">
            <v>45932</v>
          </cell>
          <cell r="L283">
            <v>650000</v>
          </cell>
          <cell r="M283">
            <v>6240</v>
          </cell>
          <cell r="N283">
            <v>3</v>
          </cell>
          <cell r="O283" t="str">
            <v>Unique</v>
          </cell>
          <cell r="P283" t="str">
            <v>Attente complement</v>
          </cell>
          <cell r="Q283">
            <v>2024</v>
          </cell>
          <cell r="R283">
            <v>45469</v>
          </cell>
          <cell r="S283">
            <v>45094</v>
          </cell>
        </row>
        <row r="284">
          <cell r="G284">
            <v>31077</v>
          </cell>
          <cell r="H284">
            <v>43713541</v>
          </cell>
          <cell r="I284">
            <v>45266</v>
          </cell>
          <cell r="J284">
            <v>45266</v>
          </cell>
          <cell r="K284">
            <v>46361</v>
          </cell>
          <cell r="L284">
            <v>380000</v>
          </cell>
          <cell r="M284">
            <v>3420</v>
          </cell>
          <cell r="N284">
            <v>3</v>
          </cell>
          <cell r="O284" t="str">
            <v>Unique</v>
          </cell>
          <cell r="P284" t="str">
            <v>Attente complement</v>
          </cell>
          <cell r="Q284">
            <v>2024</v>
          </cell>
          <cell r="R284">
            <v>45432</v>
          </cell>
          <cell r="S284">
            <v>45382</v>
          </cell>
        </row>
        <row r="285">
          <cell r="G285">
            <v>15098</v>
          </cell>
          <cell r="H285">
            <v>32121857</v>
          </cell>
          <cell r="I285">
            <v>44480</v>
          </cell>
          <cell r="J285">
            <v>44480</v>
          </cell>
          <cell r="K285">
            <v>58358</v>
          </cell>
          <cell r="L285">
            <v>8460000</v>
          </cell>
          <cell r="M285">
            <v>431366.26</v>
          </cell>
          <cell r="N285">
            <v>38</v>
          </cell>
          <cell r="O285" t="str">
            <v>Unique</v>
          </cell>
          <cell r="P285" t="str">
            <v>Réglé</v>
          </cell>
          <cell r="Q285">
            <v>2024</v>
          </cell>
          <cell r="R285">
            <v>45382</v>
          </cell>
          <cell r="S285">
            <v>44519</v>
          </cell>
          <cell r="T285">
            <v>45656</v>
          </cell>
          <cell r="U285">
            <v>5020164</v>
          </cell>
        </row>
        <row r="286">
          <cell r="G286">
            <v>574</v>
          </cell>
          <cell r="H286">
            <v>95418302</v>
          </cell>
          <cell r="I286">
            <v>42946</v>
          </cell>
          <cell r="J286">
            <v>42947</v>
          </cell>
          <cell r="K286">
            <v>54269</v>
          </cell>
          <cell r="L286">
            <v>1096681.9099999999</v>
          </cell>
          <cell r="M286">
            <v>61014.91</v>
          </cell>
          <cell r="N286">
            <v>31</v>
          </cell>
          <cell r="O286" t="str">
            <v>Unique</v>
          </cell>
          <cell r="P286" t="str">
            <v>Réglé</v>
          </cell>
          <cell r="Q286">
            <v>2024</v>
          </cell>
          <cell r="R286">
            <v>45470</v>
          </cell>
          <cell r="S286">
            <v>45374</v>
          </cell>
          <cell r="T286">
            <v>45694</v>
          </cell>
          <cell r="U286">
            <v>897971.6</v>
          </cell>
        </row>
        <row r="287">
          <cell r="G287">
            <v>12395</v>
          </cell>
          <cell r="H287">
            <v>48307301</v>
          </cell>
          <cell r="I287">
            <v>44279</v>
          </cell>
          <cell r="J287">
            <v>44280</v>
          </cell>
          <cell r="K287">
            <v>52314</v>
          </cell>
          <cell r="L287">
            <v>4275000</v>
          </cell>
          <cell r="M287">
            <v>2825.78</v>
          </cell>
          <cell r="N287">
            <v>22</v>
          </cell>
          <cell r="O287" t="str">
            <v>Mensuelle</v>
          </cell>
          <cell r="P287" t="str">
            <v>Réglé</v>
          </cell>
          <cell r="Q287">
            <v>2024</v>
          </cell>
          <cell r="R287">
            <v>45405</v>
          </cell>
          <cell r="S287">
            <v>45395</v>
          </cell>
          <cell r="T287">
            <v>45419</v>
          </cell>
          <cell r="U287">
            <v>3864799.05</v>
          </cell>
        </row>
        <row r="288">
          <cell r="G288">
            <v>13241</v>
          </cell>
          <cell r="H288">
            <v>81210958</v>
          </cell>
          <cell r="I288">
            <v>44395</v>
          </cell>
          <cell r="J288">
            <v>44395</v>
          </cell>
          <cell r="K288">
            <v>44393</v>
          </cell>
          <cell r="L288">
            <v>580000</v>
          </cell>
          <cell r="M288">
            <v>5568</v>
          </cell>
          <cell r="N288">
            <v>3</v>
          </cell>
          <cell r="O288" t="str">
            <v>Unique</v>
          </cell>
          <cell r="P288" t="str">
            <v>Attente complement</v>
          </cell>
          <cell r="Q288">
            <v>2024</v>
          </cell>
          <cell r="R288">
            <v>45445</v>
          </cell>
          <cell r="S288">
            <v>45392</v>
          </cell>
        </row>
        <row r="289">
          <cell r="G289">
            <v>18870</v>
          </cell>
          <cell r="H289">
            <v>27506352</v>
          </cell>
          <cell r="I289">
            <v>44845</v>
          </cell>
          <cell r="J289">
            <v>44845</v>
          </cell>
          <cell r="K289">
            <v>45940</v>
          </cell>
          <cell r="L289">
            <v>800000</v>
          </cell>
          <cell r="M289">
            <v>7680</v>
          </cell>
          <cell r="N289">
            <v>3</v>
          </cell>
          <cell r="O289" t="str">
            <v>Unique</v>
          </cell>
          <cell r="P289" t="str">
            <v>Réglé</v>
          </cell>
          <cell r="Q289">
            <v>2024</v>
          </cell>
          <cell r="R289">
            <v>45407</v>
          </cell>
          <cell r="S289">
            <v>45403</v>
          </cell>
          <cell r="T289">
            <v>45792</v>
          </cell>
          <cell r="U289">
            <v>400000</v>
          </cell>
        </row>
        <row r="290">
          <cell r="G290">
            <v>19279</v>
          </cell>
          <cell r="H290">
            <v>32122069</v>
          </cell>
          <cell r="I290">
            <v>44739</v>
          </cell>
          <cell r="J290">
            <v>44739</v>
          </cell>
          <cell r="K290">
            <v>59348</v>
          </cell>
          <cell r="L290">
            <v>7650000</v>
          </cell>
          <cell r="M290">
            <v>214965</v>
          </cell>
          <cell r="N290">
            <v>40</v>
          </cell>
          <cell r="O290" t="str">
            <v>Unique</v>
          </cell>
          <cell r="P290" t="str">
            <v>Réglé</v>
          </cell>
          <cell r="Q290">
            <v>2024</v>
          </cell>
          <cell r="R290">
            <v>45407</v>
          </cell>
          <cell r="S290">
            <v>45357</v>
          </cell>
          <cell r="T290">
            <v>45522</v>
          </cell>
          <cell r="U290">
            <v>7917687.96</v>
          </cell>
        </row>
        <row r="291">
          <cell r="G291">
            <v>7463</v>
          </cell>
          <cell r="H291">
            <v>57601403</v>
          </cell>
          <cell r="I291">
            <v>43822</v>
          </cell>
          <cell r="J291">
            <v>43819</v>
          </cell>
          <cell r="K291">
            <v>52213</v>
          </cell>
          <cell r="L291">
            <v>7474195.96</v>
          </cell>
          <cell r="M291">
            <v>634195.96</v>
          </cell>
          <cell r="N291">
            <v>23</v>
          </cell>
          <cell r="O291" t="str">
            <v>Unique</v>
          </cell>
          <cell r="P291" t="str">
            <v>Réglé</v>
          </cell>
          <cell r="Q291">
            <v>2024</v>
          </cell>
          <cell r="R291">
            <v>45404</v>
          </cell>
          <cell r="S291">
            <v>45402</v>
          </cell>
          <cell r="T291">
            <v>45453</v>
          </cell>
          <cell r="U291">
            <v>4108847.4</v>
          </cell>
        </row>
        <row r="292">
          <cell r="G292">
            <v>11636</v>
          </cell>
          <cell r="H292">
            <v>33509943</v>
          </cell>
          <cell r="I292">
            <v>44237</v>
          </cell>
          <cell r="J292">
            <v>44242</v>
          </cell>
          <cell r="K292">
            <v>51911</v>
          </cell>
          <cell r="L292">
            <v>8909650</v>
          </cell>
          <cell r="M292">
            <v>147328.56</v>
          </cell>
          <cell r="N292">
            <v>21</v>
          </cell>
          <cell r="O292" t="str">
            <v>Mensuelle</v>
          </cell>
          <cell r="P292" t="str">
            <v>Réglé</v>
          </cell>
          <cell r="Q292">
            <v>2024</v>
          </cell>
          <cell r="R292">
            <v>45694</v>
          </cell>
          <cell r="S292">
            <v>45421</v>
          </cell>
          <cell r="T292">
            <v>45649</v>
          </cell>
          <cell r="U292">
            <v>8039893.46</v>
          </cell>
        </row>
        <row r="293">
          <cell r="G293">
            <v>16501</v>
          </cell>
          <cell r="H293">
            <v>64028160</v>
          </cell>
          <cell r="I293">
            <v>44564</v>
          </cell>
          <cell r="J293">
            <v>44565</v>
          </cell>
          <cell r="K293">
            <v>56252</v>
          </cell>
          <cell r="L293">
            <v>10800000</v>
          </cell>
          <cell r="M293">
            <v>4622.3999999999996</v>
          </cell>
          <cell r="N293">
            <v>32</v>
          </cell>
          <cell r="O293" t="str">
            <v>Mensuelle</v>
          </cell>
          <cell r="P293" t="str">
            <v>Réglé</v>
          </cell>
          <cell r="Q293">
            <v>2024</v>
          </cell>
          <cell r="R293">
            <v>45496</v>
          </cell>
          <cell r="S293">
            <v>45426</v>
          </cell>
          <cell r="T293">
            <v>45456</v>
          </cell>
          <cell r="U293">
            <v>10137781.630000001</v>
          </cell>
        </row>
        <row r="294">
          <cell r="G294">
            <v>15669</v>
          </cell>
          <cell r="H294">
            <v>95418850</v>
          </cell>
          <cell r="I294">
            <v>44517</v>
          </cell>
          <cell r="J294">
            <v>44532</v>
          </cell>
          <cell r="K294">
            <v>50740</v>
          </cell>
          <cell r="L294">
            <v>9973340</v>
          </cell>
          <cell r="M294">
            <v>764645.51</v>
          </cell>
          <cell r="N294">
            <v>17</v>
          </cell>
          <cell r="O294" t="str">
            <v>Unique</v>
          </cell>
          <cell r="P294" t="str">
            <v>Transmis</v>
          </cell>
          <cell r="Q294">
            <v>2024</v>
          </cell>
          <cell r="R294">
            <v>45952</v>
          </cell>
          <cell r="S294">
            <v>45427</v>
          </cell>
        </row>
        <row r="295">
          <cell r="G295">
            <v>26872</v>
          </cell>
          <cell r="H295">
            <v>42804666</v>
          </cell>
          <cell r="I295">
            <v>45148</v>
          </cell>
          <cell r="J295">
            <v>45148</v>
          </cell>
          <cell r="K295">
            <v>57201</v>
          </cell>
          <cell r="L295">
            <v>9518839.1999999993</v>
          </cell>
          <cell r="M295">
            <v>46490.04</v>
          </cell>
          <cell r="N295">
            <v>33</v>
          </cell>
          <cell r="O295" t="str">
            <v>Mensuelle</v>
          </cell>
          <cell r="P295" t="str">
            <v>Réglé</v>
          </cell>
          <cell r="Q295">
            <v>2024</v>
          </cell>
          <cell r="R295">
            <v>45432</v>
          </cell>
          <cell r="S295">
            <v>45435</v>
          </cell>
          <cell r="T295">
            <v>45469</v>
          </cell>
          <cell r="U295">
            <v>9357012.4299999997</v>
          </cell>
        </row>
        <row r="296">
          <cell r="G296">
            <v>13644</v>
          </cell>
          <cell r="H296">
            <v>27629026</v>
          </cell>
          <cell r="I296">
            <v>44360</v>
          </cell>
          <cell r="J296">
            <v>44362</v>
          </cell>
          <cell r="K296">
            <v>58970</v>
          </cell>
          <cell r="L296">
            <v>7500000</v>
          </cell>
          <cell r="M296">
            <v>18270</v>
          </cell>
          <cell r="N296">
            <v>40</v>
          </cell>
          <cell r="O296" t="str">
            <v>Mensuelle</v>
          </cell>
          <cell r="P296" t="str">
            <v>Réglé</v>
          </cell>
          <cell r="Q296">
            <v>2024</v>
          </cell>
          <cell r="R296">
            <v>45447</v>
          </cell>
          <cell r="S296">
            <v>45115</v>
          </cell>
          <cell r="T296">
            <v>45649</v>
          </cell>
          <cell r="U296">
            <v>7254000</v>
          </cell>
        </row>
        <row r="297">
          <cell r="G297">
            <v>21832</v>
          </cell>
          <cell r="H297">
            <v>33510720</v>
          </cell>
          <cell r="I297">
            <v>44893</v>
          </cell>
          <cell r="J297">
            <v>44894</v>
          </cell>
          <cell r="K297">
            <v>54024</v>
          </cell>
          <cell r="L297">
            <v>981373.18</v>
          </cell>
          <cell r="M297">
            <v>47490.06</v>
          </cell>
          <cell r="N297">
            <v>25</v>
          </cell>
          <cell r="O297" t="str">
            <v>Unique</v>
          </cell>
          <cell r="P297" t="str">
            <v>Rejeté</v>
          </cell>
          <cell r="Q297">
            <v>2024</v>
          </cell>
          <cell r="R297">
            <v>45439</v>
          </cell>
          <cell r="S297">
            <v>45049</v>
          </cell>
          <cell r="T297" t="str">
            <v>-</v>
          </cell>
          <cell r="U297">
            <v>0</v>
          </cell>
        </row>
        <row r="298">
          <cell r="G298">
            <v>17931</v>
          </cell>
          <cell r="H298">
            <v>41304613</v>
          </cell>
          <cell r="I298">
            <v>44774</v>
          </cell>
          <cell r="J298">
            <v>44775</v>
          </cell>
          <cell r="K298">
            <v>45870</v>
          </cell>
          <cell r="L298">
            <v>468860</v>
          </cell>
          <cell r="M298">
            <v>4501.0600000000004</v>
          </cell>
          <cell r="N298">
            <v>3</v>
          </cell>
          <cell r="O298" t="str">
            <v>Unique</v>
          </cell>
          <cell r="P298" t="str">
            <v>Réglé</v>
          </cell>
          <cell r="Q298">
            <v>2024</v>
          </cell>
          <cell r="R298">
            <v>45463</v>
          </cell>
          <cell r="S298">
            <v>45455</v>
          </cell>
          <cell r="T298">
            <v>45469</v>
          </cell>
          <cell r="U298">
            <v>185468.91</v>
          </cell>
        </row>
        <row r="299">
          <cell r="G299">
            <v>19263</v>
          </cell>
          <cell r="H299">
            <v>60202365</v>
          </cell>
          <cell r="I299">
            <v>44739</v>
          </cell>
          <cell r="J299">
            <v>44739</v>
          </cell>
          <cell r="K299">
            <v>49852</v>
          </cell>
          <cell r="L299">
            <v>11349519.5</v>
          </cell>
          <cell r="M299">
            <v>11420.7</v>
          </cell>
          <cell r="N299">
            <v>14</v>
          </cell>
          <cell r="O299" t="str">
            <v>Mensuelle</v>
          </cell>
          <cell r="P299" t="str">
            <v>Rejeté</v>
          </cell>
          <cell r="Q299">
            <v>2024</v>
          </cell>
          <cell r="R299">
            <v>45446</v>
          </cell>
          <cell r="S299">
            <v>45458</v>
          </cell>
          <cell r="T299" t="str">
            <v>-</v>
          </cell>
          <cell r="U299">
            <v>0</v>
          </cell>
        </row>
        <row r="300">
          <cell r="G300">
            <v>3815</v>
          </cell>
          <cell r="H300">
            <v>81211156</v>
          </cell>
          <cell r="I300">
            <v>43433</v>
          </cell>
          <cell r="J300">
            <v>43433</v>
          </cell>
          <cell r="K300">
            <v>49272</v>
          </cell>
          <cell r="L300">
            <v>808986.38</v>
          </cell>
          <cell r="M300">
            <v>89752.38</v>
          </cell>
          <cell r="N300">
            <v>16</v>
          </cell>
          <cell r="O300" t="str">
            <v>Unique</v>
          </cell>
          <cell r="P300" t="str">
            <v>Attente complement</v>
          </cell>
          <cell r="Q300">
            <v>2024</v>
          </cell>
          <cell r="R300">
            <v>45697</v>
          </cell>
          <cell r="S300">
            <v>45077</v>
          </cell>
        </row>
        <row r="301">
          <cell r="G301">
            <v>22260</v>
          </cell>
          <cell r="H301">
            <v>29701962</v>
          </cell>
          <cell r="I301">
            <v>44971</v>
          </cell>
          <cell r="J301">
            <v>44985</v>
          </cell>
          <cell r="K301">
            <v>46080</v>
          </cell>
          <cell r="L301">
            <v>811000</v>
          </cell>
          <cell r="M301">
            <v>7299</v>
          </cell>
          <cell r="N301">
            <v>3</v>
          </cell>
          <cell r="O301" t="str">
            <v>Unique</v>
          </cell>
          <cell r="P301" t="str">
            <v>Rejeté</v>
          </cell>
          <cell r="Q301">
            <v>2024</v>
          </cell>
          <cell r="R301">
            <v>45790</v>
          </cell>
          <cell r="S301">
            <v>45415</v>
          </cell>
          <cell r="T301" t="str">
            <v>-</v>
          </cell>
          <cell r="U301">
            <v>0</v>
          </cell>
        </row>
        <row r="302">
          <cell r="G302">
            <v>11632</v>
          </cell>
          <cell r="H302">
            <v>32120286</v>
          </cell>
          <cell r="I302">
            <v>44248</v>
          </cell>
          <cell r="J302">
            <v>44248</v>
          </cell>
          <cell r="K302">
            <v>45342</v>
          </cell>
          <cell r="L302">
            <v>400000</v>
          </cell>
          <cell r="M302">
            <v>3840</v>
          </cell>
          <cell r="N302">
            <v>3</v>
          </cell>
          <cell r="O302" t="str">
            <v>Unique</v>
          </cell>
          <cell r="P302" t="str">
            <v>Attente complement</v>
          </cell>
          <cell r="Q302">
            <v>2024</v>
          </cell>
          <cell r="R302">
            <v>45498</v>
          </cell>
        </row>
        <row r="303">
          <cell r="G303">
            <v>23435</v>
          </cell>
          <cell r="H303">
            <v>43925677</v>
          </cell>
          <cell r="I303">
            <v>45005</v>
          </cell>
          <cell r="J303">
            <v>45005</v>
          </cell>
          <cell r="K303">
            <v>46100</v>
          </cell>
          <cell r="L303">
            <v>229000</v>
          </cell>
          <cell r="M303">
            <v>2061</v>
          </cell>
          <cell r="N303">
            <v>3</v>
          </cell>
          <cell r="O303" t="str">
            <v>Unique</v>
          </cell>
          <cell r="P303" t="str">
            <v>Attente complement</v>
          </cell>
          <cell r="Q303">
            <v>2024</v>
          </cell>
          <cell r="R303">
            <v>45463</v>
          </cell>
          <cell r="S303">
            <v>45408</v>
          </cell>
        </row>
        <row r="304">
          <cell r="G304">
            <v>12185</v>
          </cell>
          <cell r="H304">
            <v>31605239</v>
          </cell>
          <cell r="I304">
            <v>44269</v>
          </cell>
          <cell r="J304">
            <v>44286</v>
          </cell>
          <cell r="K304">
            <v>57798</v>
          </cell>
          <cell r="L304">
            <v>8550000</v>
          </cell>
          <cell r="M304">
            <v>513855</v>
          </cell>
          <cell r="N304">
            <v>37</v>
          </cell>
          <cell r="O304" t="str">
            <v>Unique</v>
          </cell>
          <cell r="P304" t="str">
            <v>Réglé</v>
          </cell>
          <cell r="Q304">
            <v>2024</v>
          </cell>
          <cell r="R304">
            <v>45630</v>
          </cell>
          <cell r="S304">
            <v>45471</v>
          </cell>
          <cell r="T304">
            <v>45522</v>
          </cell>
          <cell r="U304">
            <v>7917687.96</v>
          </cell>
        </row>
        <row r="305">
          <cell r="G305">
            <v>9665</v>
          </cell>
          <cell r="H305">
            <v>54041923</v>
          </cell>
          <cell r="I305">
            <v>44083</v>
          </cell>
          <cell r="J305">
            <v>44083</v>
          </cell>
          <cell r="K305">
            <v>48830</v>
          </cell>
          <cell r="L305">
            <v>5800000</v>
          </cell>
          <cell r="M305">
            <v>70365.600000000006</v>
          </cell>
          <cell r="N305">
            <v>13</v>
          </cell>
          <cell r="O305" t="str">
            <v>Mensuelle</v>
          </cell>
          <cell r="P305" t="str">
            <v>Transmis</v>
          </cell>
          <cell r="Q305">
            <v>2024</v>
          </cell>
          <cell r="R305">
            <v>45852</v>
          </cell>
          <cell r="S305">
            <v>45436</v>
          </cell>
        </row>
        <row r="306">
          <cell r="G306">
            <v>17216</v>
          </cell>
          <cell r="H306">
            <v>85026684</v>
          </cell>
          <cell r="I306">
            <v>44726</v>
          </cell>
          <cell r="J306">
            <v>44728</v>
          </cell>
          <cell r="K306">
            <v>45779</v>
          </cell>
          <cell r="L306">
            <v>495632.64000000001</v>
          </cell>
          <cell r="M306">
            <v>4757.6400000000003</v>
          </cell>
          <cell r="N306">
            <v>3</v>
          </cell>
          <cell r="O306" t="str">
            <v>Unique</v>
          </cell>
          <cell r="P306" t="str">
            <v>Réglé</v>
          </cell>
          <cell r="Q306">
            <v>2024</v>
          </cell>
          <cell r="R306">
            <v>45481</v>
          </cell>
          <cell r="S306">
            <v>45468</v>
          </cell>
          <cell r="T306">
            <v>45522</v>
          </cell>
          <cell r="U306">
            <v>180225.74</v>
          </cell>
        </row>
        <row r="307">
          <cell r="G307">
            <v>21035</v>
          </cell>
          <cell r="H307">
            <v>121100062</v>
          </cell>
          <cell r="I307">
            <v>44928</v>
          </cell>
          <cell r="J307">
            <v>44929</v>
          </cell>
          <cell r="K307">
            <v>46024</v>
          </cell>
          <cell r="L307">
            <v>800000</v>
          </cell>
          <cell r="M307">
            <v>7200</v>
          </cell>
          <cell r="N307">
            <v>3</v>
          </cell>
          <cell r="O307" t="str">
            <v>Unique</v>
          </cell>
          <cell r="P307" t="str">
            <v>Attente complement</v>
          </cell>
          <cell r="Q307">
            <v>2024</v>
          </cell>
          <cell r="R307">
            <v>45497</v>
          </cell>
          <cell r="S307">
            <v>45038</v>
          </cell>
        </row>
        <row r="308">
          <cell r="G308">
            <v>27032</v>
          </cell>
          <cell r="H308">
            <v>59940816</v>
          </cell>
          <cell r="I308">
            <v>45160</v>
          </cell>
          <cell r="J308">
            <v>45161</v>
          </cell>
          <cell r="K308">
            <v>59770</v>
          </cell>
          <cell r="L308">
            <v>12000000</v>
          </cell>
          <cell r="M308">
            <v>368400</v>
          </cell>
          <cell r="N308">
            <v>40</v>
          </cell>
          <cell r="O308" t="str">
            <v>Unique</v>
          </cell>
          <cell r="P308" t="str">
            <v>Transmis</v>
          </cell>
          <cell r="Q308">
            <v>2024</v>
          </cell>
          <cell r="R308">
            <v>45949</v>
          </cell>
          <cell r="S308">
            <v>45429</v>
          </cell>
        </row>
        <row r="309">
          <cell r="G309">
            <v>25711</v>
          </cell>
          <cell r="H309">
            <v>62612546</v>
          </cell>
          <cell r="I309">
            <v>45071</v>
          </cell>
          <cell r="J309">
            <v>45071</v>
          </cell>
          <cell r="K309">
            <v>46166</v>
          </cell>
          <cell r="L309">
            <v>454000</v>
          </cell>
          <cell r="M309">
            <v>4086</v>
          </cell>
          <cell r="N309">
            <v>3</v>
          </cell>
          <cell r="O309" t="str">
            <v>Unique</v>
          </cell>
          <cell r="P309" t="str">
            <v>Attente complement</v>
          </cell>
          <cell r="Q309">
            <v>2024</v>
          </cell>
          <cell r="R309">
            <v>45497</v>
          </cell>
          <cell r="S309">
            <v>45493</v>
          </cell>
        </row>
        <row r="310">
          <cell r="G310">
            <v>12993</v>
          </cell>
          <cell r="H310">
            <v>83515239</v>
          </cell>
          <cell r="I310">
            <v>44314</v>
          </cell>
          <cell r="J310">
            <v>44314</v>
          </cell>
          <cell r="K310">
            <v>48330</v>
          </cell>
          <cell r="L310">
            <v>2200000</v>
          </cell>
          <cell r="M310">
            <v>450560</v>
          </cell>
          <cell r="N310">
            <v>11</v>
          </cell>
          <cell r="O310" t="str">
            <v>Unique</v>
          </cell>
          <cell r="P310" t="str">
            <v>Réglé</v>
          </cell>
          <cell r="Q310">
            <v>2024</v>
          </cell>
          <cell r="R310">
            <v>45785</v>
          </cell>
          <cell r="S310">
            <v>45405</v>
          </cell>
          <cell r="T310">
            <v>45823</v>
          </cell>
          <cell r="U310">
            <v>1920257.86</v>
          </cell>
        </row>
        <row r="311">
          <cell r="G311">
            <v>17481</v>
          </cell>
          <cell r="H311">
            <v>58817350</v>
          </cell>
          <cell r="I311">
            <v>44630</v>
          </cell>
          <cell r="J311">
            <v>44631</v>
          </cell>
          <cell r="K311">
            <v>53761</v>
          </cell>
          <cell r="L311">
            <v>7363000</v>
          </cell>
          <cell r="M311">
            <v>703166.5</v>
          </cell>
          <cell r="N311">
            <v>25</v>
          </cell>
          <cell r="O311" t="str">
            <v>Unique</v>
          </cell>
          <cell r="P311" t="str">
            <v>Réglé</v>
          </cell>
          <cell r="Q311">
            <v>2024</v>
          </cell>
          <cell r="R311">
            <v>45673</v>
          </cell>
          <cell r="S311">
            <v>45503</v>
          </cell>
          <cell r="T311">
            <v>45645</v>
          </cell>
          <cell r="U311">
            <v>6749924.6299999999</v>
          </cell>
        </row>
        <row r="312">
          <cell r="G312">
            <v>25272</v>
          </cell>
          <cell r="H312">
            <v>58720671</v>
          </cell>
          <cell r="I312">
            <v>45062</v>
          </cell>
          <cell r="J312">
            <v>45063</v>
          </cell>
          <cell r="K312">
            <v>57481</v>
          </cell>
          <cell r="L312">
            <v>1990962</v>
          </cell>
          <cell r="M312">
            <v>141557.4</v>
          </cell>
          <cell r="N312">
            <v>34</v>
          </cell>
          <cell r="O312" t="str">
            <v>Unique</v>
          </cell>
          <cell r="P312" t="str">
            <v>Réglé</v>
          </cell>
          <cell r="Q312">
            <v>2024</v>
          </cell>
          <cell r="R312">
            <v>45937</v>
          </cell>
          <cell r="S312">
            <v>45492</v>
          </cell>
          <cell r="T312">
            <v>45978</v>
          </cell>
          <cell r="U312">
            <v>1990962</v>
          </cell>
        </row>
        <row r="313">
          <cell r="G313">
            <v>22646</v>
          </cell>
          <cell r="H313">
            <v>87717888</v>
          </cell>
          <cell r="I313">
            <v>44930</v>
          </cell>
          <cell r="J313">
            <v>44931</v>
          </cell>
          <cell r="K313">
            <v>50409</v>
          </cell>
          <cell r="L313">
            <v>2136924.2799999998</v>
          </cell>
          <cell r="M313">
            <v>47012.33</v>
          </cell>
          <cell r="N313">
            <v>15</v>
          </cell>
          <cell r="O313" t="str">
            <v>Unique</v>
          </cell>
          <cell r="P313" t="str">
            <v>Réglé</v>
          </cell>
          <cell r="Q313">
            <v>2024</v>
          </cell>
          <cell r="R313">
            <v>45313</v>
          </cell>
          <cell r="S313">
            <v>45520</v>
          </cell>
          <cell r="T313">
            <v>45645</v>
          </cell>
          <cell r="U313">
            <v>2111455.2599999998</v>
          </cell>
        </row>
        <row r="314">
          <cell r="G314">
            <v>8093</v>
          </cell>
          <cell r="H314">
            <v>48408965</v>
          </cell>
          <cell r="I314">
            <v>43884</v>
          </cell>
          <cell r="J314">
            <v>43830</v>
          </cell>
          <cell r="K314">
            <v>45654</v>
          </cell>
          <cell r="L314">
            <v>929783.43</v>
          </cell>
          <cell r="M314">
            <v>29783.43</v>
          </cell>
          <cell r="N314">
            <v>5</v>
          </cell>
          <cell r="O314" t="str">
            <v>Unique</v>
          </cell>
          <cell r="P314" t="str">
            <v>Transmis</v>
          </cell>
          <cell r="Q314">
            <v>2024</v>
          </cell>
          <cell r="R314">
            <v>45791</v>
          </cell>
          <cell r="S314">
            <v>45195</v>
          </cell>
        </row>
        <row r="315">
          <cell r="G315">
            <v>388</v>
          </cell>
          <cell r="H315">
            <v>48406161</v>
          </cell>
          <cell r="I315">
            <v>42908</v>
          </cell>
          <cell r="J315">
            <v>42909</v>
          </cell>
          <cell r="K315">
            <v>49848</v>
          </cell>
          <cell r="L315">
            <v>2830000</v>
          </cell>
          <cell r="M315">
            <v>201213</v>
          </cell>
          <cell r="N315">
            <v>19</v>
          </cell>
          <cell r="O315" t="str">
            <v>Unique</v>
          </cell>
          <cell r="P315" t="str">
            <v>Réglé</v>
          </cell>
          <cell r="Q315">
            <v>2024</v>
          </cell>
          <cell r="R315">
            <v>45530</v>
          </cell>
          <cell r="S315">
            <v>45485</v>
          </cell>
          <cell r="T315">
            <v>45792</v>
          </cell>
          <cell r="U315">
            <v>1142809.1499999999</v>
          </cell>
        </row>
        <row r="316">
          <cell r="G316">
            <v>10766</v>
          </cell>
          <cell r="H316">
            <v>58621816</v>
          </cell>
          <cell r="I316">
            <v>44175</v>
          </cell>
          <cell r="J316">
            <v>44175</v>
          </cell>
          <cell r="K316">
            <v>47095</v>
          </cell>
          <cell r="L316">
            <v>410310</v>
          </cell>
          <cell r="M316">
            <v>58089.64</v>
          </cell>
          <cell r="N316">
            <v>8</v>
          </cell>
          <cell r="O316" t="str">
            <v>Unique</v>
          </cell>
          <cell r="P316" t="str">
            <v>Attente complement</v>
          </cell>
          <cell r="Q316">
            <v>2024</v>
          </cell>
          <cell r="R316">
            <v>45547</v>
          </cell>
          <cell r="S316">
            <v>44796</v>
          </cell>
        </row>
        <row r="317">
          <cell r="G317">
            <v>1275</v>
          </cell>
          <cell r="H317">
            <v>44140711</v>
          </cell>
          <cell r="I317">
            <v>43076</v>
          </cell>
          <cell r="J317">
            <v>43058</v>
          </cell>
          <cell r="K317">
            <v>51092</v>
          </cell>
          <cell r="L317">
            <v>4160940.01</v>
          </cell>
          <cell r="M317">
            <v>660940.01</v>
          </cell>
          <cell r="N317">
            <v>22</v>
          </cell>
          <cell r="O317" t="str">
            <v>Unique</v>
          </cell>
          <cell r="P317" t="str">
            <v>Attente complement</v>
          </cell>
          <cell r="Q317">
            <v>2024</v>
          </cell>
          <cell r="R317">
            <v>45636</v>
          </cell>
          <cell r="S317">
            <v>45550</v>
          </cell>
        </row>
        <row r="318">
          <cell r="G318">
            <v>22527</v>
          </cell>
          <cell r="H318">
            <v>51427115</v>
          </cell>
          <cell r="I318">
            <v>44923</v>
          </cell>
          <cell r="J318">
            <v>44923</v>
          </cell>
          <cell r="K318">
            <v>57341</v>
          </cell>
          <cell r="L318">
            <v>4493000</v>
          </cell>
          <cell r="M318">
            <v>295639.40000000002</v>
          </cell>
          <cell r="N318">
            <v>34</v>
          </cell>
          <cell r="O318" t="str">
            <v>Unique</v>
          </cell>
          <cell r="P318" t="str">
            <v>Attente complement</v>
          </cell>
          <cell r="Q318">
            <v>2024</v>
          </cell>
          <cell r="R318">
            <v>45687</v>
          </cell>
          <cell r="S318">
            <v>45562</v>
          </cell>
        </row>
        <row r="319">
          <cell r="G319">
            <v>21109</v>
          </cell>
          <cell r="H319">
            <v>26100267</v>
          </cell>
          <cell r="I319">
            <v>44931</v>
          </cell>
          <cell r="J319">
            <v>44938</v>
          </cell>
          <cell r="K319">
            <v>46033</v>
          </cell>
          <cell r="L319">
            <v>660212</v>
          </cell>
          <cell r="M319">
            <v>5941.91</v>
          </cell>
          <cell r="N319">
            <v>3</v>
          </cell>
          <cell r="O319" t="str">
            <v>Unique</v>
          </cell>
          <cell r="P319" t="str">
            <v>Attente complement</v>
          </cell>
          <cell r="Q319">
            <v>2024</v>
          </cell>
          <cell r="R319">
            <v>45565</v>
          </cell>
          <cell r="S319">
            <v>45506</v>
          </cell>
        </row>
        <row r="320">
          <cell r="G320">
            <v>19604</v>
          </cell>
          <cell r="H320">
            <v>71113077</v>
          </cell>
          <cell r="I320">
            <v>44755</v>
          </cell>
          <cell r="J320">
            <v>44755</v>
          </cell>
          <cell r="K320">
            <v>58634</v>
          </cell>
          <cell r="L320">
            <v>9800000</v>
          </cell>
          <cell r="M320">
            <v>554680</v>
          </cell>
          <cell r="N320">
            <v>38</v>
          </cell>
          <cell r="O320" t="str">
            <v>Unique</v>
          </cell>
          <cell r="P320" t="str">
            <v>Réglé</v>
          </cell>
          <cell r="Q320">
            <v>2024</v>
          </cell>
          <cell r="R320">
            <v>45617</v>
          </cell>
          <cell r="S320">
            <v>45527</v>
          </cell>
          <cell r="T320">
            <v>45792</v>
          </cell>
          <cell r="U320">
            <v>9346921.8800000008</v>
          </cell>
        </row>
        <row r="321">
          <cell r="G321">
            <v>19051</v>
          </cell>
          <cell r="H321">
            <v>4361521</v>
          </cell>
          <cell r="I321">
            <v>44854</v>
          </cell>
          <cell r="J321">
            <v>44857</v>
          </cell>
          <cell r="K321">
            <v>45952</v>
          </cell>
          <cell r="L321">
            <v>945000</v>
          </cell>
          <cell r="M321">
            <v>9072</v>
          </cell>
          <cell r="N321">
            <v>3</v>
          </cell>
          <cell r="O321" t="str">
            <v>Unique</v>
          </cell>
          <cell r="P321" t="str">
            <v>Réglé</v>
          </cell>
          <cell r="Q321">
            <v>2024</v>
          </cell>
          <cell r="R321">
            <v>45568</v>
          </cell>
          <cell r="S321">
            <v>45536</v>
          </cell>
          <cell r="T321">
            <v>45706</v>
          </cell>
          <cell r="U321">
            <v>383848.05</v>
          </cell>
        </row>
        <row r="322">
          <cell r="G322">
            <v>25575</v>
          </cell>
          <cell r="H322">
            <v>51427468</v>
          </cell>
          <cell r="I322">
            <v>45069</v>
          </cell>
          <cell r="J322">
            <v>45069</v>
          </cell>
          <cell r="K322">
            <v>46164</v>
          </cell>
          <cell r="L322">
            <v>350000</v>
          </cell>
          <cell r="M322">
            <v>3150</v>
          </cell>
          <cell r="N322">
            <v>3</v>
          </cell>
          <cell r="O322" t="str">
            <v>Unique</v>
          </cell>
          <cell r="P322" t="str">
            <v>Attente complement</v>
          </cell>
          <cell r="Q322">
            <v>2024</v>
          </cell>
          <cell r="R322">
            <v>45573</v>
          </cell>
          <cell r="S322">
            <v>45480</v>
          </cell>
        </row>
        <row r="323">
          <cell r="G323">
            <v>12024</v>
          </cell>
          <cell r="H323">
            <v>64524780</v>
          </cell>
          <cell r="I323">
            <v>44258</v>
          </cell>
          <cell r="J323">
            <v>44258</v>
          </cell>
          <cell r="K323">
            <v>51561</v>
          </cell>
          <cell r="L323">
            <v>6877440</v>
          </cell>
          <cell r="M323">
            <v>59256.02</v>
          </cell>
          <cell r="N323">
            <v>20</v>
          </cell>
          <cell r="O323" t="str">
            <v>Mensuelle</v>
          </cell>
          <cell r="P323" t="str">
            <v>Réglé</v>
          </cell>
          <cell r="Q323">
            <v>2024</v>
          </cell>
          <cell r="R323">
            <v>45670</v>
          </cell>
          <cell r="S323">
            <v>45579</v>
          </cell>
          <cell r="T323">
            <v>45662</v>
          </cell>
          <cell r="U323">
            <v>6479469.5800000001</v>
          </cell>
        </row>
        <row r="324">
          <cell r="G324">
            <v>24110</v>
          </cell>
          <cell r="H324">
            <v>58163989</v>
          </cell>
          <cell r="I324">
            <v>44999</v>
          </cell>
          <cell r="J324">
            <v>44999</v>
          </cell>
          <cell r="K324">
            <v>50477</v>
          </cell>
          <cell r="L324">
            <v>8460490.0199999996</v>
          </cell>
          <cell r="M324">
            <v>27652.17</v>
          </cell>
          <cell r="N324">
            <v>15</v>
          </cell>
          <cell r="O324" t="str">
            <v>Mensuelle</v>
          </cell>
          <cell r="P324" t="str">
            <v>Réglé</v>
          </cell>
          <cell r="Q324">
            <v>2024</v>
          </cell>
          <cell r="R324">
            <v>45671</v>
          </cell>
          <cell r="S324">
            <v>45576</v>
          </cell>
          <cell r="T324">
            <v>45645</v>
          </cell>
          <cell r="U324">
            <v>5934319.9400000004</v>
          </cell>
        </row>
        <row r="325">
          <cell r="G325">
            <v>26797</v>
          </cell>
          <cell r="H325">
            <v>72430328</v>
          </cell>
          <cell r="I325">
            <v>45157</v>
          </cell>
          <cell r="J325">
            <v>45096</v>
          </cell>
          <cell r="K325">
            <v>45826</v>
          </cell>
          <cell r="L325">
            <v>457079</v>
          </cell>
          <cell r="M325">
            <v>4113.71</v>
          </cell>
          <cell r="N325">
            <v>2</v>
          </cell>
          <cell r="O325" t="str">
            <v>Unique</v>
          </cell>
          <cell r="P325" t="str">
            <v>Rejeté</v>
          </cell>
          <cell r="Q325">
            <v>2024</v>
          </cell>
          <cell r="R325">
            <v>45586</v>
          </cell>
          <cell r="S325">
            <v>45267</v>
          </cell>
          <cell r="T325" t="str">
            <v>-</v>
          </cell>
          <cell r="U325">
            <v>0</v>
          </cell>
        </row>
        <row r="326">
          <cell r="G326">
            <v>9374</v>
          </cell>
          <cell r="H326">
            <v>12685</v>
          </cell>
          <cell r="I326">
            <v>44049</v>
          </cell>
          <cell r="J326">
            <v>44074</v>
          </cell>
          <cell r="K326">
            <v>58682</v>
          </cell>
          <cell r="L326">
            <v>1373937.96</v>
          </cell>
          <cell r="M326">
            <v>64575.67</v>
          </cell>
          <cell r="N326">
            <v>40</v>
          </cell>
          <cell r="O326" t="str">
            <v>Unique</v>
          </cell>
          <cell r="P326" t="str">
            <v>Attente complement</v>
          </cell>
          <cell r="Q326">
            <v>2024</v>
          </cell>
          <cell r="R326">
            <v>45599</v>
          </cell>
          <cell r="S326">
            <v>45533</v>
          </cell>
        </row>
        <row r="327">
          <cell r="G327">
            <v>28600</v>
          </cell>
          <cell r="H327">
            <v>49122094</v>
          </cell>
          <cell r="I327">
            <v>45230</v>
          </cell>
          <cell r="J327">
            <v>45230</v>
          </cell>
          <cell r="K327">
            <v>48882</v>
          </cell>
          <cell r="L327">
            <v>2574017.64</v>
          </cell>
          <cell r="M327">
            <v>120450.17</v>
          </cell>
          <cell r="N327">
            <v>10</v>
          </cell>
          <cell r="O327" t="str">
            <v>Unique</v>
          </cell>
          <cell r="P327" t="str">
            <v>Attente complement</v>
          </cell>
          <cell r="Q327">
            <v>2024</v>
          </cell>
          <cell r="R327">
            <v>45610</v>
          </cell>
          <cell r="S327">
            <v>45369</v>
          </cell>
        </row>
        <row r="328">
          <cell r="G328">
            <v>26386</v>
          </cell>
          <cell r="H328">
            <v>92104580</v>
          </cell>
          <cell r="I328">
            <v>45124</v>
          </cell>
          <cell r="J328">
            <v>45124</v>
          </cell>
          <cell r="K328">
            <v>59733</v>
          </cell>
          <cell r="L328">
            <v>7000000</v>
          </cell>
          <cell r="M328">
            <v>1792</v>
          </cell>
          <cell r="N328">
            <v>40</v>
          </cell>
          <cell r="O328" t="str">
            <v>Mensuelle</v>
          </cell>
          <cell r="P328" t="str">
            <v>Transmis</v>
          </cell>
          <cell r="Q328">
            <v>2024</v>
          </cell>
          <cell r="R328">
            <v>45970</v>
          </cell>
          <cell r="S328">
            <v>45588</v>
          </cell>
        </row>
        <row r="329">
          <cell r="G329">
            <v>159988</v>
          </cell>
          <cell r="H329">
            <v>48726751</v>
          </cell>
          <cell r="I329">
            <v>44536</v>
          </cell>
          <cell r="J329">
            <v>44536</v>
          </cell>
          <cell r="K329">
            <v>50014</v>
          </cell>
          <cell r="L329">
            <v>925677.56</v>
          </cell>
          <cell r="M329">
            <v>25677.56</v>
          </cell>
          <cell r="N329">
            <v>15</v>
          </cell>
          <cell r="O329" t="str">
            <v>Unique</v>
          </cell>
          <cell r="P329" t="str">
            <v>Réglé</v>
          </cell>
          <cell r="Q329">
            <v>2024</v>
          </cell>
          <cell r="R329">
            <v>45593</v>
          </cell>
          <cell r="S329">
            <v>45534</v>
          </cell>
          <cell r="T329">
            <v>45644</v>
          </cell>
          <cell r="U329">
            <v>768896.52</v>
          </cell>
        </row>
        <row r="330">
          <cell r="G330">
            <v>18512</v>
          </cell>
          <cell r="H330">
            <v>92104215</v>
          </cell>
          <cell r="I330">
            <v>44700</v>
          </cell>
          <cell r="J330">
            <v>44700</v>
          </cell>
          <cell r="K330">
            <v>50543</v>
          </cell>
          <cell r="L330">
            <v>6300000</v>
          </cell>
          <cell r="M330">
            <v>4756.2299999999996</v>
          </cell>
          <cell r="N330">
            <v>16</v>
          </cell>
          <cell r="O330" t="str">
            <v>Mensuelle</v>
          </cell>
          <cell r="P330" t="str">
            <v>Rejeté</v>
          </cell>
          <cell r="Q330">
            <v>2024</v>
          </cell>
          <cell r="R330">
            <v>45596</v>
          </cell>
          <cell r="S330">
            <v>45599</v>
          </cell>
          <cell r="T330" t="str">
            <v>-</v>
          </cell>
          <cell r="U330">
            <v>0</v>
          </cell>
        </row>
        <row r="331">
          <cell r="G331">
            <v>5077</v>
          </cell>
          <cell r="H331">
            <v>84537571</v>
          </cell>
          <cell r="I331">
            <v>43552</v>
          </cell>
          <cell r="J331">
            <v>43553</v>
          </cell>
          <cell r="K331">
            <v>53042</v>
          </cell>
          <cell r="L331">
            <v>1634660.02</v>
          </cell>
          <cell r="M331">
            <v>165812.01999999999</v>
          </cell>
          <cell r="N331">
            <v>26</v>
          </cell>
          <cell r="O331" t="str">
            <v>Unique</v>
          </cell>
          <cell r="P331" t="str">
            <v>Transmis</v>
          </cell>
          <cell r="Q331">
            <v>2024</v>
          </cell>
          <cell r="R331">
            <v>45826</v>
          </cell>
          <cell r="S331">
            <v>45586</v>
          </cell>
        </row>
        <row r="332">
          <cell r="G332">
            <v>1155</v>
          </cell>
          <cell r="H332">
            <v>81015609</v>
          </cell>
          <cell r="I332">
            <v>42915</v>
          </cell>
          <cell r="J332">
            <v>42954</v>
          </cell>
          <cell r="K332">
            <v>47701</v>
          </cell>
          <cell r="L332">
            <v>926601.25</v>
          </cell>
          <cell r="M332">
            <v>63194.21</v>
          </cell>
          <cell r="N332">
            <v>13</v>
          </cell>
          <cell r="O332" t="str">
            <v>Unique</v>
          </cell>
          <cell r="P332" t="str">
            <v>Réglé</v>
          </cell>
          <cell r="Q332">
            <v>2024</v>
          </cell>
          <cell r="R332">
            <v>45615</v>
          </cell>
          <cell r="S332">
            <v>45544</v>
          </cell>
          <cell r="T332">
            <v>45644</v>
          </cell>
          <cell r="U332">
            <v>487330.16</v>
          </cell>
        </row>
        <row r="333">
          <cell r="G333">
            <v>29337</v>
          </cell>
          <cell r="H333">
            <v>71202729</v>
          </cell>
          <cell r="I333">
            <v>45183</v>
          </cell>
          <cell r="J333">
            <v>45199</v>
          </cell>
          <cell r="K333">
            <v>46294</v>
          </cell>
          <cell r="L333">
            <v>295853</v>
          </cell>
          <cell r="M333">
            <v>2662.68</v>
          </cell>
          <cell r="N333">
            <v>3</v>
          </cell>
          <cell r="O333" t="str">
            <v>Unique</v>
          </cell>
          <cell r="P333" t="str">
            <v>Rejeté</v>
          </cell>
          <cell r="Q333">
            <v>2024</v>
          </cell>
          <cell r="R333">
            <v>45648</v>
          </cell>
          <cell r="S333">
            <v>45609</v>
          </cell>
          <cell r="T333" t="str">
            <v>-</v>
          </cell>
          <cell r="U333">
            <v>0</v>
          </cell>
        </row>
        <row r="334">
          <cell r="G334">
            <v>4002</v>
          </cell>
          <cell r="H334">
            <v>83400815</v>
          </cell>
          <cell r="I334">
            <v>43453</v>
          </cell>
          <cell r="J334" t="str">
            <v>30/11/20218</v>
          </cell>
          <cell r="K334">
            <v>57303</v>
          </cell>
          <cell r="L334">
            <v>1022382.91</v>
          </cell>
          <cell r="M334">
            <v>53534.91</v>
          </cell>
          <cell r="N334">
            <v>38</v>
          </cell>
          <cell r="O334" t="str">
            <v>Unique</v>
          </cell>
          <cell r="P334" t="str">
            <v>Attente complement</v>
          </cell>
          <cell r="Q334">
            <v>2024</v>
          </cell>
          <cell r="R334">
            <v>45631</v>
          </cell>
          <cell r="S334">
            <v>45546</v>
          </cell>
        </row>
        <row r="335">
          <cell r="G335">
            <v>23810</v>
          </cell>
          <cell r="H335">
            <v>43925760</v>
          </cell>
          <cell r="I335">
            <v>45015</v>
          </cell>
          <cell r="J335">
            <v>45015</v>
          </cell>
          <cell r="K335">
            <v>46110</v>
          </cell>
          <cell r="L335">
            <v>260000</v>
          </cell>
          <cell r="M335">
            <v>2340</v>
          </cell>
          <cell r="N335">
            <v>3</v>
          </cell>
          <cell r="O335" t="str">
            <v>Unique</v>
          </cell>
          <cell r="P335" t="str">
            <v>Attente complement</v>
          </cell>
          <cell r="Q335">
            <v>2024</v>
          </cell>
          <cell r="R335">
            <v>45622</v>
          </cell>
          <cell r="S335">
            <v>45624</v>
          </cell>
        </row>
        <row r="336">
          <cell r="G336">
            <v>16458</v>
          </cell>
          <cell r="H336">
            <v>26015923</v>
          </cell>
          <cell r="I336">
            <v>44676</v>
          </cell>
          <cell r="J336">
            <v>44676</v>
          </cell>
          <cell r="K336">
            <v>45771</v>
          </cell>
          <cell r="L336">
            <v>232000</v>
          </cell>
          <cell r="M336">
            <v>2227.1999999999998</v>
          </cell>
          <cell r="N336">
            <v>3</v>
          </cell>
          <cell r="O336" t="str">
            <v>Unique</v>
          </cell>
          <cell r="P336" t="str">
            <v>Réglé</v>
          </cell>
          <cell r="Q336">
            <v>2024</v>
          </cell>
          <cell r="R336">
            <v>45652</v>
          </cell>
          <cell r="S336">
            <v>45571</v>
          </cell>
          <cell r="T336">
            <v>45657</v>
          </cell>
          <cell r="U336">
            <v>50676.15</v>
          </cell>
        </row>
        <row r="337">
          <cell r="G337">
            <v>24996</v>
          </cell>
          <cell r="H337">
            <v>84303145</v>
          </cell>
          <cell r="I337">
            <v>45050</v>
          </cell>
          <cell r="J337">
            <v>45112</v>
          </cell>
          <cell r="K337">
            <v>46207</v>
          </cell>
          <cell r="L337">
            <v>580000</v>
          </cell>
          <cell r="M337">
            <v>5220</v>
          </cell>
          <cell r="N337">
            <v>3</v>
          </cell>
          <cell r="O337" t="str">
            <v>Unique</v>
          </cell>
          <cell r="P337" t="str">
            <v>Attente complement</v>
          </cell>
          <cell r="Q337">
            <v>2024</v>
          </cell>
          <cell r="R337">
            <v>45627</v>
          </cell>
          <cell r="S337">
            <v>45610</v>
          </cell>
        </row>
        <row r="338">
          <cell r="G338">
            <v>17332</v>
          </cell>
          <cell r="H338">
            <v>81304380</v>
          </cell>
          <cell r="I338">
            <v>44734</v>
          </cell>
          <cell r="J338">
            <v>44734</v>
          </cell>
          <cell r="K338">
            <v>45829</v>
          </cell>
          <cell r="L338">
            <v>254000</v>
          </cell>
          <cell r="M338">
            <v>2438.4</v>
          </cell>
          <cell r="N338">
            <v>3</v>
          </cell>
          <cell r="O338" t="str">
            <v>Unique</v>
          </cell>
          <cell r="P338" t="str">
            <v>Attente complement</v>
          </cell>
          <cell r="Q338">
            <v>2024</v>
          </cell>
          <cell r="R338">
            <v>45630</v>
          </cell>
          <cell r="S338">
            <v>45501</v>
          </cell>
        </row>
        <row r="339">
          <cell r="G339">
            <v>14223</v>
          </cell>
          <cell r="H339">
            <v>94119257</v>
          </cell>
          <cell r="I339">
            <v>44404</v>
          </cell>
          <cell r="J339">
            <v>44404</v>
          </cell>
          <cell r="K339">
            <v>55360</v>
          </cell>
          <cell r="L339">
            <v>3727755.68</v>
          </cell>
          <cell r="M339">
            <v>200373.68</v>
          </cell>
          <cell r="N339">
            <v>30</v>
          </cell>
          <cell r="O339" t="str">
            <v>Unique</v>
          </cell>
          <cell r="P339" t="str">
            <v>Réglé</v>
          </cell>
          <cell r="Q339">
            <v>2024</v>
          </cell>
          <cell r="R339">
            <v>45657</v>
          </cell>
          <cell r="S339">
            <v>45457</v>
          </cell>
          <cell r="T339">
            <v>45662</v>
          </cell>
          <cell r="U339">
            <v>3684428.2</v>
          </cell>
        </row>
        <row r="340">
          <cell r="G340">
            <v>22274</v>
          </cell>
          <cell r="H340">
            <v>95711544</v>
          </cell>
          <cell r="I340">
            <v>44914</v>
          </cell>
          <cell r="J340">
            <v>44914</v>
          </cell>
          <cell r="K340">
            <v>54775</v>
          </cell>
          <cell r="L340">
            <v>10800000</v>
          </cell>
          <cell r="M340">
            <v>973080</v>
          </cell>
          <cell r="N340">
            <v>27</v>
          </cell>
          <cell r="O340" t="str">
            <v>Unique</v>
          </cell>
          <cell r="P340" t="str">
            <v>Transmis</v>
          </cell>
          <cell r="Q340">
            <v>2024</v>
          </cell>
          <cell r="R340">
            <v>45991</v>
          </cell>
          <cell r="S340">
            <v>45622</v>
          </cell>
        </row>
        <row r="341">
          <cell r="G341">
            <v>17132</v>
          </cell>
          <cell r="H341">
            <v>30121655</v>
          </cell>
          <cell r="I341">
            <v>44609</v>
          </cell>
          <cell r="J341">
            <v>44612</v>
          </cell>
          <cell r="K341">
            <v>51916</v>
          </cell>
          <cell r="L341">
            <v>8100000</v>
          </cell>
          <cell r="M341">
            <v>5594.44</v>
          </cell>
          <cell r="N341">
            <v>20</v>
          </cell>
          <cell r="O341" t="str">
            <v>Mensuelle</v>
          </cell>
          <cell r="P341" t="str">
            <v>Réglé</v>
          </cell>
          <cell r="Q341">
            <v>2024</v>
          </cell>
          <cell r="R341">
            <v>45797</v>
          </cell>
          <cell r="S341">
            <v>45376</v>
          </cell>
          <cell r="T341">
            <v>45810</v>
          </cell>
          <cell r="U341">
            <v>4235186.25</v>
          </cell>
        </row>
        <row r="342">
          <cell r="G342">
            <v>311</v>
          </cell>
          <cell r="H342" t="str">
            <v>-</v>
          </cell>
          <cell r="I342">
            <v>45211</v>
          </cell>
          <cell r="J342">
            <v>45211</v>
          </cell>
          <cell r="K342">
            <v>45576</v>
          </cell>
          <cell r="L342">
            <v>500000</v>
          </cell>
          <cell r="M342">
            <v>2592</v>
          </cell>
          <cell r="N342">
            <v>1</v>
          </cell>
          <cell r="O342" t="str">
            <v>Unique</v>
          </cell>
          <cell r="P342" t="str">
            <v>Réglé</v>
          </cell>
          <cell r="Q342">
            <v>2024</v>
          </cell>
          <cell r="R342">
            <v>45645</v>
          </cell>
          <cell r="S342" t="str">
            <v>Maladie redoutée</v>
          </cell>
          <cell r="T342">
            <v>45770</v>
          </cell>
          <cell r="U342">
            <v>500000</v>
          </cell>
        </row>
        <row r="343">
          <cell r="G343">
            <v>30569</v>
          </cell>
          <cell r="H343">
            <v>41224630</v>
          </cell>
          <cell r="I343">
            <v>45322</v>
          </cell>
          <cell r="J343">
            <v>45322</v>
          </cell>
          <cell r="K343">
            <v>57740</v>
          </cell>
          <cell r="L343">
            <v>4911895.05</v>
          </cell>
          <cell r="M343">
            <v>321895.05</v>
          </cell>
          <cell r="N343">
            <v>34</v>
          </cell>
          <cell r="O343" t="str">
            <v>Unique</v>
          </cell>
          <cell r="P343" t="str">
            <v>Attente complement</v>
          </cell>
          <cell r="Q343">
            <v>2024</v>
          </cell>
          <cell r="R343">
            <v>45637</v>
          </cell>
          <cell r="S343">
            <v>45413</v>
          </cell>
        </row>
        <row r="344">
          <cell r="G344">
            <v>1389</v>
          </cell>
          <cell r="H344">
            <v>62902333</v>
          </cell>
          <cell r="I344">
            <v>43100</v>
          </cell>
          <cell r="J344">
            <v>43012</v>
          </cell>
          <cell r="K344">
            <v>48855</v>
          </cell>
          <cell r="L344">
            <v>3951426</v>
          </cell>
          <cell r="M344">
            <v>255262.12</v>
          </cell>
          <cell r="N344">
            <v>16</v>
          </cell>
          <cell r="O344" t="str">
            <v>Unique</v>
          </cell>
          <cell r="P344" t="str">
            <v>Réglé</v>
          </cell>
          <cell r="Q344">
            <v>2024</v>
          </cell>
          <cell r="R344">
            <v>45642</v>
          </cell>
          <cell r="S344">
            <v>45636</v>
          </cell>
          <cell r="T344">
            <v>45727</v>
          </cell>
          <cell r="U344">
            <v>2342945.69</v>
          </cell>
        </row>
        <row r="345">
          <cell r="G345">
            <v>29703</v>
          </cell>
          <cell r="H345">
            <v>81145680</v>
          </cell>
          <cell r="I345">
            <v>45196</v>
          </cell>
          <cell r="J345">
            <v>45196</v>
          </cell>
          <cell r="K345">
            <v>46291</v>
          </cell>
          <cell r="L345">
            <v>740000</v>
          </cell>
          <cell r="M345">
            <v>6660</v>
          </cell>
          <cell r="N345">
            <v>3</v>
          </cell>
          <cell r="O345" t="str">
            <v>Unique</v>
          </cell>
          <cell r="P345" t="str">
            <v>Attente complement</v>
          </cell>
          <cell r="Q345">
            <v>2024</v>
          </cell>
          <cell r="R345">
            <v>45704</v>
          </cell>
          <cell r="S345">
            <v>45573</v>
          </cell>
        </row>
        <row r="346">
          <cell r="G346">
            <v>982</v>
          </cell>
          <cell r="H346">
            <v>94609624</v>
          </cell>
          <cell r="I346">
            <v>43033</v>
          </cell>
          <cell r="J346">
            <v>43034</v>
          </cell>
          <cell r="K346">
            <v>48877</v>
          </cell>
          <cell r="L346">
            <v>4500000</v>
          </cell>
          <cell r="M346">
            <v>58950</v>
          </cell>
          <cell r="N346">
            <v>16</v>
          </cell>
          <cell r="O346" t="str">
            <v>Unique</v>
          </cell>
          <cell r="P346" t="str">
            <v>Réglé</v>
          </cell>
          <cell r="Q346">
            <v>2024</v>
          </cell>
          <cell r="R346">
            <v>45785</v>
          </cell>
          <cell r="S346">
            <v>45538</v>
          </cell>
          <cell r="T346">
            <v>45792</v>
          </cell>
          <cell r="U346">
            <v>3093777.57</v>
          </cell>
        </row>
        <row r="347">
          <cell r="G347">
            <v>6765</v>
          </cell>
          <cell r="H347">
            <v>84301738</v>
          </cell>
          <cell r="I347">
            <v>43751</v>
          </cell>
          <cell r="J347">
            <v>43751</v>
          </cell>
          <cell r="K347">
            <v>47037</v>
          </cell>
          <cell r="L347">
            <v>879806.52</v>
          </cell>
          <cell r="M347">
            <v>74806.52</v>
          </cell>
          <cell r="N347">
            <v>9</v>
          </cell>
          <cell r="O347" t="str">
            <v>Unique</v>
          </cell>
          <cell r="P347" t="str">
            <v>Transmis</v>
          </cell>
          <cell r="Q347">
            <v>2024</v>
          </cell>
          <cell r="R347">
            <v>45978</v>
          </cell>
          <cell r="S347">
            <v>45638</v>
          </cell>
        </row>
        <row r="348">
          <cell r="G348">
            <v>2759</v>
          </cell>
          <cell r="H348">
            <v>85024309</v>
          </cell>
          <cell r="I348">
            <v>43291</v>
          </cell>
          <cell r="J348">
            <v>43292</v>
          </cell>
          <cell r="K348">
            <v>46213</v>
          </cell>
          <cell r="L348">
            <v>967000</v>
          </cell>
          <cell r="M348">
            <v>26205.7</v>
          </cell>
          <cell r="N348">
            <v>8</v>
          </cell>
          <cell r="O348" t="str">
            <v>Unique</v>
          </cell>
          <cell r="P348" t="str">
            <v>Réglé</v>
          </cell>
          <cell r="Q348">
            <v>2024</v>
          </cell>
          <cell r="R348">
            <v>45655</v>
          </cell>
          <cell r="S348">
            <v>45644</v>
          </cell>
          <cell r="T348">
            <v>45705</v>
          </cell>
          <cell r="U348">
            <v>478457.55</v>
          </cell>
        </row>
        <row r="349">
          <cell r="G349">
            <v>22183</v>
          </cell>
          <cell r="H349">
            <v>81202698</v>
          </cell>
          <cell r="I349">
            <v>44969</v>
          </cell>
          <cell r="J349">
            <v>44969</v>
          </cell>
          <cell r="K349">
            <v>46064</v>
          </cell>
          <cell r="L349">
            <v>850000</v>
          </cell>
          <cell r="M349">
            <v>26775</v>
          </cell>
          <cell r="N349">
            <v>3</v>
          </cell>
          <cell r="O349" t="str">
            <v>Unique</v>
          </cell>
          <cell r="P349" t="str">
            <v>Attente complement</v>
          </cell>
          <cell r="Q349">
            <v>2024</v>
          </cell>
          <cell r="R349">
            <v>45662</v>
          </cell>
          <cell r="S349">
            <v>45628</v>
          </cell>
        </row>
        <row r="350">
          <cell r="G350">
            <v>24632</v>
          </cell>
          <cell r="H350">
            <v>31506021</v>
          </cell>
          <cell r="I350">
            <v>45026</v>
          </cell>
          <cell r="J350">
            <v>45026</v>
          </cell>
          <cell r="K350">
            <v>46121</v>
          </cell>
          <cell r="L350">
            <v>2000000</v>
          </cell>
          <cell r="M350">
            <v>29400</v>
          </cell>
          <cell r="N350">
            <v>3</v>
          </cell>
          <cell r="O350" t="str">
            <v>Unique</v>
          </cell>
          <cell r="P350" t="str">
            <v>Attente complement</v>
          </cell>
          <cell r="Q350">
            <v>2024</v>
          </cell>
          <cell r="R350">
            <v>45656</v>
          </cell>
          <cell r="S350">
            <v>45018</v>
          </cell>
        </row>
        <row r="351">
          <cell r="G351">
            <v>22694</v>
          </cell>
          <cell r="H351">
            <v>30116672</v>
          </cell>
          <cell r="I351">
            <v>44984</v>
          </cell>
          <cell r="J351">
            <v>45015</v>
          </cell>
          <cell r="K351">
            <v>46110</v>
          </cell>
          <cell r="L351">
            <v>250000</v>
          </cell>
          <cell r="M351">
            <v>2250</v>
          </cell>
          <cell r="N351">
            <v>3</v>
          </cell>
          <cell r="O351" t="str">
            <v>Unique</v>
          </cell>
          <cell r="P351" t="str">
            <v>Attente complement</v>
          </cell>
          <cell r="Q351">
            <v>2024</v>
          </cell>
          <cell r="R351">
            <v>45683</v>
          </cell>
          <cell r="S351">
            <v>45139</v>
          </cell>
        </row>
        <row r="352">
          <cell r="G352">
            <v>22470</v>
          </cell>
          <cell r="H352">
            <v>59001257</v>
          </cell>
          <cell r="I352">
            <v>44922</v>
          </cell>
          <cell r="J352">
            <v>44922</v>
          </cell>
          <cell r="K352">
            <v>56974</v>
          </cell>
          <cell r="L352">
            <v>7871150</v>
          </cell>
          <cell r="M352">
            <v>544683.57999999996</v>
          </cell>
          <cell r="N352">
            <v>33</v>
          </cell>
          <cell r="O352" t="str">
            <v>Unique</v>
          </cell>
          <cell r="P352" t="str">
            <v>Réglé</v>
          </cell>
          <cell r="Q352">
            <v>2025</v>
          </cell>
          <cell r="R352">
            <v>45662</v>
          </cell>
          <cell r="S352">
            <v>45614</v>
          </cell>
          <cell r="T352">
            <v>45978</v>
          </cell>
          <cell r="U352">
            <v>7449640.9800000004</v>
          </cell>
        </row>
        <row r="353">
          <cell r="G353">
            <v>18277</v>
          </cell>
          <cell r="H353">
            <v>87634986</v>
          </cell>
          <cell r="I353">
            <v>44802</v>
          </cell>
          <cell r="J353">
            <v>44802</v>
          </cell>
          <cell r="K353">
            <v>45897</v>
          </cell>
          <cell r="L353">
            <v>540000</v>
          </cell>
          <cell r="M353">
            <v>5184</v>
          </cell>
          <cell r="N353">
            <v>3</v>
          </cell>
          <cell r="O353" t="str">
            <v>Unique</v>
          </cell>
          <cell r="P353" t="str">
            <v>Attente complement</v>
          </cell>
          <cell r="Q353">
            <v>2025</v>
          </cell>
          <cell r="R353">
            <v>45657</v>
          </cell>
          <cell r="S353">
            <v>45310</v>
          </cell>
        </row>
        <row r="354">
          <cell r="G354">
            <v>2469</v>
          </cell>
          <cell r="H354">
            <v>51420132</v>
          </cell>
          <cell r="I354">
            <v>43256</v>
          </cell>
          <cell r="J354">
            <v>43147</v>
          </cell>
          <cell r="K354">
            <v>51547</v>
          </cell>
          <cell r="L354">
            <v>810000</v>
          </cell>
          <cell r="M354">
            <v>55161</v>
          </cell>
          <cell r="N354">
            <v>23</v>
          </cell>
          <cell r="O354" t="str">
            <v>Unique</v>
          </cell>
          <cell r="P354" t="str">
            <v>Transmis</v>
          </cell>
          <cell r="Q354">
            <v>2025</v>
          </cell>
          <cell r="R354">
            <v>45980</v>
          </cell>
          <cell r="S354">
            <v>45502</v>
          </cell>
        </row>
        <row r="355">
          <cell r="G355">
            <v>24812</v>
          </cell>
          <cell r="H355">
            <v>94116834</v>
          </cell>
          <cell r="I355">
            <v>45402</v>
          </cell>
          <cell r="J355">
            <v>45402</v>
          </cell>
          <cell r="K355">
            <v>47957</v>
          </cell>
          <cell r="L355">
            <v>4092480</v>
          </cell>
          <cell r="M355">
            <v>153701.28</v>
          </cell>
          <cell r="N355">
            <v>8</v>
          </cell>
          <cell r="O355" t="str">
            <v>Mensuelle</v>
          </cell>
          <cell r="P355" t="str">
            <v>Réglé</v>
          </cell>
          <cell r="Q355">
            <v>2025</v>
          </cell>
          <cell r="R355">
            <v>45809</v>
          </cell>
          <cell r="S355">
            <v>45411</v>
          </cell>
          <cell r="T355">
            <v>45824</v>
          </cell>
          <cell r="U355">
            <v>3383271.31</v>
          </cell>
        </row>
        <row r="356">
          <cell r="G356">
            <v>5687</v>
          </cell>
          <cell r="H356">
            <v>25110334</v>
          </cell>
          <cell r="I356">
            <v>43608</v>
          </cell>
          <cell r="J356">
            <v>43608</v>
          </cell>
          <cell r="K356">
            <v>50907</v>
          </cell>
          <cell r="L356">
            <v>1901715.16</v>
          </cell>
          <cell r="M356">
            <v>101654.74</v>
          </cell>
          <cell r="N356">
            <v>20</v>
          </cell>
          <cell r="O356" t="str">
            <v>Unique</v>
          </cell>
          <cell r="P356" t="str">
            <v>Attente complement</v>
          </cell>
          <cell r="Q356">
            <v>2025</v>
          </cell>
          <cell r="R356">
            <v>45663</v>
          </cell>
          <cell r="S356">
            <v>45482</v>
          </cell>
        </row>
        <row r="357">
          <cell r="G357">
            <v>10103</v>
          </cell>
          <cell r="H357">
            <v>77338700</v>
          </cell>
          <cell r="I357">
            <v>44125</v>
          </cell>
          <cell r="J357">
            <v>44180</v>
          </cell>
          <cell r="K357">
            <v>46369</v>
          </cell>
          <cell r="L357">
            <v>1200000</v>
          </cell>
          <cell r="M357">
            <v>122040</v>
          </cell>
          <cell r="N357">
            <v>16</v>
          </cell>
          <cell r="O357" t="str">
            <v>Unique</v>
          </cell>
          <cell r="P357" t="str">
            <v>Attente complement</v>
          </cell>
          <cell r="Q357">
            <v>2025</v>
          </cell>
          <cell r="R357">
            <v>45851</v>
          </cell>
          <cell r="S357">
            <v>45658</v>
          </cell>
        </row>
        <row r="358">
          <cell r="G358">
            <v>6263</v>
          </cell>
          <cell r="H358">
            <v>582222213</v>
          </cell>
          <cell r="I358">
            <v>43670</v>
          </cell>
          <cell r="J358">
            <v>43671</v>
          </cell>
          <cell r="K358">
            <v>47322</v>
          </cell>
          <cell r="L358">
            <v>2200000</v>
          </cell>
          <cell r="M358">
            <v>197780</v>
          </cell>
          <cell r="N358">
            <v>10</v>
          </cell>
          <cell r="O358" t="str">
            <v>Unique</v>
          </cell>
          <cell r="P358" t="str">
            <v>Réglé</v>
          </cell>
          <cell r="Q358">
            <v>2025</v>
          </cell>
          <cell r="R358">
            <v>45840</v>
          </cell>
          <cell r="S358">
            <v>45611</v>
          </cell>
          <cell r="T358">
            <v>45921</v>
          </cell>
          <cell r="U358">
            <v>1416028.63</v>
          </cell>
        </row>
        <row r="359">
          <cell r="G359">
            <v>16283</v>
          </cell>
          <cell r="H359">
            <v>81012918</v>
          </cell>
          <cell r="I359">
            <v>44662</v>
          </cell>
          <cell r="J359">
            <v>44662</v>
          </cell>
          <cell r="K359">
            <v>45757</v>
          </cell>
          <cell r="L359">
            <v>342000</v>
          </cell>
          <cell r="M359">
            <v>3283.2</v>
          </cell>
          <cell r="N359">
            <v>3</v>
          </cell>
          <cell r="O359" t="str">
            <v>Unique</v>
          </cell>
          <cell r="P359" t="str">
            <v>Rejeté</v>
          </cell>
          <cell r="Q359">
            <v>2025</v>
          </cell>
          <cell r="R359">
            <v>45673</v>
          </cell>
          <cell r="S359">
            <v>45648</v>
          </cell>
          <cell r="T359" t="str">
            <v>-</v>
          </cell>
          <cell r="U359">
            <v>0</v>
          </cell>
        </row>
        <row r="360">
          <cell r="G360">
            <v>9298</v>
          </cell>
          <cell r="H360">
            <v>64414631</v>
          </cell>
          <cell r="I360">
            <v>44039</v>
          </cell>
          <cell r="J360">
            <v>44039</v>
          </cell>
          <cell r="K360">
            <v>50243</v>
          </cell>
          <cell r="L360">
            <v>6334471.0800000001</v>
          </cell>
          <cell r="M360">
            <v>471626.58</v>
          </cell>
          <cell r="N360">
            <v>17</v>
          </cell>
          <cell r="O360" t="str">
            <v>Unique</v>
          </cell>
          <cell r="P360" t="str">
            <v>Réglé</v>
          </cell>
          <cell r="Q360">
            <v>2025</v>
          </cell>
          <cell r="R360">
            <v>45831</v>
          </cell>
          <cell r="S360">
            <v>45690</v>
          </cell>
          <cell r="T360">
            <v>45840</v>
          </cell>
          <cell r="U360">
            <v>2379283.58</v>
          </cell>
        </row>
        <row r="361">
          <cell r="G361">
            <v>16749</v>
          </cell>
          <cell r="H361">
            <v>61713794</v>
          </cell>
          <cell r="I361">
            <v>44584</v>
          </cell>
          <cell r="J361">
            <v>44949</v>
          </cell>
          <cell r="K361">
            <v>48235</v>
          </cell>
          <cell r="L361">
            <v>1150000</v>
          </cell>
          <cell r="M361">
            <v>45425</v>
          </cell>
          <cell r="N361">
            <v>10</v>
          </cell>
          <cell r="O361" t="str">
            <v>Unique</v>
          </cell>
          <cell r="P361" t="str">
            <v>Attente complement</v>
          </cell>
          <cell r="Q361">
            <v>2025</v>
          </cell>
          <cell r="R361">
            <v>45970</v>
          </cell>
          <cell r="S361">
            <v>44980</v>
          </cell>
        </row>
        <row r="362">
          <cell r="G362">
            <v>24898</v>
          </cell>
          <cell r="H362">
            <v>52613956</v>
          </cell>
          <cell r="I362">
            <v>45048</v>
          </cell>
          <cell r="J362">
            <v>45048</v>
          </cell>
          <cell r="K362">
            <v>46143</v>
          </cell>
          <cell r="L362">
            <v>380000</v>
          </cell>
          <cell r="M362">
            <v>3420</v>
          </cell>
          <cell r="N362">
            <v>3</v>
          </cell>
          <cell r="O362" t="str">
            <v>Unique</v>
          </cell>
          <cell r="P362" t="str">
            <v>Réglé</v>
          </cell>
          <cell r="Q362">
            <v>2025</v>
          </cell>
          <cell r="R362">
            <v>45692</v>
          </cell>
          <cell r="S362">
            <v>45571</v>
          </cell>
          <cell r="T362">
            <v>45784</v>
          </cell>
          <cell r="U362">
            <v>200555.48</v>
          </cell>
        </row>
        <row r="363">
          <cell r="G363">
            <v>33072</v>
          </cell>
          <cell r="H363">
            <v>38708402</v>
          </cell>
          <cell r="I363">
            <v>45384</v>
          </cell>
          <cell r="J363">
            <v>45385</v>
          </cell>
          <cell r="K363">
            <v>46479</v>
          </cell>
          <cell r="L363">
            <v>840000</v>
          </cell>
          <cell r="M363">
            <v>7560</v>
          </cell>
          <cell r="N363">
            <v>3</v>
          </cell>
          <cell r="O363" t="str">
            <v>Unique</v>
          </cell>
          <cell r="P363" t="str">
            <v>Attente complement</v>
          </cell>
          <cell r="Q363">
            <v>2025</v>
          </cell>
          <cell r="R363">
            <v>45823</v>
          </cell>
          <cell r="S363">
            <v>45673</v>
          </cell>
        </row>
        <row r="364">
          <cell r="G364">
            <v>17475</v>
          </cell>
          <cell r="H364">
            <v>33509880</v>
          </cell>
          <cell r="I364">
            <v>44629</v>
          </cell>
          <cell r="J364">
            <v>44634</v>
          </cell>
          <cell r="K364">
            <v>50112</v>
          </cell>
          <cell r="L364">
            <v>1270000</v>
          </cell>
          <cell r="M364">
            <v>31623</v>
          </cell>
          <cell r="N364">
            <v>15</v>
          </cell>
          <cell r="O364" t="str">
            <v>Unique</v>
          </cell>
          <cell r="P364" t="str">
            <v>Réglé</v>
          </cell>
          <cell r="Q364">
            <v>2025</v>
          </cell>
          <cell r="R364">
            <v>45698</v>
          </cell>
          <cell r="S364">
            <v>45631</v>
          </cell>
          <cell r="T364">
            <v>45727</v>
          </cell>
          <cell r="U364">
            <v>1208918.75</v>
          </cell>
        </row>
        <row r="365">
          <cell r="G365">
            <v>17600</v>
          </cell>
          <cell r="H365">
            <v>94715188</v>
          </cell>
          <cell r="I365">
            <v>44658</v>
          </cell>
          <cell r="J365">
            <v>44749</v>
          </cell>
          <cell r="K365">
            <v>45843</v>
          </cell>
          <cell r="L365">
            <v>800000</v>
          </cell>
          <cell r="M365">
            <v>7680</v>
          </cell>
          <cell r="N365">
            <v>3</v>
          </cell>
          <cell r="O365" t="str">
            <v>Unique</v>
          </cell>
          <cell r="P365" t="str">
            <v>Rejeté</v>
          </cell>
          <cell r="Q365">
            <v>2025</v>
          </cell>
          <cell r="R365">
            <v>45851</v>
          </cell>
          <cell r="S365">
            <v>45608</v>
          </cell>
          <cell r="T365" t="str">
            <v>-</v>
          </cell>
          <cell r="U365">
            <v>0</v>
          </cell>
        </row>
        <row r="366">
          <cell r="G366">
            <v>30776</v>
          </cell>
          <cell r="H366">
            <v>87000660</v>
          </cell>
          <cell r="I366">
            <v>45336</v>
          </cell>
          <cell r="J366">
            <v>45336</v>
          </cell>
          <cell r="K366">
            <v>50814</v>
          </cell>
          <cell r="L366">
            <v>3002515.8</v>
          </cell>
          <cell r="M366">
            <v>302515.8</v>
          </cell>
          <cell r="N366">
            <v>15</v>
          </cell>
          <cell r="O366" t="str">
            <v>Unique F</v>
          </cell>
          <cell r="P366" t="str">
            <v>Rejeté</v>
          </cell>
          <cell r="Q366">
            <v>2025</v>
          </cell>
          <cell r="R366">
            <v>45911</v>
          </cell>
          <cell r="S366">
            <v>45683</v>
          </cell>
          <cell r="T366" t="str">
            <v>-</v>
          </cell>
          <cell r="U366">
            <v>0</v>
          </cell>
        </row>
        <row r="367">
          <cell r="G367">
            <v>20347</v>
          </cell>
          <cell r="H367">
            <v>91900192</v>
          </cell>
          <cell r="I367">
            <v>44907</v>
          </cell>
          <cell r="J367">
            <v>44907</v>
          </cell>
          <cell r="K367">
            <v>46002</v>
          </cell>
          <cell r="L367">
            <v>380000</v>
          </cell>
          <cell r="M367">
            <v>3420</v>
          </cell>
          <cell r="N367">
            <v>3</v>
          </cell>
          <cell r="O367" t="str">
            <v>Unique</v>
          </cell>
          <cell r="P367" t="str">
            <v>Attente complement</v>
          </cell>
          <cell r="Q367">
            <v>2025</v>
          </cell>
          <cell r="R367">
            <v>45720</v>
          </cell>
          <cell r="S367">
            <v>45706</v>
          </cell>
        </row>
        <row r="368">
          <cell r="G368">
            <v>3310</v>
          </cell>
          <cell r="H368">
            <v>62611617</v>
          </cell>
          <cell r="I368">
            <v>43374</v>
          </cell>
          <cell r="J368">
            <v>43377</v>
          </cell>
          <cell r="K368">
            <v>47756</v>
          </cell>
          <cell r="L368">
            <v>9209200</v>
          </cell>
          <cell r="M368">
            <v>665018.06999999995</v>
          </cell>
          <cell r="N368">
            <v>12</v>
          </cell>
          <cell r="O368" t="str">
            <v>Unique</v>
          </cell>
          <cell r="P368" t="str">
            <v>Réglé</v>
          </cell>
          <cell r="Q368">
            <v>2025</v>
          </cell>
          <cell r="S368">
            <v>45567</v>
          </cell>
          <cell r="T368">
            <v>45770</v>
          </cell>
          <cell r="U368">
            <v>2352336.87</v>
          </cell>
        </row>
        <row r="369">
          <cell r="G369">
            <v>19892</v>
          </cell>
          <cell r="H369">
            <v>41412704</v>
          </cell>
          <cell r="I369">
            <v>44773</v>
          </cell>
          <cell r="J369">
            <v>44774</v>
          </cell>
          <cell r="K369">
            <v>51348</v>
          </cell>
          <cell r="L369">
            <v>5110418.9400000004</v>
          </cell>
          <cell r="M369">
            <v>510418.94</v>
          </cell>
          <cell r="N369">
            <v>18</v>
          </cell>
          <cell r="O369" t="str">
            <v>Unique F</v>
          </cell>
          <cell r="P369" t="str">
            <v>Réglé</v>
          </cell>
          <cell r="Q369">
            <v>2025</v>
          </cell>
          <cell r="R369">
            <v>45755</v>
          </cell>
          <cell r="S369">
            <v>45704</v>
          </cell>
          <cell r="T369">
            <v>45792</v>
          </cell>
          <cell r="U369">
            <v>4869542.0199999996</v>
          </cell>
        </row>
        <row r="370">
          <cell r="G370">
            <v>17118</v>
          </cell>
          <cell r="H370">
            <v>81200700</v>
          </cell>
          <cell r="I370">
            <v>44721</v>
          </cell>
          <cell r="J370">
            <v>44721</v>
          </cell>
          <cell r="K370">
            <v>45816</v>
          </cell>
          <cell r="L370">
            <v>990000</v>
          </cell>
          <cell r="M370">
            <v>9504</v>
          </cell>
          <cell r="N370">
            <v>3</v>
          </cell>
          <cell r="O370" t="str">
            <v>Unique</v>
          </cell>
          <cell r="P370" t="str">
            <v>Rejeté</v>
          </cell>
          <cell r="Q370">
            <v>2025</v>
          </cell>
          <cell r="R370">
            <v>45783</v>
          </cell>
          <cell r="S370">
            <v>45712</v>
          </cell>
          <cell r="T370" t="str">
            <v>-</v>
          </cell>
          <cell r="U370">
            <v>0</v>
          </cell>
        </row>
        <row r="371">
          <cell r="G371">
            <v>22429</v>
          </cell>
          <cell r="H371">
            <v>38616591</v>
          </cell>
          <cell r="I371">
            <v>44977</v>
          </cell>
          <cell r="J371">
            <v>44977</v>
          </cell>
          <cell r="K371">
            <v>46072</v>
          </cell>
          <cell r="L371">
            <v>180000</v>
          </cell>
          <cell r="M371">
            <v>1620</v>
          </cell>
          <cell r="N371">
            <v>3</v>
          </cell>
          <cell r="O371" t="str">
            <v>Unique</v>
          </cell>
          <cell r="P371" t="str">
            <v>Attente complement</v>
          </cell>
          <cell r="Q371">
            <v>2025</v>
          </cell>
          <cell r="R371">
            <v>45746</v>
          </cell>
          <cell r="S371">
            <v>45395</v>
          </cell>
        </row>
        <row r="372">
          <cell r="G372">
            <v>23530</v>
          </cell>
          <cell r="H372">
            <v>62416131</v>
          </cell>
          <cell r="I372">
            <v>45007</v>
          </cell>
          <cell r="J372">
            <v>45007</v>
          </cell>
          <cell r="K372">
            <v>46102</v>
          </cell>
          <cell r="L372">
            <v>990000</v>
          </cell>
          <cell r="M372">
            <v>8910</v>
          </cell>
          <cell r="N372">
            <v>3</v>
          </cell>
          <cell r="O372" t="str">
            <v>Unique</v>
          </cell>
          <cell r="P372" t="str">
            <v>Attente complement</v>
          </cell>
          <cell r="Q372">
            <v>2025</v>
          </cell>
          <cell r="R372">
            <v>45805</v>
          </cell>
          <cell r="S372">
            <v>45728</v>
          </cell>
        </row>
        <row r="373">
          <cell r="G373">
            <v>10324</v>
          </cell>
          <cell r="H373">
            <v>70610419</v>
          </cell>
          <cell r="I373">
            <v>44146</v>
          </cell>
          <cell r="J373">
            <v>44146</v>
          </cell>
          <cell r="K373">
            <v>49623</v>
          </cell>
          <cell r="L373">
            <v>4600000</v>
          </cell>
          <cell r="M373">
            <v>514280</v>
          </cell>
          <cell r="N373">
            <v>15</v>
          </cell>
          <cell r="O373" t="str">
            <v>Unique</v>
          </cell>
          <cell r="P373" t="str">
            <v>Réglé</v>
          </cell>
          <cell r="Q373">
            <v>2025</v>
          </cell>
          <cell r="R373">
            <v>45938</v>
          </cell>
          <cell r="S373">
            <v>45623</v>
          </cell>
          <cell r="T373">
            <v>45956</v>
          </cell>
          <cell r="U373">
            <v>3563836.69</v>
          </cell>
        </row>
        <row r="374">
          <cell r="G374">
            <v>30976</v>
          </cell>
          <cell r="H374">
            <v>94800748</v>
          </cell>
          <cell r="I374">
            <v>45249</v>
          </cell>
          <cell r="J374">
            <v>45260</v>
          </cell>
          <cell r="K374">
            <v>46355</v>
          </cell>
          <cell r="L374">
            <v>990000</v>
          </cell>
          <cell r="M374">
            <v>8910</v>
          </cell>
          <cell r="N374">
            <v>3</v>
          </cell>
          <cell r="O374" t="str">
            <v>Unique</v>
          </cell>
          <cell r="P374" t="str">
            <v>Attente complement</v>
          </cell>
          <cell r="Q374">
            <v>2025</v>
          </cell>
          <cell r="R374">
            <v>45774</v>
          </cell>
          <cell r="S374">
            <v>45723</v>
          </cell>
        </row>
        <row r="375">
          <cell r="G375">
            <v>17041</v>
          </cell>
          <cell r="H375">
            <v>26210222</v>
          </cell>
          <cell r="I375">
            <v>44605</v>
          </cell>
          <cell r="J375">
            <v>44605</v>
          </cell>
          <cell r="K375">
            <v>47891</v>
          </cell>
          <cell r="L375">
            <v>900000</v>
          </cell>
          <cell r="M375">
            <v>84960</v>
          </cell>
          <cell r="N375">
            <v>9</v>
          </cell>
          <cell r="O375" t="str">
            <v>Unique</v>
          </cell>
          <cell r="P375" t="str">
            <v>Transmis</v>
          </cell>
          <cell r="Q375">
            <v>2025</v>
          </cell>
          <cell r="R375">
            <v>45785</v>
          </cell>
          <cell r="S375">
            <v>44917</v>
          </cell>
        </row>
        <row r="376">
          <cell r="G376">
            <v>31550</v>
          </cell>
          <cell r="H376">
            <v>743285539</v>
          </cell>
          <cell r="I376">
            <v>45377</v>
          </cell>
          <cell r="J376">
            <v>45377</v>
          </cell>
          <cell r="K376">
            <v>47932</v>
          </cell>
          <cell r="L376">
            <v>3599249.78</v>
          </cell>
          <cell r="M376">
            <v>271373.78000000003</v>
          </cell>
          <cell r="N376">
            <v>7</v>
          </cell>
          <cell r="O376" t="str">
            <v>Unique F</v>
          </cell>
          <cell r="P376" t="str">
            <v>Rejeté</v>
          </cell>
          <cell r="Q376">
            <v>2025</v>
          </cell>
          <cell r="R376">
            <v>45936</v>
          </cell>
          <cell r="S376">
            <v>45745</v>
          </cell>
          <cell r="T376" t="str">
            <v>-</v>
          </cell>
          <cell r="U376">
            <v>0</v>
          </cell>
        </row>
        <row r="377">
          <cell r="G377">
            <v>32386</v>
          </cell>
          <cell r="H377">
            <v>33613286</v>
          </cell>
          <cell r="I377">
            <v>45427</v>
          </cell>
          <cell r="J377">
            <v>45427</v>
          </cell>
          <cell r="K377">
            <v>57479</v>
          </cell>
          <cell r="L377">
            <v>7830000</v>
          </cell>
          <cell r="M377">
            <v>541836</v>
          </cell>
          <cell r="N377">
            <v>33</v>
          </cell>
          <cell r="O377" t="str">
            <v>Unique</v>
          </cell>
          <cell r="P377" t="str">
            <v>Rejeté</v>
          </cell>
          <cell r="Q377">
            <v>2025</v>
          </cell>
          <cell r="R377">
            <v>45813</v>
          </cell>
          <cell r="S377">
            <v>45751</v>
          </cell>
          <cell r="T377" t="str">
            <v>-</v>
          </cell>
          <cell r="U377">
            <v>0</v>
          </cell>
        </row>
        <row r="378">
          <cell r="G378">
            <v>21911</v>
          </cell>
          <cell r="H378">
            <v>445</v>
          </cell>
          <cell r="I378">
            <v>44959</v>
          </cell>
          <cell r="J378">
            <v>44959</v>
          </cell>
          <cell r="K378">
            <v>46054</v>
          </cell>
          <cell r="L378">
            <v>499000</v>
          </cell>
          <cell r="M378">
            <v>4491</v>
          </cell>
          <cell r="N378">
            <v>3</v>
          </cell>
          <cell r="O378" t="str">
            <v>Unique</v>
          </cell>
          <cell r="P378" t="str">
            <v>Réglé</v>
          </cell>
          <cell r="Q378">
            <v>2025</v>
          </cell>
          <cell r="R378">
            <v>45789</v>
          </cell>
          <cell r="S378">
            <v>45766</v>
          </cell>
          <cell r="T378">
            <v>45810</v>
          </cell>
          <cell r="U378">
            <v>153719.98000000001</v>
          </cell>
        </row>
        <row r="379">
          <cell r="G379">
            <v>33746</v>
          </cell>
          <cell r="H379">
            <v>63409910</v>
          </cell>
          <cell r="I379">
            <v>45431</v>
          </cell>
          <cell r="J379">
            <v>45431</v>
          </cell>
          <cell r="K379">
            <v>46525</v>
          </cell>
          <cell r="L379">
            <v>590000</v>
          </cell>
          <cell r="M379">
            <v>5310</v>
          </cell>
          <cell r="N379">
            <v>3</v>
          </cell>
          <cell r="O379" t="str">
            <v xml:space="preserve">Unique </v>
          </cell>
          <cell r="P379" t="str">
            <v>Attente complement</v>
          </cell>
          <cell r="Q379">
            <v>2025</v>
          </cell>
          <cell r="R379">
            <v>45984</v>
          </cell>
          <cell r="S379">
            <v>45709</v>
          </cell>
        </row>
        <row r="380">
          <cell r="G380">
            <v>16057</v>
          </cell>
          <cell r="H380">
            <v>81138569</v>
          </cell>
          <cell r="I380">
            <v>44539</v>
          </cell>
          <cell r="J380">
            <v>44539</v>
          </cell>
          <cell r="K380">
            <v>55495</v>
          </cell>
          <cell r="L380">
            <v>10800000</v>
          </cell>
          <cell r="M380">
            <v>5097.6000000000004</v>
          </cell>
          <cell r="N380">
            <v>30</v>
          </cell>
          <cell r="O380" t="str">
            <v>Mensuelle</v>
          </cell>
          <cell r="P380" t="str">
            <v>Réglé</v>
          </cell>
          <cell r="Q380">
            <v>2025</v>
          </cell>
          <cell r="R380">
            <v>45770</v>
          </cell>
          <cell r="S380">
            <v>45739</v>
          </cell>
          <cell r="T380">
            <v>45823</v>
          </cell>
          <cell r="U380">
            <v>9782109.4600000009</v>
          </cell>
        </row>
        <row r="381">
          <cell r="G381">
            <v>18750</v>
          </cell>
          <cell r="H381">
            <v>842</v>
          </cell>
          <cell r="I381">
            <v>44838</v>
          </cell>
          <cell r="J381">
            <v>44838</v>
          </cell>
          <cell r="K381">
            <v>45933</v>
          </cell>
          <cell r="L381">
            <v>650000</v>
          </cell>
          <cell r="M381">
            <v>6240</v>
          </cell>
          <cell r="N381">
            <v>3</v>
          </cell>
          <cell r="O381" t="str">
            <v>Unique</v>
          </cell>
          <cell r="P381" t="str">
            <v>Attente complement</v>
          </cell>
          <cell r="Q381">
            <v>2025</v>
          </cell>
          <cell r="R381">
            <v>45777</v>
          </cell>
          <cell r="S381">
            <v>45768</v>
          </cell>
        </row>
        <row r="382">
          <cell r="G382">
            <v>10973</v>
          </cell>
          <cell r="H382">
            <v>623</v>
          </cell>
          <cell r="I382">
            <v>44188</v>
          </cell>
          <cell r="J382">
            <v>44195</v>
          </cell>
          <cell r="K382">
            <v>49669</v>
          </cell>
          <cell r="L382">
            <v>8300000</v>
          </cell>
          <cell r="M382">
            <v>576020</v>
          </cell>
          <cell r="N382">
            <v>15</v>
          </cell>
          <cell r="O382" t="str">
            <v>Unique</v>
          </cell>
          <cell r="P382" t="str">
            <v>Réglé</v>
          </cell>
          <cell r="Q382">
            <v>2025</v>
          </cell>
          <cell r="R382">
            <v>45781</v>
          </cell>
          <cell r="S382">
            <v>45771</v>
          </cell>
          <cell r="T382">
            <v>45823</v>
          </cell>
          <cell r="U382">
            <v>2739513.83</v>
          </cell>
        </row>
        <row r="383">
          <cell r="G383">
            <v>4068</v>
          </cell>
          <cell r="H383">
            <v>95710278</v>
          </cell>
          <cell r="I383">
            <v>43459</v>
          </cell>
          <cell r="J383">
            <v>43460</v>
          </cell>
          <cell r="K383">
            <v>20074</v>
          </cell>
          <cell r="L383">
            <v>9853222</v>
          </cell>
          <cell r="M383">
            <v>580354.78</v>
          </cell>
          <cell r="N383">
            <v>36</v>
          </cell>
          <cell r="O383" t="str">
            <v>Unique</v>
          </cell>
          <cell r="P383" t="str">
            <v>Réglé</v>
          </cell>
          <cell r="Q383">
            <v>2025</v>
          </cell>
          <cell r="R383">
            <v>45824</v>
          </cell>
          <cell r="S383">
            <v>45743</v>
          </cell>
          <cell r="T383">
            <v>45876</v>
          </cell>
          <cell r="U383">
            <v>8905296.4100000001</v>
          </cell>
        </row>
        <row r="384">
          <cell r="G384">
            <v>28861</v>
          </cell>
          <cell r="H384">
            <v>48309455</v>
          </cell>
          <cell r="I384">
            <v>45151</v>
          </cell>
          <cell r="J384">
            <v>45152</v>
          </cell>
          <cell r="K384">
            <v>46247</v>
          </cell>
          <cell r="L384">
            <v>998990.19</v>
          </cell>
          <cell r="M384">
            <v>8990.19</v>
          </cell>
          <cell r="N384">
            <v>3</v>
          </cell>
          <cell r="O384" t="str">
            <v>Unique</v>
          </cell>
          <cell r="P384" t="str">
            <v>Réglé</v>
          </cell>
          <cell r="Q384">
            <v>2025</v>
          </cell>
          <cell r="R384">
            <v>45904</v>
          </cell>
          <cell r="S384">
            <v>45756</v>
          </cell>
          <cell r="T384">
            <v>45928</v>
          </cell>
          <cell r="U384">
            <v>503972.81</v>
          </cell>
        </row>
        <row r="385">
          <cell r="G385">
            <v>6273</v>
          </cell>
          <cell r="H385">
            <v>77337838</v>
          </cell>
          <cell r="I385">
            <v>47324</v>
          </cell>
          <cell r="J385">
            <v>43572</v>
          </cell>
          <cell r="K385">
            <v>47951</v>
          </cell>
          <cell r="L385">
            <v>2200000</v>
          </cell>
          <cell r="M385">
            <v>212960</v>
          </cell>
          <cell r="N385">
            <v>12</v>
          </cell>
          <cell r="O385" t="str">
            <v>Unique</v>
          </cell>
          <cell r="P385" t="str">
            <v>Attente complement</v>
          </cell>
          <cell r="Q385">
            <v>2025</v>
          </cell>
          <cell r="R385">
            <v>45918</v>
          </cell>
          <cell r="S385">
            <v>45773</v>
          </cell>
        </row>
        <row r="386">
          <cell r="G386">
            <v>17571</v>
          </cell>
          <cell r="H386">
            <v>90102918</v>
          </cell>
          <cell r="I386">
            <v>44746</v>
          </cell>
          <cell r="J386">
            <v>44747</v>
          </cell>
          <cell r="K386">
            <v>45842</v>
          </cell>
          <cell r="L386">
            <v>990000</v>
          </cell>
          <cell r="M386">
            <v>9504</v>
          </cell>
          <cell r="N386">
            <v>3</v>
          </cell>
          <cell r="O386" t="str">
            <v>Unique</v>
          </cell>
          <cell r="P386" t="str">
            <v>Réglé</v>
          </cell>
          <cell r="Q386">
            <v>2025</v>
          </cell>
          <cell r="R386">
            <v>45900</v>
          </cell>
          <cell r="S386">
            <v>45741</v>
          </cell>
          <cell r="T386">
            <v>45928</v>
          </cell>
          <cell r="U386">
            <v>125306.9</v>
          </cell>
        </row>
        <row r="387">
          <cell r="G387">
            <v>22665</v>
          </cell>
          <cell r="H387">
            <v>52916663</v>
          </cell>
          <cell r="I387">
            <v>44983</v>
          </cell>
          <cell r="J387">
            <v>44990</v>
          </cell>
          <cell r="K387">
            <v>46085</v>
          </cell>
          <cell r="L387">
            <v>500000</v>
          </cell>
          <cell r="M387">
            <v>4500</v>
          </cell>
          <cell r="N387">
            <v>3</v>
          </cell>
          <cell r="O387" t="str">
            <v>Unique</v>
          </cell>
          <cell r="P387" t="str">
            <v>Réglé</v>
          </cell>
          <cell r="Q387">
            <v>2025</v>
          </cell>
          <cell r="R387">
            <v>45848</v>
          </cell>
          <cell r="S387">
            <v>45763</v>
          </cell>
          <cell r="T387">
            <v>45921</v>
          </cell>
          <cell r="U387">
            <v>168966.17</v>
          </cell>
        </row>
        <row r="388">
          <cell r="G388">
            <v>36728</v>
          </cell>
          <cell r="H388">
            <v>63312115</v>
          </cell>
          <cell r="I388">
            <v>45631</v>
          </cell>
          <cell r="J388">
            <v>45631</v>
          </cell>
          <cell r="K388">
            <v>46725</v>
          </cell>
          <cell r="L388">
            <v>727000</v>
          </cell>
          <cell r="M388">
            <v>6543</v>
          </cell>
          <cell r="N388">
            <v>3</v>
          </cell>
          <cell r="O388" t="str">
            <v>Unique</v>
          </cell>
          <cell r="P388" t="str">
            <v>Attente complement</v>
          </cell>
          <cell r="Q388">
            <v>2025</v>
          </cell>
          <cell r="R388">
            <v>45799</v>
          </cell>
          <cell r="S388">
            <v>45778</v>
          </cell>
        </row>
        <row r="389">
          <cell r="G389">
            <v>30234</v>
          </cell>
          <cell r="H389">
            <v>48906617</v>
          </cell>
          <cell r="I389">
            <v>45223</v>
          </cell>
          <cell r="J389">
            <v>45223</v>
          </cell>
          <cell r="K389">
            <v>46318</v>
          </cell>
          <cell r="L389">
            <v>290000</v>
          </cell>
          <cell r="M389">
            <v>2610</v>
          </cell>
          <cell r="N389">
            <v>3</v>
          </cell>
          <cell r="O389" t="str">
            <v>Unique</v>
          </cell>
          <cell r="P389" t="str">
            <v>Attente complement</v>
          </cell>
          <cell r="Q389">
            <v>2025</v>
          </cell>
          <cell r="R389">
            <v>45802</v>
          </cell>
          <cell r="S389">
            <v>45749</v>
          </cell>
        </row>
        <row r="390">
          <cell r="G390">
            <v>17023</v>
          </cell>
          <cell r="H390">
            <v>72428564</v>
          </cell>
          <cell r="I390">
            <v>44602</v>
          </cell>
          <cell r="J390">
            <v>44602</v>
          </cell>
          <cell r="K390">
            <v>55558</v>
          </cell>
          <cell r="L390">
            <v>6210000</v>
          </cell>
          <cell r="M390">
            <v>35173.440000000002</v>
          </cell>
          <cell r="N390">
            <v>30</v>
          </cell>
          <cell r="O390" t="str">
            <v>Mensuelle</v>
          </cell>
          <cell r="P390" t="str">
            <v>Attente complement</v>
          </cell>
          <cell r="Q390">
            <v>2025</v>
          </cell>
          <cell r="R390">
            <v>45803</v>
          </cell>
          <cell r="S390">
            <v>45771</v>
          </cell>
        </row>
        <row r="391">
          <cell r="G391">
            <v>33134</v>
          </cell>
          <cell r="H391">
            <v>72610850</v>
          </cell>
          <cell r="I391">
            <v>45389</v>
          </cell>
          <cell r="J391">
            <v>45389</v>
          </cell>
          <cell r="K391">
            <v>46483</v>
          </cell>
          <cell r="L391">
            <v>299000</v>
          </cell>
          <cell r="M391">
            <v>2691</v>
          </cell>
          <cell r="N391">
            <v>3</v>
          </cell>
          <cell r="O391" t="str">
            <v>Unique</v>
          </cell>
          <cell r="P391" t="str">
            <v>Attente complement</v>
          </cell>
          <cell r="Q391">
            <v>2025</v>
          </cell>
          <cell r="R391">
            <v>45805</v>
          </cell>
          <cell r="S391">
            <v>45459</v>
          </cell>
        </row>
        <row r="392">
          <cell r="G392">
            <v>27531</v>
          </cell>
          <cell r="H392">
            <v>46022132</v>
          </cell>
          <cell r="I392">
            <v>45113</v>
          </cell>
          <cell r="J392">
            <v>45114</v>
          </cell>
          <cell r="K392">
            <v>46209</v>
          </cell>
          <cell r="L392">
            <v>640000</v>
          </cell>
          <cell r="M392">
            <v>5760</v>
          </cell>
          <cell r="N392">
            <v>3</v>
          </cell>
          <cell r="O392" t="str">
            <v>Unique</v>
          </cell>
          <cell r="P392" t="str">
            <v>Attente complement</v>
          </cell>
          <cell r="Q392">
            <v>2025</v>
          </cell>
          <cell r="R392">
            <v>45814</v>
          </cell>
          <cell r="S392">
            <v>45780</v>
          </cell>
        </row>
        <row r="393">
          <cell r="G393">
            <v>24160</v>
          </cell>
          <cell r="H393">
            <v>32122296</v>
          </cell>
          <cell r="I393">
            <v>45001</v>
          </cell>
          <cell r="J393">
            <v>45001</v>
          </cell>
          <cell r="K393">
            <v>53766</v>
          </cell>
          <cell r="L393">
            <v>7650000</v>
          </cell>
          <cell r="M393">
            <v>688434.13</v>
          </cell>
          <cell r="N393">
            <v>24</v>
          </cell>
          <cell r="O393" t="str">
            <v>Unique</v>
          </cell>
          <cell r="P393" t="str">
            <v>Attente complement</v>
          </cell>
          <cell r="Q393">
            <v>2025</v>
          </cell>
          <cell r="R393">
            <v>45813</v>
          </cell>
          <cell r="S393">
            <v>45621</v>
          </cell>
        </row>
        <row r="394">
          <cell r="G394">
            <v>2962</v>
          </cell>
          <cell r="H394">
            <v>31603735</v>
          </cell>
          <cell r="I394">
            <v>46973</v>
          </cell>
          <cell r="J394">
            <v>46973</v>
          </cell>
          <cell r="K394">
            <v>54640</v>
          </cell>
          <cell r="L394">
            <v>4226902.4400000004</v>
          </cell>
          <cell r="M394">
            <v>319945.44</v>
          </cell>
          <cell r="N394">
            <v>31</v>
          </cell>
          <cell r="O394" t="str">
            <v>Unique</v>
          </cell>
          <cell r="P394" t="str">
            <v>Transmis</v>
          </cell>
          <cell r="Q394">
            <v>2025</v>
          </cell>
          <cell r="R394">
            <v>45924</v>
          </cell>
          <cell r="S394">
            <v>44720</v>
          </cell>
        </row>
        <row r="395">
          <cell r="G395">
            <v>9927</v>
          </cell>
          <cell r="H395">
            <v>27628512</v>
          </cell>
          <cell r="I395">
            <v>44109</v>
          </cell>
          <cell r="J395">
            <v>44109</v>
          </cell>
          <cell r="K395">
            <v>57621</v>
          </cell>
          <cell r="L395">
            <v>8500000</v>
          </cell>
          <cell r="M395">
            <v>2754</v>
          </cell>
          <cell r="N395">
            <v>37</v>
          </cell>
          <cell r="O395" t="str">
            <v>Mensuelle</v>
          </cell>
          <cell r="P395" t="str">
            <v>Attente complement</v>
          </cell>
          <cell r="Q395">
            <v>2025</v>
          </cell>
          <cell r="R395">
            <v>45825</v>
          </cell>
          <cell r="S395">
            <v>45691</v>
          </cell>
        </row>
        <row r="396">
          <cell r="G396">
            <v>32464</v>
          </cell>
          <cell r="H396">
            <v>27912894</v>
          </cell>
          <cell r="I396">
            <v>45432</v>
          </cell>
          <cell r="J396">
            <v>45432</v>
          </cell>
          <cell r="K396">
            <v>49083</v>
          </cell>
          <cell r="L396">
            <v>1980000</v>
          </cell>
          <cell r="M396">
            <v>578506.5</v>
          </cell>
          <cell r="N396">
            <v>10</v>
          </cell>
          <cell r="O396" t="str">
            <v>Unique</v>
          </cell>
          <cell r="P396" t="str">
            <v>Réglé</v>
          </cell>
          <cell r="Q396">
            <v>2025</v>
          </cell>
          <cell r="R396">
            <v>45825</v>
          </cell>
          <cell r="S396">
            <v>45804</v>
          </cell>
          <cell r="T396">
            <v>45840</v>
          </cell>
          <cell r="U396">
            <v>1980000</v>
          </cell>
        </row>
        <row r="397">
          <cell r="G397">
            <v>25794</v>
          </cell>
          <cell r="H397">
            <v>525</v>
          </cell>
          <cell r="I397">
            <v>45085</v>
          </cell>
          <cell r="J397">
            <v>45088</v>
          </cell>
          <cell r="K397">
            <v>51662</v>
          </cell>
          <cell r="L397">
            <v>900000</v>
          </cell>
          <cell r="M397">
            <v>707.4</v>
          </cell>
          <cell r="N397">
            <v>18</v>
          </cell>
          <cell r="O397" t="str">
            <v>Mensuelle</v>
          </cell>
          <cell r="P397" t="str">
            <v>Attente complement</v>
          </cell>
          <cell r="Q397">
            <v>2025</v>
          </cell>
          <cell r="R397">
            <v>45958</v>
          </cell>
          <cell r="S397">
            <v>45686</v>
          </cell>
        </row>
        <row r="398">
          <cell r="G398">
            <v>28314</v>
          </cell>
          <cell r="H398">
            <v>275320059</v>
          </cell>
          <cell r="I398">
            <v>45133</v>
          </cell>
          <cell r="J398">
            <v>45133</v>
          </cell>
          <cell r="K398">
            <v>46228</v>
          </cell>
          <cell r="L398">
            <v>279000</v>
          </cell>
          <cell r="M398">
            <v>2511</v>
          </cell>
          <cell r="N398">
            <v>3</v>
          </cell>
          <cell r="O398" t="str">
            <v>Unique</v>
          </cell>
          <cell r="P398" t="str">
            <v>Attente complement</v>
          </cell>
          <cell r="Q398">
            <v>2025</v>
          </cell>
          <cell r="R398">
            <v>45827</v>
          </cell>
          <cell r="S398">
            <v>45785</v>
          </cell>
        </row>
        <row r="399">
          <cell r="G399">
            <v>13818</v>
          </cell>
          <cell r="H399">
            <v>43823011</v>
          </cell>
          <cell r="I399">
            <v>44462</v>
          </cell>
          <cell r="J399">
            <v>44462</v>
          </cell>
          <cell r="K399">
            <v>45557</v>
          </cell>
          <cell r="L399">
            <v>324000</v>
          </cell>
          <cell r="M399">
            <v>3110</v>
          </cell>
          <cell r="N399">
            <v>3</v>
          </cell>
          <cell r="O399" t="str">
            <v>Unique</v>
          </cell>
          <cell r="P399" t="str">
            <v>Attente complement</v>
          </cell>
          <cell r="Q399">
            <v>2025</v>
          </cell>
          <cell r="R399">
            <v>45827</v>
          </cell>
          <cell r="S399">
            <v>45785</v>
          </cell>
        </row>
        <row r="400">
          <cell r="G400">
            <v>12626</v>
          </cell>
          <cell r="H400">
            <v>43823011</v>
          </cell>
          <cell r="I400">
            <v>44332</v>
          </cell>
          <cell r="J400">
            <v>44332</v>
          </cell>
          <cell r="K400">
            <v>45426</v>
          </cell>
          <cell r="L400">
            <v>355200</v>
          </cell>
          <cell r="M400">
            <v>3409.92</v>
          </cell>
          <cell r="N400">
            <v>3</v>
          </cell>
          <cell r="O400" t="str">
            <v>Unique</v>
          </cell>
          <cell r="P400" t="str">
            <v>Attente complement</v>
          </cell>
          <cell r="Q400">
            <v>2025</v>
          </cell>
          <cell r="R400">
            <v>45846</v>
          </cell>
          <cell r="S400">
            <v>45005</v>
          </cell>
        </row>
        <row r="401">
          <cell r="G401">
            <v>2466</v>
          </cell>
          <cell r="H401">
            <v>84301106</v>
          </cell>
          <cell r="I401">
            <v>43261</v>
          </cell>
          <cell r="J401">
            <v>43256</v>
          </cell>
          <cell r="K401">
            <v>48734</v>
          </cell>
          <cell r="L401">
            <v>444427.94</v>
          </cell>
          <cell r="M401">
            <v>44777.94</v>
          </cell>
          <cell r="N401">
            <v>15</v>
          </cell>
          <cell r="O401" t="str">
            <v>Unique</v>
          </cell>
          <cell r="P401" t="str">
            <v>Attente complement</v>
          </cell>
          <cell r="Q401">
            <v>2025</v>
          </cell>
          <cell r="R401">
            <v>45803</v>
          </cell>
          <cell r="S401">
            <v>45816</v>
          </cell>
        </row>
        <row r="402">
          <cell r="G402">
            <v>21370</v>
          </cell>
          <cell r="H402">
            <v>64615102</v>
          </cell>
          <cell r="I402">
            <v>44867</v>
          </cell>
          <cell r="J402">
            <v>44867</v>
          </cell>
          <cell r="K402">
            <v>50345</v>
          </cell>
          <cell r="L402">
            <v>9101449</v>
          </cell>
          <cell r="M402">
            <v>111074.04</v>
          </cell>
          <cell r="N402">
            <v>15</v>
          </cell>
          <cell r="O402" t="str">
            <v>Mensuelle</v>
          </cell>
          <cell r="P402" t="str">
            <v>Transmis</v>
          </cell>
          <cell r="Q402">
            <v>2025</v>
          </cell>
          <cell r="R402">
            <v>45841</v>
          </cell>
          <cell r="S402">
            <v>45807</v>
          </cell>
        </row>
        <row r="403">
          <cell r="G403">
            <v>19757</v>
          </cell>
          <cell r="H403">
            <v>63027740</v>
          </cell>
          <cell r="I403">
            <v>44763</v>
          </cell>
          <cell r="J403">
            <v>44768</v>
          </cell>
          <cell r="K403">
            <v>56090</v>
          </cell>
          <cell r="L403">
            <v>11195230</v>
          </cell>
          <cell r="M403">
            <v>851957</v>
          </cell>
          <cell r="N403">
            <v>31</v>
          </cell>
          <cell r="O403" t="str">
            <v>Unique</v>
          </cell>
          <cell r="P403" t="str">
            <v>Attente complement</v>
          </cell>
          <cell r="Q403">
            <v>2025</v>
          </cell>
          <cell r="R403">
            <v>45834</v>
          </cell>
          <cell r="S403">
            <v>45774</v>
          </cell>
        </row>
        <row r="404">
          <cell r="G404">
            <v>28624</v>
          </cell>
          <cell r="H404">
            <v>41221678</v>
          </cell>
          <cell r="I404">
            <v>45230</v>
          </cell>
          <cell r="J404">
            <v>45230</v>
          </cell>
          <cell r="K404">
            <v>55456</v>
          </cell>
          <cell r="L404">
            <v>4431103.22</v>
          </cell>
          <cell r="M404">
            <v>381103.22</v>
          </cell>
          <cell r="N404">
            <v>28</v>
          </cell>
          <cell r="O404" t="str">
            <v>Unique F</v>
          </cell>
          <cell r="P404" t="str">
            <v>Attente complement</v>
          </cell>
          <cell r="Q404">
            <v>2025</v>
          </cell>
          <cell r="R404">
            <v>45837</v>
          </cell>
          <cell r="S404">
            <v>45793</v>
          </cell>
        </row>
        <row r="405">
          <cell r="G405">
            <v>17466</v>
          </cell>
          <cell r="H405">
            <v>70611118</v>
          </cell>
          <cell r="I405">
            <v>44741</v>
          </cell>
          <cell r="J405">
            <v>44741</v>
          </cell>
          <cell r="K405">
            <v>45836</v>
          </cell>
          <cell r="L405">
            <v>412930</v>
          </cell>
          <cell r="M405">
            <v>3964.13</v>
          </cell>
          <cell r="N405">
            <v>3</v>
          </cell>
          <cell r="O405" t="str">
            <v>Unique</v>
          </cell>
          <cell r="P405" t="str">
            <v>Réglé</v>
          </cell>
          <cell r="Q405">
            <v>2025</v>
          </cell>
          <cell r="R405">
            <v>45865</v>
          </cell>
          <cell r="S405">
            <v>45883</v>
          </cell>
          <cell r="T405">
            <v>45930</v>
          </cell>
          <cell r="U405">
            <v>55826.33</v>
          </cell>
        </row>
        <row r="406">
          <cell r="G406">
            <v>22032</v>
          </cell>
          <cell r="H406">
            <v>70611118</v>
          </cell>
          <cell r="I406">
            <v>44964</v>
          </cell>
          <cell r="J406">
            <v>44964</v>
          </cell>
          <cell r="K406">
            <v>46059</v>
          </cell>
          <cell r="L406">
            <v>200515</v>
          </cell>
          <cell r="M406">
            <v>1804.64</v>
          </cell>
          <cell r="N406">
            <v>3</v>
          </cell>
          <cell r="O406" t="str">
            <v>Unique</v>
          </cell>
          <cell r="P406" t="str">
            <v>Réglé</v>
          </cell>
          <cell r="Q406">
            <v>2025</v>
          </cell>
          <cell r="R406">
            <v>45865</v>
          </cell>
          <cell r="S406">
            <v>45883</v>
          </cell>
          <cell r="T406">
            <v>45930</v>
          </cell>
          <cell r="U406">
            <v>26398.9</v>
          </cell>
        </row>
        <row r="407">
          <cell r="G407">
            <v>35980</v>
          </cell>
          <cell r="H407">
            <v>4141326</v>
          </cell>
          <cell r="I407">
            <v>45624</v>
          </cell>
          <cell r="J407">
            <v>45624</v>
          </cell>
          <cell r="K407">
            <v>55850</v>
          </cell>
          <cell r="L407">
            <v>2759765.03</v>
          </cell>
          <cell r="M407">
            <v>259765.03</v>
          </cell>
          <cell r="N407">
            <v>28</v>
          </cell>
          <cell r="O407" t="str">
            <v>Unique</v>
          </cell>
          <cell r="P407" t="str">
            <v>Attente complement</v>
          </cell>
          <cell r="Q407">
            <v>2025</v>
          </cell>
          <cell r="R407">
            <v>45848</v>
          </cell>
          <cell r="S407">
            <v>45823</v>
          </cell>
        </row>
        <row r="408">
          <cell r="G408">
            <v>29167</v>
          </cell>
          <cell r="H408">
            <v>81211682</v>
          </cell>
          <cell r="I408">
            <v>45169</v>
          </cell>
          <cell r="J408">
            <v>45170</v>
          </cell>
          <cell r="K408">
            <v>46265</v>
          </cell>
          <cell r="L408">
            <v>635721.03</v>
          </cell>
          <cell r="M408">
            <v>5721.03</v>
          </cell>
          <cell r="N408">
            <v>3</v>
          </cell>
          <cell r="O408" t="str">
            <v>Unique</v>
          </cell>
          <cell r="P408" t="str">
            <v>Attente complement</v>
          </cell>
          <cell r="Q408">
            <v>2025</v>
          </cell>
          <cell r="R408">
            <v>45860</v>
          </cell>
          <cell r="S408">
            <v>45816</v>
          </cell>
        </row>
        <row r="409">
          <cell r="G409">
            <v>32418</v>
          </cell>
          <cell r="H409">
            <v>64528656</v>
          </cell>
          <cell r="I409">
            <v>45428</v>
          </cell>
          <cell r="J409">
            <v>45428</v>
          </cell>
          <cell r="K409">
            <v>45428</v>
          </cell>
          <cell r="L409">
            <v>1778838.08</v>
          </cell>
          <cell r="M409">
            <v>15326.52</v>
          </cell>
          <cell r="N409">
            <v>20</v>
          </cell>
          <cell r="O409" t="str">
            <v>Unique</v>
          </cell>
          <cell r="P409" t="str">
            <v>Transmis</v>
          </cell>
          <cell r="Q409">
            <v>2025</v>
          </cell>
          <cell r="R409">
            <v>45893</v>
          </cell>
          <cell r="S409">
            <v>45853</v>
          </cell>
        </row>
        <row r="410">
          <cell r="G410">
            <v>37821</v>
          </cell>
          <cell r="H410">
            <v>41513722</v>
          </cell>
          <cell r="I410">
            <v>45718</v>
          </cell>
          <cell r="J410">
            <v>45718</v>
          </cell>
          <cell r="K410">
            <v>46813</v>
          </cell>
          <cell r="L410">
            <v>500000</v>
          </cell>
          <cell r="M410">
            <v>4500</v>
          </cell>
          <cell r="N410">
            <v>3</v>
          </cell>
          <cell r="O410" t="str">
            <v>Unique</v>
          </cell>
          <cell r="P410" t="str">
            <v>Attente complement</v>
          </cell>
          <cell r="Q410">
            <v>2025</v>
          </cell>
          <cell r="R410">
            <v>45874</v>
          </cell>
          <cell r="S410">
            <v>45724</v>
          </cell>
        </row>
        <row r="411">
          <cell r="G411">
            <v>14421</v>
          </cell>
          <cell r="H411">
            <v>83303922</v>
          </cell>
          <cell r="I411">
            <v>44602</v>
          </cell>
          <cell r="J411">
            <v>44605</v>
          </cell>
          <cell r="K411">
            <v>45700</v>
          </cell>
          <cell r="L411">
            <v>4950000</v>
          </cell>
          <cell r="M411">
            <v>4752</v>
          </cell>
          <cell r="N411">
            <v>3</v>
          </cell>
          <cell r="O411" t="str">
            <v>Unique</v>
          </cell>
          <cell r="P411" t="str">
            <v>Transmis</v>
          </cell>
          <cell r="Q411">
            <v>2024</v>
          </cell>
          <cell r="R411">
            <v>45879</v>
          </cell>
          <cell r="S411">
            <v>45393</v>
          </cell>
        </row>
        <row r="412">
          <cell r="G412">
            <v>2797</v>
          </cell>
          <cell r="H412">
            <v>869283361</v>
          </cell>
          <cell r="I412">
            <v>43297</v>
          </cell>
          <cell r="J412">
            <v>43298</v>
          </cell>
          <cell r="K412">
            <v>48776</v>
          </cell>
          <cell r="L412">
            <v>1795439.15</v>
          </cell>
          <cell r="M412">
            <v>39499.660000000003</v>
          </cell>
          <cell r="N412">
            <v>15</v>
          </cell>
          <cell r="O412" t="str">
            <v>Unique</v>
          </cell>
          <cell r="P412" t="str">
            <v>Transmis</v>
          </cell>
          <cell r="Q412">
            <v>2025</v>
          </cell>
          <cell r="R412">
            <v>45904</v>
          </cell>
          <cell r="S412">
            <v>45868</v>
          </cell>
        </row>
        <row r="413">
          <cell r="G413">
            <v>24932</v>
          </cell>
          <cell r="H413">
            <v>86932396</v>
          </cell>
          <cell r="I413">
            <v>45049</v>
          </cell>
          <cell r="J413">
            <v>45049</v>
          </cell>
          <cell r="K413">
            <v>46144</v>
          </cell>
          <cell r="L413">
            <v>150000</v>
          </cell>
          <cell r="M413">
            <v>1350</v>
          </cell>
          <cell r="N413">
            <v>3</v>
          </cell>
          <cell r="O413" t="str">
            <v>Unique</v>
          </cell>
          <cell r="P413" t="str">
            <v>Attente complement</v>
          </cell>
          <cell r="Q413">
            <v>2025</v>
          </cell>
          <cell r="R413">
            <v>45879</v>
          </cell>
          <cell r="S413">
            <v>45844</v>
          </cell>
        </row>
        <row r="414">
          <cell r="G414">
            <v>2797</v>
          </cell>
          <cell r="H414">
            <v>86928361</v>
          </cell>
          <cell r="I414">
            <v>43297</v>
          </cell>
          <cell r="J414">
            <v>43298</v>
          </cell>
          <cell r="K414">
            <v>48776</v>
          </cell>
          <cell r="L414">
            <v>1795439.15</v>
          </cell>
          <cell r="M414">
            <v>39499.660000000003</v>
          </cell>
          <cell r="N414">
            <v>15</v>
          </cell>
          <cell r="O414" t="str">
            <v>Unique</v>
          </cell>
          <cell r="P414" t="str">
            <v>Attente complement</v>
          </cell>
          <cell r="Q414">
            <v>2025</v>
          </cell>
          <cell r="R414">
            <v>45945</v>
          </cell>
          <cell r="S414">
            <v>45868</v>
          </cell>
        </row>
        <row r="415">
          <cell r="G415">
            <v>6446</v>
          </cell>
          <cell r="H415">
            <v>70520918</v>
          </cell>
          <cell r="I415">
            <v>43702</v>
          </cell>
          <cell r="J415">
            <v>43699</v>
          </cell>
          <cell r="K415">
            <v>49176</v>
          </cell>
          <cell r="L415">
            <v>2746745.94</v>
          </cell>
          <cell r="M415">
            <v>276745.94</v>
          </cell>
          <cell r="N415">
            <v>15</v>
          </cell>
          <cell r="O415" t="str">
            <v>Unique</v>
          </cell>
          <cell r="P415" t="str">
            <v>Attente complement</v>
          </cell>
          <cell r="Q415">
            <v>2025</v>
          </cell>
          <cell r="R415">
            <v>45895</v>
          </cell>
          <cell r="S415">
            <v>45861</v>
          </cell>
        </row>
        <row r="416">
          <cell r="G416">
            <v>27914</v>
          </cell>
          <cell r="H416">
            <v>62416407</v>
          </cell>
          <cell r="I416">
            <v>45124</v>
          </cell>
          <cell r="J416">
            <v>45124</v>
          </cell>
          <cell r="K416">
            <v>46219</v>
          </cell>
          <cell r="L416">
            <v>431000</v>
          </cell>
          <cell r="M416">
            <v>3879</v>
          </cell>
          <cell r="N416">
            <v>3</v>
          </cell>
          <cell r="O416" t="str">
            <v>Unique</v>
          </cell>
          <cell r="P416" t="str">
            <v>Attente complement</v>
          </cell>
          <cell r="Q416">
            <v>2025</v>
          </cell>
          <cell r="R416">
            <v>45894</v>
          </cell>
          <cell r="S416">
            <v>45880</v>
          </cell>
        </row>
        <row r="417">
          <cell r="G417">
            <v>4471</v>
          </cell>
          <cell r="H417">
            <v>92020205</v>
          </cell>
          <cell r="I417">
            <v>43499</v>
          </cell>
          <cell r="J417">
            <v>43499</v>
          </cell>
          <cell r="K417">
            <v>49338</v>
          </cell>
          <cell r="L417">
            <v>3893200.28</v>
          </cell>
          <cell r="M417">
            <v>436817.07</v>
          </cell>
          <cell r="N417">
            <v>16</v>
          </cell>
          <cell r="O417" t="str">
            <v>Unique</v>
          </cell>
          <cell r="P417" t="str">
            <v>Attente complement</v>
          </cell>
          <cell r="Q417">
            <v>2025</v>
          </cell>
          <cell r="R417">
            <v>45918</v>
          </cell>
          <cell r="S417">
            <v>45879</v>
          </cell>
        </row>
        <row r="418">
          <cell r="G418">
            <v>19722</v>
          </cell>
          <cell r="H418">
            <v>64525990</v>
          </cell>
          <cell r="I418">
            <v>44762</v>
          </cell>
          <cell r="J418">
            <v>44763</v>
          </cell>
          <cell r="K418">
            <v>50241</v>
          </cell>
          <cell r="L418">
            <v>1112000</v>
          </cell>
          <cell r="M418">
            <v>41588.800000000003</v>
          </cell>
          <cell r="N418">
            <v>15</v>
          </cell>
          <cell r="O418" t="str">
            <v>Unique</v>
          </cell>
          <cell r="P418" t="str">
            <v>Attente complement</v>
          </cell>
          <cell r="Q418">
            <v>2025</v>
          </cell>
          <cell r="R418">
            <v>45949</v>
          </cell>
          <cell r="S418">
            <v>45568</v>
          </cell>
        </row>
        <row r="419">
          <cell r="G419">
            <v>22732</v>
          </cell>
          <cell r="H419">
            <v>27631075</v>
          </cell>
          <cell r="I419">
            <v>44936</v>
          </cell>
          <cell r="J419">
            <v>44936</v>
          </cell>
          <cell r="K419">
            <v>57354</v>
          </cell>
          <cell r="L419">
            <v>7100000</v>
          </cell>
          <cell r="M419">
            <v>28078.32</v>
          </cell>
          <cell r="N419">
            <v>34</v>
          </cell>
          <cell r="O419" t="str">
            <v>Mensuelle</v>
          </cell>
          <cell r="P419" t="str">
            <v>Attente complement</v>
          </cell>
          <cell r="Q419">
            <v>2025</v>
          </cell>
          <cell r="R419">
            <v>45902</v>
          </cell>
          <cell r="S419">
            <v>45833</v>
          </cell>
        </row>
        <row r="420">
          <cell r="G420">
            <v>18884</v>
          </cell>
          <cell r="H420">
            <v>27629165</v>
          </cell>
          <cell r="I420">
            <v>44720</v>
          </cell>
          <cell r="J420">
            <v>44720</v>
          </cell>
          <cell r="K420">
            <v>48372</v>
          </cell>
          <cell r="L420">
            <v>1056932.0900000001</v>
          </cell>
          <cell r="M420">
            <v>23952.240000000002</v>
          </cell>
          <cell r="N420">
            <v>10</v>
          </cell>
          <cell r="O420" t="str">
            <v>Mensuelle</v>
          </cell>
          <cell r="P420" t="str">
            <v>Attente complement</v>
          </cell>
          <cell r="Q420">
            <v>2025</v>
          </cell>
          <cell r="R420">
            <v>45903</v>
          </cell>
          <cell r="S420">
            <v>45305</v>
          </cell>
        </row>
        <row r="421">
          <cell r="G421">
            <v>23735</v>
          </cell>
          <cell r="H421">
            <v>27809062</v>
          </cell>
          <cell r="I421">
            <v>45013</v>
          </cell>
          <cell r="J421">
            <v>45013</v>
          </cell>
          <cell r="K421">
            <v>46108</v>
          </cell>
          <cell r="L421">
            <v>290000</v>
          </cell>
          <cell r="M421">
            <v>2610</v>
          </cell>
          <cell r="N421">
            <v>3</v>
          </cell>
          <cell r="O421" t="str">
            <v>Unique</v>
          </cell>
          <cell r="P421" t="str">
            <v>Attente complement</v>
          </cell>
          <cell r="Q421">
            <v>2025</v>
          </cell>
          <cell r="R421">
            <v>45946</v>
          </cell>
          <cell r="S421">
            <v>45827</v>
          </cell>
        </row>
        <row r="422">
          <cell r="G422">
            <v>11685</v>
          </cell>
          <cell r="H422">
            <v>64524470</v>
          </cell>
          <cell r="I422">
            <v>44242</v>
          </cell>
          <cell r="J422">
            <v>44242</v>
          </cell>
          <cell r="K422">
            <v>51911</v>
          </cell>
          <cell r="L422">
            <v>1079450</v>
          </cell>
          <cell r="M422">
            <v>8924.89</v>
          </cell>
          <cell r="N422">
            <v>21</v>
          </cell>
          <cell r="O422" t="str">
            <v>Mensuelle</v>
          </cell>
          <cell r="P422" t="str">
            <v>Attente complement</v>
          </cell>
          <cell r="Q422">
            <v>2025</v>
          </cell>
          <cell r="R422">
            <v>45925</v>
          </cell>
          <cell r="S422">
            <v>45802</v>
          </cell>
        </row>
        <row r="423">
          <cell r="G423">
            <v>27722</v>
          </cell>
          <cell r="H423">
            <v>61116295</v>
          </cell>
          <cell r="I423">
            <v>45118</v>
          </cell>
          <cell r="J423">
            <v>45118</v>
          </cell>
          <cell r="K423">
            <v>46213</v>
          </cell>
          <cell r="L423">
            <v>217770</v>
          </cell>
          <cell r="M423">
            <v>1959.93</v>
          </cell>
          <cell r="N423">
            <v>3</v>
          </cell>
          <cell r="O423" t="str">
            <v>Unique</v>
          </cell>
          <cell r="P423" t="str">
            <v>Attente complement</v>
          </cell>
          <cell r="Q423">
            <v>2025</v>
          </cell>
          <cell r="R423">
            <v>45930</v>
          </cell>
          <cell r="S423">
            <v>45903</v>
          </cell>
        </row>
        <row r="424">
          <cell r="G424">
            <v>32051</v>
          </cell>
          <cell r="H424">
            <v>84216177</v>
          </cell>
          <cell r="I424">
            <v>45330</v>
          </cell>
          <cell r="J424">
            <v>45330</v>
          </cell>
          <cell r="K424">
            <v>46425</v>
          </cell>
          <cell r="L424">
            <v>990000</v>
          </cell>
          <cell r="M424">
            <v>8910</v>
          </cell>
          <cell r="N424">
            <v>3</v>
          </cell>
          <cell r="O424" t="str">
            <v>Unique</v>
          </cell>
          <cell r="P424" t="str">
            <v>Transmis</v>
          </cell>
          <cell r="Q424">
            <v>2025</v>
          </cell>
          <cell r="R424">
            <v>45980</v>
          </cell>
          <cell r="S424">
            <v>45917</v>
          </cell>
        </row>
        <row r="425">
          <cell r="G425">
            <v>34800</v>
          </cell>
          <cell r="H425">
            <v>51429557</v>
          </cell>
          <cell r="I425">
            <v>45495</v>
          </cell>
          <cell r="J425">
            <v>45495</v>
          </cell>
          <cell r="K425">
            <v>46589</v>
          </cell>
          <cell r="L425">
            <v>540000</v>
          </cell>
          <cell r="M425">
            <v>4860</v>
          </cell>
          <cell r="N425">
            <v>3</v>
          </cell>
          <cell r="O425" t="str">
            <v>Unique</v>
          </cell>
          <cell r="P425" t="str">
            <v>Rejeté</v>
          </cell>
          <cell r="Q425">
            <v>2025</v>
          </cell>
          <cell r="R425">
            <v>45937</v>
          </cell>
          <cell r="S425">
            <v>45891</v>
          </cell>
          <cell r="T425" t="str">
            <v>-</v>
          </cell>
          <cell r="U425">
            <v>0</v>
          </cell>
        </row>
        <row r="426">
          <cell r="G426">
            <v>22909</v>
          </cell>
          <cell r="H426">
            <v>94610422</v>
          </cell>
          <cell r="I426">
            <v>44990</v>
          </cell>
          <cell r="J426">
            <v>44990</v>
          </cell>
          <cell r="K426">
            <v>46085</v>
          </cell>
          <cell r="L426">
            <v>500990</v>
          </cell>
          <cell r="M426">
            <v>4508.91</v>
          </cell>
          <cell r="N426">
            <v>3</v>
          </cell>
          <cell r="O426" t="str">
            <v>Unique</v>
          </cell>
          <cell r="P426" t="str">
            <v>Attente complement</v>
          </cell>
          <cell r="Q426">
            <v>2025</v>
          </cell>
          <cell r="R426">
            <v>45970</v>
          </cell>
          <cell r="S426">
            <v>45817</v>
          </cell>
        </row>
        <row r="427">
          <cell r="G427">
            <v>22936</v>
          </cell>
          <cell r="H427">
            <v>35637601</v>
          </cell>
          <cell r="I427">
            <v>44944</v>
          </cell>
          <cell r="J427">
            <v>44944</v>
          </cell>
          <cell r="K427">
            <v>57727</v>
          </cell>
          <cell r="L427">
            <v>10630000</v>
          </cell>
          <cell r="M427">
            <v>570853.31999999995</v>
          </cell>
          <cell r="N427">
            <v>35</v>
          </cell>
          <cell r="O427" t="str">
            <v>Unique</v>
          </cell>
          <cell r="P427" t="str">
            <v>Attente complement</v>
          </cell>
          <cell r="Q427">
            <v>2025</v>
          </cell>
          <cell r="R427">
            <v>45951</v>
          </cell>
          <cell r="S427">
            <v>45830</v>
          </cell>
        </row>
        <row r="428">
          <cell r="G428">
            <v>38022</v>
          </cell>
          <cell r="H428">
            <v>412225958</v>
          </cell>
          <cell r="I428">
            <v>45725</v>
          </cell>
          <cell r="J428">
            <v>45725</v>
          </cell>
          <cell r="K428">
            <v>27065</v>
          </cell>
          <cell r="L428">
            <v>2000000</v>
          </cell>
          <cell r="M428">
            <v>212600</v>
          </cell>
          <cell r="N428">
            <v>24</v>
          </cell>
          <cell r="O428" t="str">
            <v>Unique</v>
          </cell>
          <cell r="P428" t="str">
            <v>Transmis</v>
          </cell>
          <cell r="Q428">
            <v>2025</v>
          </cell>
          <cell r="R428">
            <v>45956</v>
          </cell>
          <cell r="S428">
            <v>45859</v>
          </cell>
        </row>
        <row r="429">
          <cell r="G429">
            <v>14576</v>
          </cell>
          <cell r="H429">
            <v>95419847</v>
          </cell>
          <cell r="I429">
            <v>44438</v>
          </cell>
          <cell r="J429">
            <v>44470</v>
          </cell>
          <cell r="K429">
            <v>52504</v>
          </cell>
          <cell r="L429">
            <v>7650000</v>
          </cell>
          <cell r="M429">
            <v>732593.45</v>
          </cell>
          <cell r="N429">
            <v>22</v>
          </cell>
          <cell r="O429" t="str">
            <v>Unique</v>
          </cell>
          <cell r="P429" t="str">
            <v>Rejeté</v>
          </cell>
          <cell r="Q429">
            <v>2025</v>
          </cell>
          <cell r="R429">
            <v>45956</v>
          </cell>
          <cell r="S429">
            <v>45771</v>
          </cell>
          <cell r="T429" t="str">
            <v>-</v>
          </cell>
          <cell r="U429">
            <v>0</v>
          </cell>
        </row>
        <row r="430">
          <cell r="G430">
            <v>20372</v>
          </cell>
          <cell r="H430">
            <v>71202322</v>
          </cell>
          <cell r="I430">
            <v>44803</v>
          </cell>
          <cell r="J430">
            <v>44819</v>
          </cell>
          <cell r="K430">
            <v>52854</v>
          </cell>
          <cell r="L430">
            <v>10800000</v>
          </cell>
          <cell r="M430">
            <v>1169460</v>
          </cell>
          <cell r="N430">
            <v>22</v>
          </cell>
          <cell r="O430" t="str">
            <v>Unique</v>
          </cell>
          <cell r="P430" t="str">
            <v>Attente complement</v>
          </cell>
          <cell r="Q430">
            <v>2025</v>
          </cell>
          <cell r="R430">
            <v>45963</v>
          </cell>
          <cell r="S430">
            <v>45940</v>
          </cell>
        </row>
        <row r="431">
          <cell r="G431">
            <v>18580</v>
          </cell>
          <cell r="H431">
            <v>61502557</v>
          </cell>
          <cell r="I431">
            <v>44704</v>
          </cell>
          <cell r="J431">
            <v>44704</v>
          </cell>
          <cell r="K431">
            <v>53834</v>
          </cell>
          <cell r="L431">
            <v>11700000</v>
          </cell>
          <cell r="M431">
            <v>55458</v>
          </cell>
          <cell r="N431">
            <v>25</v>
          </cell>
          <cell r="O431" t="str">
            <v>Mensuelle</v>
          </cell>
          <cell r="P431" t="str">
            <v>Transmis</v>
          </cell>
          <cell r="Q431">
            <v>2025</v>
          </cell>
          <cell r="R431">
            <v>45965</v>
          </cell>
          <cell r="S431">
            <v>45941</v>
          </cell>
        </row>
        <row r="432">
          <cell r="G432">
            <v>16737</v>
          </cell>
          <cell r="H432">
            <v>64525605</v>
          </cell>
          <cell r="I432">
            <v>44584</v>
          </cell>
          <cell r="J432">
            <v>44584</v>
          </cell>
          <cell r="K432">
            <v>51888</v>
          </cell>
          <cell r="L432">
            <v>9543000</v>
          </cell>
          <cell r="M432">
            <v>104320.35</v>
          </cell>
          <cell r="N432">
            <v>20</v>
          </cell>
          <cell r="O432" t="str">
            <v>Mensuelle</v>
          </cell>
          <cell r="P432" t="str">
            <v>Attente complement</v>
          </cell>
          <cell r="Q432">
            <v>2025</v>
          </cell>
          <cell r="R432">
            <v>45991</v>
          </cell>
          <cell r="S432">
            <v>45955</v>
          </cell>
        </row>
        <row r="433">
          <cell r="G433">
            <v>23701</v>
          </cell>
          <cell r="H433">
            <v>43823927</v>
          </cell>
          <cell r="I433">
            <v>45012</v>
          </cell>
          <cell r="J433">
            <v>45012</v>
          </cell>
          <cell r="K433">
            <v>46107</v>
          </cell>
          <cell r="L433">
            <v>910000</v>
          </cell>
          <cell r="M433">
            <v>8190</v>
          </cell>
          <cell r="N433">
            <v>3</v>
          </cell>
          <cell r="O433" t="str">
            <v>Unique</v>
          </cell>
          <cell r="P433" t="str">
            <v>Attente complement</v>
          </cell>
          <cell r="Q433">
            <v>2025</v>
          </cell>
          <cell r="R433">
            <v>45972</v>
          </cell>
          <cell r="S433">
            <v>45949</v>
          </cell>
        </row>
        <row r="434">
          <cell r="G434">
            <v>30169</v>
          </cell>
          <cell r="H434">
            <v>52917225</v>
          </cell>
          <cell r="I434">
            <v>45221</v>
          </cell>
          <cell r="J434">
            <v>45221</v>
          </cell>
          <cell r="K434">
            <v>46316</v>
          </cell>
          <cell r="L434">
            <v>370000</v>
          </cell>
          <cell r="M434">
            <v>3330</v>
          </cell>
          <cell r="N434">
            <v>3</v>
          </cell>
          <cell r="O434" t="str">
            <v>Unique</v>
          </cell>
          <cell r="P434" t="str">
            <v>Transmis</v>
          </cell>
          <cell r="Q434">
            <v>2025</v>
          </cell>
          <cell r="R434">
            <v>45991</v>
          </cell>
          <cell r="S434">
            <v>45965</v>
          </cell>
        </row>
        <row r="435">
          <cell r="G435">
            <v>26933</v>
          </cell>
          <cell r="H435">
            <v>41306461</v>
          </cell>
          <cell r="I435">
            <v>45098</v>
          </cell>
          <cell r="J435">
            <v>45099</v>
          </cell>
          <cell r="K435">
            <v>45829</v>
          </cell>
          <cell r="L435">
            <v>699958</v>
          </cell>
          <cell r="M435">
            <v>6299.62</v>
          </cell>
          <cell r="N435">
            <v>3</v>
          </cell>
          <cell r="O435" t="str">
            <v>Unique</v>
          </cell>
          <cell r="P435" t="str">
            <v>Attente complement</v>
          </cell>
          <cell r="Q435">
            <v>2025</v>
          </cell>
          <cell r="R435">
            <v>45977</v>
          </cell>
          <cell r="S435">
            <v>45964</v>
          </cell>
        </row>
        <row r="436">
          <cell r="P436" t="str">
            <v>Attente complement</v>
          </cell>
          <cell r="Q436">
            <v>2025</v>
          </cell>
          <cell r="R436">
            <v>45974</v>
          </cell>
          <cell r="S436">
            <v>45970</v>
          </cell>
        </row>
        <row r="437">
          <cell r="G437">
            <v>33675</v>
          </cell>
          <cell r="H437">
            <v>38711436</v>
          </cell>
          <cell r="I437">
            <v>45860</v>
          </cell>
          <cell r="J437">
            <v>45860</v>
          </cell>
          <cell r="K437">
            <v>48050</v>
          </cell>
          <cell r="L437">
            <v>1077000</v>
          </cell>
          <cell r="M437">
            <v>41141.4</v>
          </cell>
          <cell r="N437">
            <v>7</v>
          </cell>
          <cell r="O437" t="str">
            <v>Unique</v>
          </cell>
          <cell r="P437" t="str">
            <v>Attente complement</v>
          </cell>
          <cell r="Q437">
            <v>2025</v>
          </cell>
          <cell r="R437">
            <v>45993</v>
          </cell>
          <cell r="S437">
            <v>45969</v>
          </cell>
        </row>
        <row r="438">
          <cell r="G438">
            <v>25285</v>
          </cell>
          <cell r="H438">
            <v>87132301</v>
          </cell>
          <cell r="I438">
            <v>45061</v>
          </cell>
          <cell r="J438">
            <v>45061</v>
          </cell>
          <cell r="K438">
            <v>46156</v>
          </cell>
          <cell r="L438">
            <v>569653</v>
          </cell>
          <cell r="M438">
            <v>5126.88</v>
          </cell>
          <cell r="N438">
            <v>3</v>
          </cell>
          <cell r="O438" t="str">
            <v>Unique</v>
          </cell>
          <cell r="P438" t="str">
            <v>Attente complement</v>
          </cell>
          <cell r="Q438">
            <v>2025</v>
          </cell>
          <cell r="R438">
            <v>45991</v>
          </cell>
          <cell r="S438">
            <v>45906</v>
          </cell>
        </row>
        <row r="439">
          <cell r="P439" t="str">
            <v>Attente complement</v>
          </cell>
          <cell r="Q439">
            <v>2025</v>
          </cell>
          <cell r="R439">
            <v>45979</v>
          </cell>
          <cell r="S439">
            <v>45936</v>
          </cell>
        </row>
        <row r="440">
          <cell r="G440">
            <v>19005</v>
          </cell>
          <cell r="H440">
            <v>95420233</v>
          </cell>
          <cell r="I440">
            <v>44852</v>
          </cell>
          <cell r="J440">
            <v>44895</v>
          </cell>
          <cell r="K440">
            <v>45990</v>
          </cell>
          <cell r="L440">
            <v>500000</v>
          </cell>
          <cell r="M440">
            <v>4800</v>
          </cell>
          <cell r="N440">
            <v>3</v>
          </cell>
          <cell r="O440" t="str">
            <v>Unique</v>
          </cell>
          <cell r="P440" t="str">
            <v>Attente complement</v>
          </cell>
          <cell r="Q440">
            <v>2025</v>
          </cell>
          <cell r="R440">
            <v>45984</v>
          </cell>
          <cell r="S440">
            <v>45903</v>
          </cell>
        </row>
        <row r="441">
          <cell r="G441">
            <v>8925</v>
          </cell>
          <cell r="H441">
            <v>58508479</v>
          </cell>
          <cell r="I441">
            <v>44006</v>
          </cell>
          <cell r="J441">
            <v>44008</v>
          </cell>
          <cell r="K441">
            <v>46198</v>
          </cell>
          <cell r="L441">
            <v>1390442.34</v>
          </cell>
          <cell r="M441">
            <v>29099.279999999999</v>
          </cell>
          <cell r="N441">
            <v>6</v>
          </cell>
          <cell r="O441" t="str">
            <v>Mensuelle</v>
          </cell>
          <cell r="P441" t="str">
            <v>Transmis</v>
          </cell>
          <cell r="Q441">
            <v>2025</v>
          </cell>
          <cell r="R441">
            <v>45993</v>
          </cell>
          <cell r="S441">
            <v>45977</v>
          </cell>
        </row>
        <row r="442">
          <cell r="G442">
            <v>32444</v>
          </cell>
          <cell r="H442">
            <v>72610939</v>
          </cell>
          <cell r="I442" t="str">
            <v>29/02/2025</v>
          </cell>
          <cell r="J442" t="str">
            <v>29/02/2025</v>
          </cell>
          <cell r="K442">
            <v>46446</v>
          </cell>
          <cell r="L442">
            <v>520000</v>
          </cell>
          <cell r="M442">
            <v>4680</v>
          </cell>
          <cell r="N442">
            <v>3</v>
          </cell>
          <cell r="O442" t="str">
            <v>Unique</v>
          </cell>
          <cell r="P442" t="str">
            <v>Attente complement</v>
          </cell>
          <cell r="Q442">
            <v>2025</v>
          </cell>
          <cell r="R442">
            <v>45986</v>
          </cell>
          <cell r="S442">
            <v>45967</v>
          </cell>
        </row>
        <row r="443">
          <cell r="G443">
            <v>30628</v>
          </cell>
          <cell r="H443">
            <v>87701057</v>
          </cell>
          <cell r="I443">
            <v>45239</v>
          </cell>
          <cell r="J443">
            <v>45240</v>
          </cell>
          <cell r="K443">
            <v>46335</v>
          </cell>
          <cell r="L443">
            <v>420000</v>
          </cell>
          <cell r="M443">
            <v>3780</v>
          </cell>
          <cell r="N443">
            <v>3</v>
          </cell>
          <cell r="O443" t="str">
            <v>Unique</v>
          </cell>
          <cell r="P443" t="str">
            <v>Transmis</v>
          </cell>
          <cell r="Q443">
            <v>2025</v>
          </cell>
          <cell r="R443">
            <v>45991</v>
          </cell>
          <cell r="S443">
            <v>45982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ZID BOUBEKEUR" refreshedDate="46129.770659374997" createdVersion="8" refreshedVersion="8" minRefreshableVersion="3" recordCount="596" xr:uid="{C6C6D47C-0695-4C32-AC1A-AC1015966709}">
  <cacheSource type="worksheet">
    <worksheetSource name="Tableau13"/>
  </cacheSource>
  <cacheFields count="13">
    <cacheField name="N° SINISTRE" numFmtId="0">
      <sharedItems/>
    </cacheField>
    <cacheField name="Produit " numFmtId="0">
      <sharedItems/>
    </cacheField>
    <cacheField name="N°Adhesion " numFmtId="0">
      <sharedItems containsBlank="1" containsMixedTypes="1" containsNumber="1" containsInteger="1" minValue="5" maxValue="84301106"/>
    </cacheField>
    <cacheField name="Date de sous" numFmtId="14">
      <sharedItems containsSemiMixedTypes="0" containsNonDate="0" containsDate="1" containsString="0" minDate="2017-02-23T00:00:00" maxDate="2025-09-24T00:00:00"/>
    </cacheField>
    <cacheField name="Année de souscription" numFmtId="0">
      <sharedItems containsSemiMixedTypes="0" containsString="0" containsNumber="1" containsInteger="1" minValue="2017" maxValue="2025"/>
    </cacheField>
    <cacheField name="Date effet " numFmtId="14">
      <sharedItems containsNonDate="0" containsDate="1" containsString="0" containsBlank="1" minDate="2017-02-22T00:00:00" maxDate="2026-01-27T00:00:00"/>
    </cacheField>
    <cacheField name="Date Échéance" numFmtId="14">
      <sharedItems containsDate="1" containsBlank="1" containsMixedTypes="1" minDate="1952-02-09T00:00:00" maxDate="2063-08-28T00:00:00"/>
    </cacheField>
    <cacheField name="Date du Sinistre" numFmtId="14">
      <sharedItems containsSemiMixedTypes="0" containsNonDate="0" containsDate="1" containsString="0" minDate="2018-01-29T00:00:00" maxDate="2025-12-25T00:00:00"/>
    </cacheField>
    <cacheField name="Année de sinistre" numFmtId="0">
      <sharedItems containsSemiMixedTypes="0" containsString="0" containsNumber="1" containsInteger="1" minValue="2018" maxValue="2025" count="8">
        <n v="2018"/>
        <n v="2019"/>
        <n v="2020"/>
        <n v="2024"/>
        <n v="2021"/>
        <n v="2022"/>
        <n v="2023"/>
        <n v="2025"/>
      </sharedItems>
    </cacheField>
    <cacheField name="Date de déclaration" numFmtId="14">
      <sharedItems containsSemiMixedTypes="0" containsNonDate="0" containsDate="1" containsString="0" minDate="2018-03-05T00:00:00" maxDate="2026-01-01T00:00:00"/>
    </cacheField>
    <cacheField name="Année de déclaration" numFmtId="0">
      <sharedItems containsSemiMixedTypes="0" containsString="0" containsNumber="1" containsInteger="1" minValue="2018" maxValue="2025" count="8">
        <n v="2018"/>
        <n v="2019"/>
        <n v="2020"/>
        <n v="2024"/>
        <n v="2021"/>
        <n v="2022"/>
        <n v="2023"/>
        <n v="2025"/>
      </sharedItems>
    </cacheField>
    <cacheField name="le montant de sinistre" numFmtId="0">
      <sharedItems containsSemiMixedTypes="0" containsString="0" containsNumber="1" minValue="26398.9" maxValue="75703458.722161368"/>
    </cacheField>
    <cacheField name="colonne  mois IBNR" numFmtId="164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s v="611.2018.20.2.00001"/>
    <s v="IMMO"/>
    <n v="490"/>
    <d v="2017-12-21T00:00:00"/>
    <n v="2017"/>
    <d v="2017-07-14T00:00:00"/>
    <d v="2053-07-13T00:00:00"/>
    <d v="2018-01-29T00:00:00"/>
    <x v="0"/>
    <d v="2018-03-05T00:00:00"/>
    <x v="0"/>
    <n v="10800000"/>
    <n v="0"/>
  </r>
  <r>
    <s v="611.2018.20.2.00003"/>
    <s v="IMMO"/>
    <n v="700"/>
    <d v="2017-08-31T00:00:00"/>
    <n v="2017"/>
    <d v="2017-08-30T00:00:00"/>
    <d v="2021-08-29T00:00:00"/>
    <d v="2018-08-26T00:00:00"/>
    <x v="0"/>
    <d v="2018-09-04T00:00:00"/>
    <x v="0"/>
    <n v="2033374.8"/>
    <n v="0"/>
  </r>
  <r>
    <s v="611.2018.20.2.00005"/>
    <s v="CONSO"/>
    <n v="1049"/>
    <d v="2018-07-11T00:00:00"/>
    <n v="2018"/>
    <d v="2018-07-11T00:00:00"/>
    <d v="2021-07-10T00:00:00"/>
    <d v="2018-12-05T00:00:00"/>
    <x v="0"/>
    <d v="2018-12-12T00:00:00"/>
    <x v="0"/>
    <n v="180671.24"/>
    <n v="0"/>
  </r>
  <r>
    <s v="611.2018.20.2.00004"/>
    <s v="CONSO"/>
    <n v="282"/>
    <d v="2017-12-25T00:00:00"/>
    <n v="2017"/>
    <d v="2017-12-26T00:00:00"/>
    <d v="2022-12-25T00:00:00"/>
    <d v="2018-08-29T00:00:00"/>
    <x v="0"/>
    <d v="2018-11-13T00:00:00"/>
    <x v="0"/>
    <n v="1205771.6200000001"/>
    <n v="0"/>
  </r>
  <r>
    <s v="611.2018.20.2.00002"/>
    <s v="IMMO"/>
    <n v="1994"/>
    <d v="2018-03-29T00:00:00"/>
    <n v="2018"/>
    <d v="2017-10-31T00:00:00"/>
    <d v="2026-10-30T00:00:00"/>
    <d v="2018-05-26T00:00:00"/>
    <x v="0"/>
    <d v="2018-07-04T00:00:00"/>
    <x v="0"/>
    <n v="1578249.39"/>
    <n v="0"/>
  </r>
  <r>
    <s v="611.2019.20.2.00001"/>
    <s v="CONSO"/>
    <n v="1743"/>
    <d v="2018-12-02T00:00:00"/>
    <n v="2018"/>
    <d v="2018-10-03T00:00:00"/>
    <d v="2021-10-01T00:00:00"/>
    <d v="2018-12-05T00:00:00"/>
    <x v="0"/>
    <d v="2019-01-02T00:00:00"/>
    <x v="1"/>
    <n v="298054.8"/>
    <n v="1"/>
  </r>
  <r>
    <s v="611.2019.20.2.00002"/>
    <s v="IMMO"/>
    <n v="3603"/>
    <d v="2018-11-05T00:00:00"/>
    <n v="2018"/>
    <d v="2018-11-06T00:00:00"/>
    <d v="2039-10-31T00:00:00"/>
    <d v="2019-02-25T00:00:00"/>
    <x v="1"/>
    <d v="2019-04-02T00:00:00"/>
    <x v="1"/>
    <n v="6788127"/>
    <n v="0"/>
  </r>
  <r>
    <s v="611.2019.20.2.00003"/>
    <s v="CONSO"/>
    <n v="1683"/>
    <d v="2018-11-22T00:00:00"/>
    <n v="2018"/>
    <d v="2018-11-22T00:00:00"/>
    <d v="2020-11-20T00:00:00"/>
    <d v="2019-03-28T00:00:00"/>
    <x v="1"/>
    <d v="2019-04-09T00:00:00"/>
    <x v="1"/>
    <n v="1176840.33"/>
    <n v="0"/>
  </r>
  <r>
    <s v="611.2019.20.2.00004"/>
    <s v="IMMO"/>
    <n v="1577"/>
    <d v="2018-01-17T00:00:00"/>
    <n v="2018"/>
    <d v="2018-01-18T00:00:00"/>
    <d v="2038-01-17T00:00:00"/>
    <d v="2019-01-15T00:00:00"/>
    <x v="1"/>
    <d v="2019-04-09T00:00:00"/>
    <x v="1"/>
    <n v="2031594.26"/>
    <n v="0"/>
  </r>
  <r>
    <s v="611.2019.20.2.00005"/>
    <s v="IMMO"/>
    <n v="3401"/>
    <d v="2018-10-10T00:00:00"/>
    <n v="2018"/>
    <d v="2018-10-22T00:00:00"/>
    <d v="2058-10-21T00:00:00"/>
    <d v="2019-04-27T00:00:00"/>
    <x v="1"/>
    <d v="2019-05-14T00:00:00"/>
    <x v="1"/>
    <n v="6177700"/>
    <n v="0"/>
  </r>
  <r>
    <s v="611.2019.20.2.00001"/>
    <s v="WARDA"/>
    <n v="45"/>
    <d v="2018-09-04T00:00:00"/>
    <n v="2018"/>
    <d v="2017-12-27T00:00:00"/>
    <d v="2018-12-26T00:00:00"/>
    <d v="2018-08-30T00:00:00"/>
    <x v="0"/>
    <d v="2019-05-29T00:00:00"/>
    <x v="1"/>
    <n v="1000000"/>
    <n v="1"/>
  </r>
  <r>
    <s v="611.2019.20.2.00006"/>
    <s v="IMMO"/>
    <n v="1167"/>
    <d v="2017-11-21T00:00:00"/>
    <n v="2017"/>
    <d v="2017-12-15T00:00:00"/>
    <d v="2050-12-14T00:00:00"/>
    <d v="2019-04-29T00:00:00"/>
    <x v="1"/>
    <d v="2019-07-09T00:00:00"/>
    <x v="1"/>
    <n v="1564400"/>
    <n v="0"/>
  </r>
  <r>
    <s v="611.2019.20.2.00007"/>
    <s v="CONSO"/>
    <n v="636"/>
    <d v="2018-04-23T00:00:00"/>
    <n v="2018"/>
    <d v="2018-05-27T00:00:00"/>
    <d v="2021-05-26T00:00:00"/>
    <d v="2019-08-15T00:00:00"/>
    <x v="1"/>
    <d v="2019-08-21T00:00:00"/>
    <x v="1"/>
    <n v="121467.83"/>
    <n v="0"/>
  </r>
  <r>
    <s v="611.2019.20.2.00008"/>
    <s v="IMMO"/>
    <n v="2160"/>
    <d v="2018-04-23T00:00:00"/>
    <n v="2018"/>
    <d v="2018-05-31T00:00:00"/>
    <d v="2036-05-30T00:00:00"/>
    <d v="2019-06-29T00:00:00"/>
    <x v="1"/>
    <d v="2019-09-05T00:00:00"/>
    <x v="1"/>
    <n v="1352081.52"/>
    <n v="0"/>
  </r>
  <r>
    <s v="611.2019.20.2.00009"/>
    <s v="CONSO"/>
    <n v="825"/>
    <d v="2018-05-31T00:00:00"/>
    <n v="2018"/>
    <d v="2018-01-06T00:00:00"/>
    <d v="2021-05-31T00:00:00"/>
    <d v="2019-04-24T00:00:00"/>
    <x v="1"/>
    <d v="2019-10-03T00:00:00"/>
    <x v="1"/>
    <n v="262979.28999999998"/>
    <n v="0"/>
  </r>
  <r>
    <s v="611.2019.20.2.00010"/>
    <s v="IMMO"/>
    <n v="90"/>
    <d v="2017-04-24T00:00:00"/>
    <n v="2017"/>
    <d v="2017-04-24T00:00:00"/>
    <d v="2036-04-23T00:00:00"/>
    <d v="2019-10-11T00:00:00"/>
    <x v="1"/>
    <d v="2019-11-04T00:00:00"/>
    <x v="1"/>
    <n v="1755375.01"/>
    <n v="0"/>
  </r>
  <r>
    <s v="611.2019.20.2.00011"/>
    <s v="CONSO"/>
    <n v="1174"/>
    <d v="2017-11-22T00:00:00"/>
    <n v="2017"/>
    <d v="2017-12-15T00:00:00"/>
    <d v="2050-12-14T00:00:00"/>
    <d v="2019-09-11T00:00:00"/>
    <x v="1"/>
    <d v="2019-10-01T00:00:00"/>
    <x v="1"/>
    <n v="1842000"/>
    <n v="0"/>
  </r>
  <r>
    <s v="611.2019.20.2.00012"/>
    <s v="IMMO"/>
    <n v="1250"/>
    <d v="2017-12-03T00:00:00"/>
    <n v="2017"/>
    <d v="2017-11-30T00:00:00"/>
    <d v="2028-11-29T00:00:00"/>
    <d v="2019-09-14T00:00:00"/>
    <x v="1"/>
    <d v="2019-11-26T00:00:00"/>
    <x v="1"/>
    <n v="878282.58"/>
    <n v="0"/>
  </r>
  <r>
    <s v="611,2019,20,2,00001"/>
    <s v="CONSO"/>
    <n v="1228"/>
    <d v="2018-08-16T00:00:00"/>
    <n v="2018"/>
    <d v="2018-08-17T00:00:00"/>
    <d v="2021-08-16T00:00:00"/>
    <d v="2019-04-07T00:00:00"/>
    <x v="1"/>
    <d v="2020-01-09T00:00:00"/>
    <x v="2"/>
    <n v="257000"/>
    <n v="1"/>
  </r>
  <r>
    <s v="611,2020,20,2,00001/1477"/>
    <s v="IMMO"/>
    <n v="1477"/>
    <d v="2018-02-01T00:00:00"/>
    <n v="2018"/>
    <d v="2017-12-24T00:00:00"/>
    <d v="2035-12-23T00:00:00"/>
    <d v="2020-01-10T00:00:00"/>
    <x v="2"/>
    <d v="2020-03-20T00:00:00"/>
    <x v="2"/>
    <n v="3400000"/>
    <n v="0"/>
  </r>
  <r>
    <s v="611.2020.20.2.00003"/>
    <s v="IMMO"/>
    <n v="4364"/>
    <d v="2019-01-23T00:00:00"/>
    <n v="2019"/>
    <d v="2019-01-23T00:00:00"/>
    <d v="2039-01-17T00:00:00"/>
    <d v="2020-04-30T00:00:00"/>
    <x v="2"/>
    <d v="2020-05-12T00:00:00"/>
    <x v="2"/>
    <n v="8800525.8599999994"/>
    <n v="0"/>
  </r>
  <r>
    <s v="611,2019,20,2,00001/4360"/>
    <s v="CONSO"/>
    <n v="4360"/>
    <d v="2019-10-28T00:00:00"/>
    <n v="2019"/>
    <d v="2019-10-27T00:00:00"/>
    <d v="2022-10-25T00:00:00"/>
    <d v="2019-11-24T00:00:00"/>
    <x v="1"/>
    <d v="2020-03-20T00:00:00"/>
    <x v="2"/>
    <n v="500000"/>
    <n v="1"/>
  </r>
  <r>
    <s v="611.2020.20.2.00005"/>
    <s v="CONSO"/>
    <n v="2357"/>
    <d v="2019-02-17T00:00:00"/>
    <n v="2019"/>
    <d v="2019-02-17T00:00:00"/>
    <d v="2024-02-15T00:00:00"/>
    <d v="2020-02-22T00:00:00"/>
    <x v="2"/>
    <d v="2020-03-20T00:00:00"/>
    <x v="2"/>
    <n v="1389837.78"/>
    <n v="0"/>
  </r>
  <r>
    <s v="611.2020.20.2.00006"/>
    <s v="CONSO"/>
    <n v="1411"/>
    <d v="2018-10-03T00:00:00"/>
    <n v="2018"/>
    <d v="2018-10-10T00:00:00"/>
    <d v="2021-08-10T00:00:00"/>
    <d v="2020-01-16T00:00:00"/>
    <x v="2"/>
    <d v="2020-03-09T00:00:00"/>
    <x v="2"/>
    <n v="235310.37"/>
    <n v="0"/>
  </r>
  <r>
    <s v="611.2020.20.2.00008"/>
    <s v="CONSO"/>
    <n v="475"/>
    <d v="2018-06-03T00:00:00"/>
    <n v="2018"/>
    <d v="2018-08-03T00:00:00"/>
    <d v="2020-07-03T00:00:00"/>
    <d v="2020-01-30T00:00:00"/>
    <x v="2"/>
    <d v="2020-03-20T00:00:00"/>
    <x v="2"/>
    <n v="310000"/>
    <n v="0"/>
  </r>
  <r>
    <s v="611,2020,20,2,00001/8055"/>
    <s v="IMMO"/>
    <n v="8055"/>
    <d v="2020-02-18T00:00:00"/>
    <n v="2020"/>
    <d v="2020-02-29T00:00:00"/>
    <d v="2042-02-27T00:00:00"/>
    <d v="2020-03-29T00:00:00"/>
    <x v="2"/>
    <d v="2020-03-29T00:00:00"/>
    <x v="2"/>
    <n v="1164492"/>
    <n v="0"/>
  </r>
  <r>
    <s v="611.2020.20.2.00011"/>
    <s v="CONSO"/>
    <n v="698"/>
    <d v="2018-03-05T00:00:00"/>
    <n v="2018"/>
    <d v="2018-04-05T00:00:00"/>
    <d v="2021-03-05T00:00:00"/>
    <d v="2020-06-23T00:00:00"/>
    <x v="2"/>
    <d v="2020-06-23T00:00:00"/>
    <x v="2"/>
    <n v="629603.64"/>
    <n v="0"/>
  </r>
  <r>
    <s v="611.2020.20.2.00016"/>
    <s v="CONSO"/>
    <n v="984"/>
    <d v="2018-06-26T00:00:00"/>
    <n v="2018"/>
    <d v="2018-06-15T00:00:00"/>
    <d v="2023-06-14T00:00:00"/>
    <d v="2020-06-12T00:00:00"/>
    <x v="2"/>
    <d v="2020-07-14T00:00:00"/>
    <x v="2"/>
    <n v="2742187.9"/>
    <n v="0"/>
  </r>
  <r>
    <s v="611.2020.20.2.00012"/>
    <s v="CONSO"/>
    <n v="192"/>
    <d v="2017-09-11T00:00:00"/>
    <n v="2017"/>
    <d v="2017-11-15T00:00:00"/>
    <d v="2020-11-14T00:00:00"/>
    <d v="2020-04-03T00:00:00"/>
    <x v="2"/>
    <d v="2020-06-25T00:00:00"/>
    <x v="2"/>
    <n v="91446.89"/>
    <n v="0"/>
  </r>
  <r>
    <s v="611.2020.20.2.00013"/>
    <s v="CONSO"/>
    <n v="266"/>
    <d v="2017-12-19T00:00:00"/>
    <n v="2017"/>
    <d v="2017-12-20T00:00:00"/>
    <d v="2020-12-19T00:00:00"/>
    <d v="2020-06-27T00:00:00"/>
    <x v="2"/>
    <d v="2020-07-08T00:00:00"/>
    <x v="2"/>
    <n v="87081.86"/>
    <n v="0"/>
  </r>
  <r>
    <s v="611,2024,20,2,00001/22808"/>
    <s v="CONSO"/>
    <n v="22808"/>
    <d v="2023-03-01T00:00:00"/>
    <n v="2023"/>
    <d v="2023-03-31T00:00:00"/>
    <d v="2026-03-30T00:00:00"/>
    <d v="2024-03-16T00:00:00"/>
    <x v="3"/>
    <d v="2024-03-16T00:00:00"/>
    <x v="3"/>
    <n v="370000"/>
    <n v="0"/>
  </r>
  <r>
    <s v="611.2020.20.2.00014"/>
    <s v="IMMO"/>
    <n v="3862"/>
    <d v="2018-12-16T00:00:00"/>
    <n v="2018"/>
    <d v="2018-09-12T00:00:00"/>
    <d v="2055-11-29T00:00:00"/>
    <d v="2020-06-18T00:00:00"/>
    <x v="2"/>
    <d v="2020-06-18T00:00:00"/>
    <x v="2"/>
    <n v="9567000"/>
    <n v="0"/>
  </r>
  <r>
    <s v="611.2020.20.2.00015"/>
    <s v="CONSO"/>
    <n v="3358"/>
    <d v="2019-05-30T00:00:00"/>
    <n v="2019"/>
    <d v="2019-05-31T00:00:00"/>
    <s v="29/02/2022"/>
    <d v="2019-10-19T00:00:00"/>
    <x v="1"/>
    <d v="2019-10-19T00:00:00"/>
    <x v="1"/>
    <n v="410160"/>
    <n v="0"/>
  </r>
  <r>
    <s v="611.2020.20.2.00017"/>
    <s v="IMMO"/>
    <n v="3976"/>
    <d v="2018-12-17T00:00:00"/>
    <n v="2018"/>
    <d v="2019-10-02T00:00:00"/>
    <d v="2031-06-02T00:00:00"/>
    <d v="2020-02-07T00:00:00"/>
    <x v="2"/>
    <d v="2020-02-07T00:00:00"/>
    <x v="2"/>
    <n v="1974033.79"/>
    <n v="0"/>
  </r>
  <r>
    <s v="611,2020,20,2,00001/3654"/>
    <s v="CONSO"/>
    <n v="3654"/>
    <d v="2019-06-30T00:00:00"/>
    <n v="2019"/>
    <d v="2019-07-07T00:00:00"/>
    <d v="2022-05-07T00:00:00"/>
    <d v="2020-06-08T00:00:00"/>
    <x v="2"/>
    <d v="2020-06-08T00:00:00"/>
    <x v="2"/>
    <n v="235570.11"/>
    <n v="0"/>
  </r>
  <r>
    <s v="611,2020,20,2,00001/5384"/>
    <s v="IMMO"/>
    <n v="5384"/>
    <d v="2019-04-25T00:00:00"/>
    <n v="2019"/>
    <d v="2019-04-26T00:00:00"/>
    <d v="2019-04-22T00:00:00"/>
    <d v="2020-05-07T00:00:00"/>
    <x v="2"/>
    <d v="2020-05-07T00:00:00"/>
    <x v="2"/>
    <n v="1020139.63"/>
    <n v="0"/>
  </r>
  <r>
    <s v="611,2020,20,2,00001/"/>
    <s v="IMMO"/>
    <m/>
    <d v="2020-01-01T00:00:00"/>
    <n v="2020"/>
    <d v="2019-04-29T00:00:00"/>
    <d v="2024-04-28T00:00:00"/>
    <d v="2020-07-31T00:00:00"/>
    <x v="2"/>
    <d v="2020-07-31T00:00:00"/>
    <x v="2"/>
    <n v="809500"/>
    <n v="0"/>
  </r>
  <r>
    <s v="611.2020.20.2.00020"/>
    <s v="IMMO"/>
    <n v="1549"/>
    <d v="2018-01-14T00:00:00"/>
    <n v="2018"/>
    <d v="2018-01-07T00:00:00"/>
    <d v="2031-01-06T00:00:00"/>
    <d v="2020-08-06T00:00:00"/>
    <x v="2"/>
    <d v="2020-08-17T00:00:00"/>
    <x v="2"/>
    <n v="689379.27"/>
    <n v="0"/>
  </r>
  <r>
    <s v="611.2020.20.2.00022"/>
    <s v="CONSO"/>
    <n v="1496"/>
    <d v="2018-10-22T00:00:00"/>
    <n v="2018"/>
    <d v="2018-10-24T00:00:00"/>
    <d v="2021-10-22T00:00:00"/>
    <d v="2020-07-26T00:00:00"/>
    <x v="2"/>
    <d v="2020-09-22T00:00:00"/>
    <x v="2"/>
    <n v="409936.01462522853"/>
    <n v="0"/>
  </r>
  <r>
    <s v="611.2020.20.2.00023"/>
    <s v="CONSO"/>
    <n v="2317"/>
    <d v="2019-02-11T00:00:00"/>
    <n v="2019"/>
    <d v="2019-02-13T00:00:00"/>
    <d v="2024-02-11T00:00:00"/>
    <d v="2020-07-16T00:00:00"/>
    <x v="2"/>
    <d v="2020-09-22T00:00:00"/>
    <x v="2"/>
    <n v="1062440.53"/>
    <n v="0"/>
  </r>
  <r>
    <s v="611,2020,20,2,00001/5210"/>
    <s v="IMMO"/>
    <n v="5210"/>
    <d v="2019-04-11T00:00:00"/>
    <n v="2019"/>
    <d v="2019-03-14T00:00:00"/>
    <d v="2042-03-07T00:00:00"/>
    <d v="2020-02-22T00:00:00"/>
    <x v="2"/>
    <d v="2020-02-22T00:00:00"/>
    <x v="2"/>
    <n v="1949677.6263259472"/>
    <n v="0"/>
  </r>
  <r>
    <s v="611.2020.20.2.00025"/>
    <s v="CONSO"/>
    <n v="593"/>
    <d v="2018-04-10T00:00:00"/>
    <n v="2018"/>
    <d v="2018-04-10T00:00:00"/>
    <d v="2021-04-09T00:00:00"/>
    <d v="2020-09-20T00:00:00"/>
    <x v="2"/>
    <d v="2020-09-20T00:00:00"/>
    <x v="2"/>
    <n v="95941.01"/>
    <n v="0"/>
  </r>
  <r>
    <s v="611.2020.20.2.00026"/>
    <s v="CONSO"/>
    <n v="1519"/>
    <d v="2018-10-28T00:00:00"/>
    <n v="2018"/>
    <d v="2018-10-30T00:00:00"/>
    <d v="2023-10-28T00:00:00"/>
    <d v="2020-10-29T00:00:00"/>
    <x v="2"/>
    <d v="2020-10-29T00:00:00"/>
    <x v="2"/>
    <n v="663804.68999999994"/>
    <n v="0"/>
  </r>
  <r>
    <s v="611,2020,20,2,00001/1242"/>
    <s v="IMMO"/>
    <n v="1242"/>
    <d v="2017-12-03T00:00:00"/>
    <n v="2017"/>
    <d v="2017-12-04T00:00:00"/>
    <d v="2037-12-03T00:00:00"/>
    <d v="2020-06-10T00:00:00"/>
    <x v="2"/>
    <d v="2020-06-10T00:00:00"/>
    <x v="2"/>
    <n v="1274674.82"/>
    <n v="0"/>
  </r>
  <r>
    <s v="611,2020,20,2,00001/2283"/>
    <s v="IMMO"/>
    <n v="2283"/>
    <d v="2018-05-14T00:00:00"/>
    <n v="2018"/>
    <d v="2017-09-30T00:00:00"/>
    <d v="2034-09-29T00:00:00"/>
    <d v="2020-08-16T00:00:00"/>
    <x v="2"/>
    <d v="2020-08-16T00:00:00"/>
    <x v="2"/>
    <n v="1291159.21"/>
    <n v="0"/>
  </r>
  <r>
    <s v="611,2020,20,2,00001/1508"/>
    <s v="IMMO"/>
    <n v="1508"/>
    <d v="2018-01-08T00:00:00"/>
    <n v="2018"/>
    <d v="2017-09-30T00:00:00"/>
    <d v="2028-09-29T00:00:00"/>
    <d v="2020-10-12T00:00:00"/>
    <x v="2"/>
    <d v="2020-10-12T00:00:00"/>
    <x v="2"/>
    <n v="756914"/>
    <n v="0"/>
  </r>
  <r>
    <s v="611.2020.20.2.00030"/>
    <s v="IMMO"/>
    <n v="9343"/>
    <d v="2020-08-02T00:00:00"/>
    <n v="2020"/>
    <d v="2020-08-03T00:00:00"/>
    <d v="2035-07-30T00:00:00"/>
    <d v="2020-11-11T00:00:00"/>
    <x v="2"/>
    <d v="2020-11-11T00:00:00"/>
    <x v="2"/>
    <n v="6442826.6200000001"/>
    <n v="0"/>
  </r>
  <r>
    <s v="611.2020.20.2.00029"/>
    <s v="IMMO"/>
    <n v="857"/>
    <d v="2017-10-10T00:00:00"/>
    <n v="2017"/>
    <d v="2017-10-10T00:00:00"/>
    <d v="2038-10-09T00:00:00"/>
    <d v="2020-11-07T00:00:00"/>
    <x v="2"/>
    <d v="2020-11-07T00:00:00"/>
    <x v="2"/>
    <n v="7227122.5"/>
    <n v="0"/>
  </r>
  <r>
    <s v="611,2020,20,2,00001/7826"/>
    <s v="IMMO"/>
    <n v="7826"/>
    <d v="2020-01-22T00:00:00"/>
    <n v="2020"/>
    <d v="2020-01-21T00:00:00"/>
    <d v="2028-01-18T00:00:00"/>
    <d v="2020-11-08T00:00:00"/>
    <x v="2"/>
    <d v="2020-11-16T00:00:00"/>
    <x v="2"/>
    <n v="7739705.3785542995"/>
    <n v="0"/>
  </r>
  <r>
    <s v="900.2020.20.2.00006"/>
    <s v="CONSO"/>
    <n v="3601"/>
    <d v="2019-06-25T00:00:00"/>
    <n v="2019"/>
    <d v="2019-06-26T00:00:00"/>
    <d v="2024-06-23T00:00:00"/>
    <d v="2020-11-13T00:00:00"/>
    <x v="2"/>
    <d v="2020-11-13T00:00:00"/>
    <x v="2"/>
    <n v="1054255.4824561405"/>
    <n v="0"/>
  </r>
  <r>
    <s v="611,2020,20,2,00001/702"/>
    <s v="CONSO"/>
    <n v="702"/>
    <d v="2018-05-07T00:00:00"/>
    <n v="2018"/>
    <d v="2018-06-01T00:00:00"/>
    <d v="2021-05-31T00:00:00"/>
    <d v="2020-07-19T00:00:00"/>
    <x v="2"/>
    <d v="2020-07-19T00:00:00"/>
    <x v="2"/>
    <n v="154448.51999999999"/>
    <n v="0"/>
  </r>
  <r>
    <s v="611.2020.20.2.00033"/>
    <s v="IMMO"/>
    <n v="2197"/>
    <d v="2018-04-26T00:00:00"/>
    <n v="2018"/>
    <d v="2018-01-15T00:00:00"/>
    <d v="2045-01-14T00:00:00"/>
    <d v="2020-03-15T00:00:00"/>
    <x v="2"/>
    <d v="2020-03-15T00:00:00"/>
    <x v="2"/>
    <n v="527253.22"/>
    <n v="0"/>
  </r>
  <r>
    <s v="611.2020.20.2.00034"/>
    <s v="CONSO"/>
    <n v="51"/>
    <d v="2017-05-25T00:00:00"/>
    <n v="2017"/>
    <d v="2017-04-27T00:00:00"/>
    <d v="2022-04-26T00:00:00"/>
    <d v="2020-11-10T00:00:00"/>
    <x v="2"/>
    <d v="2020-11-10T00:00:00"/>
    <x v="2"/>
    <n v="282615.89041095896"/>
    <n v="0"/>
  </r>
  <r>
    <s v="611,2019,20,2,00001/2946"/>
    <s v="IMMO"/>
    <n v="2946"/>
    <d v="2018-08-02T00:00:00"/>
    <n v="2018"/>
    <d v="2018-08-03T00:00:00"/>
    <d v="2058-08-02T00:00:00"/>
    <d v="2019-12-18T00:00:00"/>
    <x v="1"/>
    <d v="2019-12-18T00:00:00"/>
    <x v="1"/>
    <n v="7570000"/>
    <n v="0"/>
  </r>
  <r>
    <s v="611,2021,20,2,00001/7681"/>
    <s v="IMMO"/>
    <n v="7681"/>
    <d v="2020-01-07T00:00:00"/>
    <n v="2020"/>
    <d v="2019-12-25T00:00:00"/>
    <d v="2020-12-23T00:00:00"/>
    <d v="2021-01-29T00:00:00"/>
    <x v="4"/>
    <d v="2021-03-17T00:00:00"/>
    <x v="4"/>
    <n v="2024300"/>
    <n v="0"/>
  </r>
  <r>
    <s v="611,2020,20,2,00001/7786"/>
    <s v="IMMO"/>
    <n v="7786"/>
    <d v="2020-01-20T00:00:00"/>
    <n v="2020"/>
    <d v="2020-01-31T00:00:00"/>
    <d v="2038-01-25T00:00:00"/>
    <d v="2020-12-29T00:00:00"/>
    <x v="2"/>
    <d v="2020-12-29T00:00:00"/>
    <x v="2"/>
    <n v="1521444.43"/>
    <n v="0"/>
  </r>
  <r>
    <s v="611.2021.20.2.00001"/>
    <s v="IMMO"/>
    <n v="4648"/>
    <d v="2019-02-20T00:00:00"/>
    <n v="2019"/>
    <d v="2019-02-20T00:00:00"/>
    <d v="2051-02-11T00:00:00"/>
    <d v="2020-12-20T00:00:00"/>
    <x v="2"/>
    <d v="2021-01-14T00:00:00"/>
    <x v="4"/>
    <n v="1002668.29"/>
    <n v="1"/>
  </r>
  <r>
    <s v="611.2021.20.2.00002"/>
    <s v="IMMO"/>
    <n v="4155"/>
    <d v="2018-12-31T00:00:00"/>
    <n v="2018"/>
    <d v="2018-12-31T00:00:00"/>
    <d v="2058-12-20T00:00:00"/>
    <d v="2020-11-13T00:00:00"/>
    <x v="2"/>
    <d v="2021-01-18T00:00:00"/>
    <x v="4"/>
    <n v="8423326.3800000008"/>
    <n v="1"/>
  </r>
  <r>
    <s v="611.2021.20.2.00006"/>
    <s v="IMMO"/>
    <n v="7918"/>
    <d v="2020-01-30T00:00:00"/>
    <n v="2020"/>
    <d v="2020-01-30T00:00:00"/>
    <d v="2029-01-28T00:00:00"/>
    <d v="2020-11-29T00:00:00"/>
    <x v="2"/>
    <d v="2021-01-26T00:00:00"/>
    <x v="4"/>
    <n v="1691032.95"/>
    <n v="1"/>
  </r>
  <r>
    <s v="611.2021.20.2.00021"/>
    <s v="CONSO"/>
    <n v="9817"/>
    <d v="2020-04-23T00:00:00"/>
    <n v="2020"/>
    <d v="2020-04-23T00:00:00"/>
    <d v="2023-04-22T00:00:00"/>
    <d v="2020-12-09T00:00:00"/>
    <x v="2"/>
    <d v="2021-08-05T00:00:00"/>
    <x v="4"/>
    <n v="441737.37"/>
    <n v="1"/>
  </r>
  <r>
    <s v="611,2020,20,2,00001/2988"/>
    <s v="CONSO"/>
    <n v="2988"/>
    <d v="2019-04-28T00:00:00"/>
    <n v="2019"/>
    <d v="2019-04-28T00:00:00"/>
    <d v="2022-04-26T00:00:00"/>
    <d v="2020-11-11T00:00:00"/>
    <x v="2"/>
    <d v="2020-11-11T00:00:00"/>
    <x v="2"/>
    <n v="450396.67"/>
    <n v="0"/>
  </r>
  <r>
    <s v="611,2021,20,2,00001/633"/>
    <s v="IMMO"/>
    <n v="633"/>
    <d v="2017-08-08T00:00:00"/>
    <n v="2017"/>
    <d v="2017-08-08T00:00:00"/>
    <d v="2032-08-07T00:00:00"/>
    <d v="2021-03-04T00:00:00"/>
    <x v="4"/>
    <d v="2021-03-04T00:00:00"/>
    <x v="4"/>
    <n v="909514.76"/>
    <n v="0"/>
  </r>
  <r>
    <s v="611.2021.20.2.00005"/>
    <s v="IMMO"/>
    <n v="9328"/>
    <d v="2020-07-29T00:00:00"/>
    <n v="2020"/>
    <d v="2020-08-10T00:00:00"/>
    <d v="2029-08-09T00:00:00"/>
    <d v="2020-12-17T00:00:00"/>
    <x v="2"/>
    <d v="2021-02-04T00:00:00"/>
    <x v="4"/>
    <n v="1134909.18"/>
    <n v="1"/>
  </r>
  <r>
    <s v="611,2021,20,2,00001/10056"/>
    <s v="CONSO"/>
    <n v="10056"/>
    <d v="2020-07-13T00:00:00"/>
    <n v="2020"/>
    <d v="2020-07-19T00:00:00"/>
    <d v="2023-07-18T00:00:00"/>
    <d v="2021-02-09T00:00:00"/>
    <x v="4"/>
    <d v="2022-09-22T00:00:00"/>
    <x v="5"/>
    <n v="276288.8482632541"/>
    <n v="1"/>
  </r>
  <r>
    <s v="611.2021.20.2.00008"/>
    <s v="CONSO"/>
    <n v="1244"/>
    <d v="2018-08-20T00:00:00"/>
    <n v="2018"/>
    <d v="2018-07-24T00:00:00"/>
    <d v="2023-07-23T00:00:00"/>
    <d v="2021-02-04T00:00:00"/>
    <x v="4"/>
    <d v="2021-02-28T00:00:00"/>
    <x v="4"/>
    <n v="646701.44999999995"/>
    <n v="0"/>
  </r>
  <r>
    <s v="611.2021.20.2.00010"/>
    <s v="CONSO"/>
    <n v="3821"/>
    <d v="2019-07-23T00:00:00"/>
    <n v="2019"/>
    <d v="2019-08-25T00:00:00"/>
    <d v="2022-08-23T00:00:00"/>
    <d v="2021-02-25T00:00:00"/>
    <x v="4"/>
    <d v="2021-03-11T00:00:00"/>
    <x v="4"/>
    <n v="351454.08906764165"/>
    <n v="0"/>
  </r>
  <r>
    <s v="611,2020,20,2,00001/5336"/>
    <s v="IMMO"/>
    <n v="5336"/>
    <d v="2019-04-23T00:00:00"/>
    <n v="2019"/>
    <d v="2019-02-28T00:00:00"/>
    <d v="2031-02-24T00:00:00"/>
    <d v="2020-12-19T00:00:00"/>
    <x v="2"/>
    <d v="2020-12-19T00:00:00"/>
    <x v="2"/>
    <n v="3024747.42"/>
    <n v="0"/>
  </r>
  <r>
    <s v="611.2021.20.2.00030"/>
    <s v="CONSO"/>
    <n v="4303"/>
    <d v="2019-10-17T00:00:00"/>
    <n v="2019"/>
    <d v="2019-10-17T00:00:00"/>
    <d v="2022-10-15T00:00:00"/>
    <d v="2020-07-21T00:00:00"/>
    <x v="2"/>
    <d v="2021-09-28T00:00:00"/>
    <x v="4"/>
    <n v="320731.26142595976"/>
    <n v="1"/>
  </r>
  <r>
    <s v="611,2020,20,2,00001/4053"/>
    <s v="CONSO"/>
    <n v="4053"/>
    <d v="2019-09-04T00:00:00"/>
    <n v="2019"/>
    <d v="2019-09-04T00:00:00"/>
    <d v="2022-09-02T00:00:00"/>
    <d v="2020-09-13T00:00:00"/>
    <x v="2"/>
    <d v="2020-09-13T00:00:00"/>
    <x v="2"/>
    <n v="160851.04"/>
    <n v="0"/>
  </r>
  <r>
    <s v="611.2021.20.2.00012"/>
    <s v="CONSO"/>
    <n v="5"/>
    <d v="2017-02-23T00:00:00"/>
    <n v="2017"/>
    <d v="2017-02-22T00:00:00"/>
    <d v="2022-05-21T00:00:00"/>
    <d v="2021-01-19T00:00:00"/>
    <x v="4"/>
    <d v="2021-04-29T00:00:00"/>
    <x v="4"/>
    <n v="345063.64"/>
    <n v="0"/>
  </r>
  <r>
    <s v="611.2021.20.2.00013"/>
    <s v="IMMO"/>
    <n v="2263"/>
    <d v="2018-05-10T00:00:00"/>
    <n v="2018"/>
    <d v="2018-05-11T00:00:00"/>
    <d v="2028-05-10T00:00:00"/>
    <d v="2021-05-05T00:00:00"/>
    <x v="4"/>
    <d v="2021-05-27T00:00:00"/>
    <x v="4"/>
    <n v="957995.62"/>
    <n v="0"/>
  </r>
  <r>
    <s v="611.2021.20.2.00016"/>
    <s v="IMMO"/>
    <n v="1516"/>
    <d v="2018-01-08T00:00:00"/>
    <n v="2018"/>
    <d v="2018-01-01T00:00:00"/>
    <d v="2047-12-31T00:00:00"/>
    <d v="2021-05-27T00:00:00"/>
    <x v="4"/>
    <d v="2021-06-02T00:00:00"/>
    <x v="4"/>
    <n v="9745253.7599999998"/>
    <n v="0"/>
  </r>
  <r>
    <s v="611.2021.20.2.00015"/>
    <s v="IMMO"/>
    <n v="10988"/>
    <d v="2020-12-24T00:00:00"/>
    <n v="2020"/>
    <d v="2020-12-25T00:00:00"/>
    <d v="2037-12-24T00:00:00"/>
    <d v="2021-02-20T00:00:00"/>
    <x v="4"/>
    <d v="2021-06-01T00:00:00"/>
    <x v="4"/>
    <n v="2684603.8410099871"/>
    <n v="0"/>
  </r>
  <r>
    <s v="611.2021.20.2.00017"/>
    <s v="CONSO"/>
    <n v="9459"/>
    <d v="2020-01-26T00:00:00"/>
    <n v="2020"/>
    <d v="2020-01-26T00:00:00"/>
    <d v="2023-01-24T00:00:00"/>
    <d v="2021-04-01T00:00:00"/>
    <x v="4"/>
    <d v="2021-06-07T00:00:00"/>
    <x v="4"/>
    <n v="104843.69287020111"/>
    <n v="0"/>
  </r>
  <r>
    <s v="611.2021.20.2.00018"/>
    <s v="IMMO"/>
    <n v="4741"/>
    <d v="2019-02-27T00:00:00"/>
    <n v="2019"/>
    <d v="2019-01-30T00:00:00"/>
    <d v="2042-01-23T00:00:00"/>
    <d v="2021-01-18T00:00:00"/>
    <x v="4"/>
    <d v="2021-07-04T00:00:00"/>
    <x v="4"/>
    <n v="4720853.7958363118"/>
    <n v="0"/>
  </r>
  <r>
    <s v="611.2021.20.2.00032"/>
    <s v="CONSO"/>
    <n v="3528"/>
    <d v="2019-06-17T00:00:00"/>
    <n v="2019"/>
    <d v="2019-06-17T00:00:00"/>
    <d v="2022-06-15T00:00:00"/>
    <d v="2021-05-24T00:00:00"/>
    <x v="4"/>
    <d v="2021-09-28T00:00:00"/>
    <x v="4"/>
    <n v="61905.850091407679"/>
    <n v="0"/>
  </r>
  <r>
    <s v="611,2021,20,2,00001/6692"/>
    <s v="IMMO"/>
    <n v="6692"/>
    <d v="2019-10-02T00:00:00"/>
    <n v="2019"/>
    <d v="2019-05-31T00:00:00"/>
    <d v="2038-05-25T00:00:00"/>
    <d v="2021-04-01T00:00:00"/>
    <x v="4"/>
    <d v="2021-04-01T00:00:00"/>
    <x v="4"/>
    <n v="8773033.1861840207"/>
    <n v="0"/>
  </r>
  <r>
    <s v="611.2021.20.2.00019"/>
    <s v="CONSO"/>
    <n v="10770"/>
    <d v="2020-11-22T00:00:00"/>
    <n v="2020"/>
    <d v="2020-11-26T00:00:00"/>
    <d v="2023-11-25T00:00:00"/>
    <d v="2021-02-17T00:00:00"/>
    <x v="4"/>
    <d v="2021-07-06T00:00:00"/>
    <x v="4"/>
    <n v="415859.23217550275"/>
    <n v="0"/>
  </r>
  <r>
    <s v="611,2021,20,2,00001/10119"/>
    <s v="IMMO"/>
    <n v="10119"/>
    <d v="2020-10-22T00:00:00"/>
    <n v="2020"/>
    <d v="2020-10-22T00:00:00"/>
    <d v="2033-10-21T00:00:00"/>
    <d v="2021-07-01T00:00:00"/>
    <x v="4"/>
    <d v="2021-07-01T00:00:00"/>
    <x v="4"/>
    <n v="754976.39"/>
    <n v="0"/>
  </r>
  <r>
    <s v="611.2021.20.2.00020"/>
    <s v="CONSO"/>
    <n v="2312"/>
    <d v="2019-02-10T00:00:00"/>
    <n v="2019"/>
    <d v="2019-02-10T00:00:00"/>
    <d v="2024-02-08T00:00:00"/>
    <d v="2021-07-06T00:00:00"/>
    <x v="4"/>
    <d v="2021-07-26T00:00:00"/>
    <x v="4"/>
    <n v="819482.82"/>
    <n v="0"/>
  </r>
  <r>
    <s v="611.2021.20.2.00031"/>
    <s v="CONSO"/>
    <n v="12775"/>
    <d v="2021-06-01T00:00:00"/>
    <n v="2021"/>
    <d v="2021-06-01T00:00:00"/>
    <d v="2021-05-30T00:00:00"/>
    <d v="2021-07-17T00:00:00"/>
    <x v="4"/>
    <d v="2021-09-28T00:00:00"/>
    <x v="4"/>
    <n v="722337.24"/>
    <n v="0"/>
  </r>
  <r>
    <s v="611.2021.20.2.00036"/>
    <s v="IMMO"/>
    <n v="4012"/>
    <d v="2018-12-19T00:00:00"/>
    <n v="2018"/>
    <d v="2018-12-18T00:00:00"/>
    <d v="2033-12-13T00:00:00"/>
    <d v="2021-07-20T00:00:00"/>
    <x v="4"/>
    <d v="2021-08-29T00:00:00"/>
    <x v="4"/>
    <n v="5359919.1500000004"/>
    <n v="0"/>
  </r>
  <r>
    <s v="611.2021.20.2.00035"/>
    <s v="IMMO"/>
    <n v="13384"/>
    <d v="2021-05-24T00:00:00"/>
    <n v="2021"/>
    <d v="2021-05-24T00:00:00"/>
    <d v="2028-05-22T00:00:00"/>
    <d v="2021-06-21T00:00:00"/>
    <x v="4"/>
    <d v="2021-09-29T00:00:00"/>
    <x v="4"/>
    <n v="754767.35999999999"/>
    <n v="0"/>
  </r>
  <r>
    <s v="611.2021.20.2.00054"/>
    <s v="CONSO"/>
    <n v="1634"/>
    <d v="2018-11-15T00:00:00"/>
    <n v="2018"/>
    <d v="2018-11-15T00:00:00"/>
    <d v="2021-11-13T00:00:00"/>
    <d v="2021-06-26T00:00:00"/>
    <x v="4"/>
    <d v="2021-12-20T00:00:00"/>
    <x v="4"/>
    <n v="77107.929999999993"/>
    <n v="0"/>
  </r>
  <r>
    <s v="611,2021,20,2,00001/523"/>
    <s v="CONSO"/>
    <n v="523"/>
    <d v="2018-03-19T00:00:00"/>
    <n v="2018"/>
    <d v="2018-03-20T00:00:00"/>
    <d v="2023-03-19T00:00:00"/>
    <d v="2021-05-05T00:00:00"/>
    <x v="4"/>
    <d v="2021-12-19T00:00:00"/>
    <x v="4"/>
    <n v="415882.32"/>
    <n v="0"/>
  </r>
  <r>
    <s v="611.2021.20.2.00022"/>
    <s v="CONSO"/>
    <n v="203"/>
    <d v="2017-11-16T00:00:00"/>
    <n v="2017"/>
    <d v="2017-11-17T00:00:00"/>
    <d v="2021-11-16T00:00:00"/>
    <d v="2020-12-11T00:00:00"/>
    <x v="2"/>
    <d v="2021-08-15T00:00:00"/>
    <x v="4"/>
    <n v="373297.76"/>
    <n v="1"/>
  </r>
  <r>
    <s v="611,2021,20,2,00001/13109"/>
    <s v="IMMO"/>
    <n v="13109"/>
    <d v="2021-05-06T00:00:00"/>
    <n v="2021"/>
    <d v="2021-05-20T00:00:00"/>
    <d v="2034-05-19T00:00:00"/>
    <d v="2021-08-17T00:00:00"/>
    <x v="4"/>
    <d v="2021-08-17T00:00:00"/>
    <x v="4"/>
    <n v="7106374.9000000004"/>
    <n v="0"/>
  </r>
  <r>
    <s v="611.2021.20.2.00025"/>
    <s v="IMMO"/>
    <n v="5476"/>
    <d v="2019-05-08T00:00:00"/>
    <n v="2019"/>
    <d v="2019-05-09T00:00:00"/>
    <d v="2041-05-02T00:00:00"/>
    <d v="2021-06-19T00:00:00"/>
    <x v="4"/>
    <d v="2021-09-19T00:00:00"/>
    <x v="4"/>
    <n v="6993716.5599999996"/>
    <n v="0"/>
  </r>
  <r>
    <s v="611.2021.20.2.00038"/>
    <s v="CONSO"/>
    <n v="9772"/>
    <d v="2020-03-26T00:00:00"/>
    <n v="2020"/>
    <d v="2020-04-02T00:00:00"/>
    <d v="2023-04-01T00:00:00"/>
    <d v="2021-06-13T00:00:00"/>
    <x v="4"/>
    <d v="2021-10-12T00:00:00"/>
    <x v="4"/>
    <n v="251995.19"/>
    <n v="0"/>
  </r>
  <r>
    <s v="611,2021,20,2,00001/5476"/>
    <s v="IMMO"/>
    <n v="5476"/>
    <d v="2020-12-28T00:00:00"/>
    <n v="2020"/>
    <d v="2021-12-31T00:00:00"/>
    <d v="2060-12-29T00:00:00"/>
    <d v="2021-08-25T00:00:00"/>
    <x v="4"/>
    <d v="2021-08-25T00:00:00"/>
    <x v="4"/>
    <n v="5321217.45"/>
    <n v="0"/>
  </r>
  <r>
    <s v="611.2021.20.2.00026"/>
    <s v="IMMO"/>
    <n v="8992"/>
    <d v="2020-06-29T00:00:00"/>
    <n v="2020"/>
    <d v="2020-06-30T00:00:00"/>
    <d v="2041-06-29T00:00:00"/>
    <d v="2021-08-21T00:00:00"/>
    <x v="4"/>
    <d v="2021-09-20T00:00:00"/>
    <x v="4"/>
    <n v="3274920"/>
    <n v="0"/>
  </r>
  <r>
    <s v="611,2021,20,2,00001/12893"/>
    <s v="IMMO"/>
    <n v="12893"/>
    <d v="2021-04-25T00:00:00"/>
    <n v="2021"/>
    <d v="2021-04-30T00:00:00"/>
    <d v="2061-04-19T00:00:00"/>
    <d v="2021-08-10T00:00:00"/>
    <x v="4"/>
    <d v="2021-08-10T00:00:00"/>
    <x v="4"/>
    <n v="4647600"/>
    <n v="0"/>
  </r>
  <r>
    <s v="611.2021.20.2.00027"/>
    <s v="IMMO"/>
    <n v="5481"/>
    <d v="2019-05-08T00:00:00"/>
    <n v="2019"/>
    <d v="2019-05-09T00:00:00"/>
    <d v="2030-05-05T00:00:00"/>
    <d v="2021-08-28T00:00:00"/>
    <x v="4"/>
    <d v="2021-09-22T00:00:00"/>
    <x v="4"/>
    <n v="1358189.45"/>
    <n v="0"/>
  </r>
  <r>
    <s v="611.2021.20.2.00046"/>
    <s v="IMMO"/>
    <n v="3966"/>
    <d v="2018-12-17T00:00:00"/>
    <n v="2018"/>
    <d v="2021-01-31T00:00:00"/>
    <d v="2045-01-24T00:00:00"/>
    <d v="2021-08-08T00:00:00"/>
    <x v="4"/>
    <d v="2021-11-14T00:00:00"/>
    <x v="4"/>
    <n v="2250000"/>
    <n v="0"/>
  </r>
  <r>
    <s v="611,2021,20,2,00001/2386"/>
    <s v="IMMO"/>
    <n v="2386"/>
    <d v="2018-05-28T00:00:00"/>
    <n v="2018"/>
    <d v="2018-05-29T00:00:00"/>
    <d v="2031-05-28T00:00:00"/>
    <d v="2021-09-19T00:00:00"/>
    <x v="4"/>
    <d v="2021-09-19T00:00:00"/>
    <x v="4"/>
    <n v="509843"/>
    <n v="0"/>
  </r>
  <r>
    <s v="611.2021.20.2.00037"/>
    <s v="CONSO"/>
    <n v="3907"/>
    <d v="2019-08-05T00:00:00"/>
    <n v="2019"/>
    <d v="2019-08-01T00:00:00"/>
    <d v="2024-07-29T00:00:00"/>
    <d v="2021-07-09T00:00:00"/>
    <x v="4"/>
    <d v="2021-10-11T00:00:00"/>
    <x v="4"/>
    <n v="985778.81"/>
    <n v="0"/>
  </r>
  <r>
    <s v="611.2021.20.2.00039"/>
    <s v="IMMO"/>
    <n v="14324"/>
    <d v="2021-08-04T00:00:00"/>
    <n v="2021"/>
    <d v="2021-08-04T00:00:00"/>
    <d v="2061-08-03T00:00:00"/>
    <d v="2021-09-08T00:00:00"/>
    <x v="4"/>
    <d v="2021-10-13T00:00:00"/>
    <x v="4"/>
    <n v="4111030"/>
    <n v="0"/>
  </r>
  <r>
    <s v="611,2021,20,2,00001/957"/>
    <s v="IMMO"/>
    <n v="957"/>
    <d v="2017-10-23T00:00:00"/>
    <n v="2017"/>
    <d v="2017-10-24T00:00:00"/>
    <d v="2042-10-23T00:00:00"/>
    <d v="2021-08-09T00:00:00"/>
    <x v="4"/>
    <d v="2021-08-09T00:00:00"/>
    <x v="4"/>
    <n v="4640109.18"/>
    <n v="0"/>
  </r>
  <r>
    <s v="611.2021.20.2.00042"/>
    <s v="IMMO"/>
    <n v="11833"/>
    <d v="2021-02-23T00:00:00"/>
    <n v="2021"/>
    <d v="2021-03-31T00:00:00"/>
    <d v="2041-03-29T00:00:00"/>
    <d v="2021-07-19T00:00:00"/>
    <x v="4"/>
    <d v="2021-10-17T00:00:00"/>
    <x v="4"/>
    <n v="2060000"/>
    <n v="0"/>
  </r>
  <r>
    <s v="611.2021.20.2.00041"/>
    <s v="CONSO"/>
    <n v="4225"/>
    <d v="2019-10-08T00:00:00"/>
    <n v="2019"/>
    <d v="2019-10-08T00:00:00"/>
    <d v="2024-10-05T00:00:00"/>
    <d v="2021-08-02T00:00:00"/>
    <x v="4"/>
    <d v="2021-10-14T00:00:00"/>
    <x v="4"/>
    <n v="827516.54"/>
    <n v="0"/>
  </r>
  <r>
    <s v="611.2021.20.2.00043"/>
    <s v="IMMO"/>
    <n v="3927"/>
    <d v="2018-12-12T00:00:00"/>
    <n v="2018"/>
    <d v="2018-12-06T00:00:00"/>
    <d v="2030-12-02T00:00:00"/>
    <d v="2021-06-26T00:00:00"/>
    <x v="4"/>
    <d v="2021-10-26T00:00:00"/>
    <x v="4"/>
    <n v="4064050.85"/>
    <n v="0"/>
  </r>
  <r>
    <s v="611.2021.20.2.00045"/>
    <s v="CONSO"/>
    <n v="3958"/>
    <d v="2019-08-13T00:00:00"/>
    <n v="2019"/>
    <d v="2019-08-13T00:00:00"/>
    <d v="2022-08-11T00:00:00"/>
    <d v="2021-09-21T00:00:00"/>
    <x v="4"/>
    <d v="2021-11-11T00:00:00"/>
    <x v="4"/>
    <n v="139987.79999999999"/>
    <n v="0"/>
  </r>
  <r>
    <s v="611,2021,20,2,00001/4061"/>
    <s v="IMMO"/>
    <n v="4061"/>
    <d v="2018-12-25T00:00:00"/>
    <n v="2018"/>
    <d v="2018-10-31T00:00:00"/>
    <d v="2058-10-20T00:00:00"/>
    <d v="2021-08-30T00:00:00"/>
    <x v="4"/>
    <d v="2021-08-30T00:00:00"/>
    <x v="4"/>
    <n v="1436665.66"/>
    <n v="0"/>
  </r>
  <r>
    <s v="611,2021,20,2,00001/12396"/>
    <s v="IMMO"/>
    <n v="12396"/>
    <d v="2021-03-24T00:00:00"/>
    <n v="2021"/>
    <d v="2021-03-24T00:00:00"/>
    <d v="2031-03-23T00:00:00"/>
    <d v="2021-10-15T00:00:00"/>
    <x v="4"/>
    <d v="2021-10-15T00:00:00"/>
    <x v="4"/>
    <n v="1178165.49"/>
    <n v="0"/>
  </r>
  <r>
    <s v="611.2021.20.2.00047"/>
    <s v="CONSO"/>
    <n v="3541"/>
    <d v="2019-06-18T00:00:00"/>
    <n v="2019"/>
    <d v="2019-06-20T00:00:00"/>
    <d v="2024-06-17T00:00:00"/>
    <d v="2021-10-23T00:00:00"/>
    <x v="4"/>
    <d v="2021-11-15T00:00:00"/>
    <x v="4"/>
    <n v="683963.59"/>
    <n v="0"/>
  </r>
  <r>
    <s v="611.2021.20.2.00048"/>
    <s v="IMMO"/>
    <n v="8766"/>
    <d v="2020-06-09T00:00:00"/>
    <n v="2020"/>
    <d v="2020-06-09T00:00:00"/>
    <d v="2039-06-08T00:00:00"/>
    <d v="2021-09-04T00:00:00"/>
    <x v="4"/>
    <d v="2021-11-21T00:00:00"/>
    <x v="4"/>
    <n v="3654683.33"/>
    <n v="0"/>
  </r>
  <r>
    <s v="611.2022.20.2.00002"/>
    <s v="CONSO"/>
    <n v="9515"/>
    <d v="2020-02-04T00:00:00"/>
    <n v="2020"/>
    <d v="2020-01-30T00:00:00"/>
    <d v="2023-01-28T00:00:00"/>
    <d v="2021-02-16T00:00:00"/>
    <x v="4"/>
    <d v="2022-01-10T00:00:00"/>
    <x v="5"/>
    <n v="398604.35"/>
    <n v="1"/>
  </r>
  <r>
    <s v="611.2022.20.2.00025"/>
    <s v="IMMO"/>
    <n v="13587"/>
    <d v="2021-06-08T00:00:00"/>
    <n v="2021"/>
    <d v="2021-06-10T00:00:00"/>
    <d v="2025-06-08T00:00:00"/>
    <d v="2021-08-16T00:00:00"/>
    <x v="4"/>
    <d v="2021-12-02T00:00:00"/>
    <x v="4"/>
    <n v="412889"/>
    <n v="0"/>
  </r>
  <r>
    <s v="611.2022.20.2.00025"/>
    <s v="CONSO"/>
    <n v="759"/>
    <d v="2019-06-03T00:00:00"/>
    <n v="2019"/>
    <d v="2018-05-18T00:00:00"/>
    <d v="2023-05-17T00:00:00"/>
    <d v="2021-09-29T00:00:00"/>
    <x v="4"/>
    <d v="2022-03-31T00:00:00"/>
    <x v="5"/>
    <n v="510395.89041095891"/>
    <n v="1"/>
  </r>
  <r>
    <s v="611.2021.20.2.00050"/>
    <s v="IMMO"/>
    <n v="2377"/>
    <d v="2018-05-27T00:00:00"/>
    <n v="2018"/>
    <d v="2018-05-28T00:00:00"/>
    <d v="2029-05-27T00:00:00"/>
    <d v="2018-08-09T00:00:00"/>
    <x v="0"/>
    <d v="2021-12-07T00:00:00"/>
    <x v="4"/>
    <n v="964906.42369927815"/>
    <n v="3"/>
  </r>
  <r>
    <s v="611.2021.20.2.00053"/>
    <s v="IMMO"/>
    <n v="12574"/>
    <d v="2021-04-04T00:00:00"/>
    <n v="2021"/>
    <d v="2021-04-20T00:00:00"/>
    <d v="2061-04-18T00:00:00"/>
    <d v="2021-11-30T00:00:00"/>
    <x v="4"/>
    <d v="2021-12-19T00:00:00"/>
    <x v="4"/>
    <n v="7200000"/>
    <n v="0"/>
  </r>
  <r>
    <s v="611,2021,20,2,00001/7218"/>
    <s v="IMMO"/>
    <n v="7218"/>
    <d v="2019-11-26T00:00:00"/>
    <n v="2019"/>
    <d v="2019-11-21T00:00:00"/>
    <d v="2059-11-19T00:00:00"/>
    <d v="2021-10-30T00:00:00"/>
    <x v="4"/>
    <d v="2021-10-30T00:00:00"/>
    <x v="4"/>
    <n v="6340020.9500000002"/>
    <n v="0"/>
  </r>
  <r>
    <s v="611.2021.20.2.00051"/>
    <s v="CONSO"/>
    <n v="2411"/>
    <d v="2019-02-24T00:00:00"/>
    <n v="2019"/>
    <d v="2019-01-06T00:00:00"/>
    <d v="2024-01-04T00:00:00"/>
    <d v="2021-08-06T00:00:00"/>
    <x v="4"/>
    <d v="2021-12-19T00:00:00"/>
    <x v="4"/>
    <n v="564965.94999999995"/>
    <n v="0"/>
  </r>
  <r>
    <s v="611,2021,20,2,00001/9585"/>
    <s v="CONSO"/>
    <n v="9585"/>
    <d v="2020-02-19T00:00:00"/>
    <n v="2020"/>
    <d v="2020-02-17T00:00:00"/>
    <d v="2025-02-14T00:00:00"/>
    <d v="2021-07-30T00:00:00"/>
    <x v="4"/>
    <d v="2021-07-30T00:00:00"/>
    <x v="4"/>
    <n v="1015268.6403508772"/>
    <n v="0"/>
  </r>
  <r>
    <s v="611.2022.20.2.00026"/>
    <s v="CONSO"/>
    <n v="11944"/>
    <d v="2021-03-21T00:00:00"/>
    <n v="2021"/>
    <d v="2021-04-30T00:00:00"/>
    <d v="2024-04-28T00:00:00"/>
    <d v="2021-06-26T00:00:00"/>
    <x v="4"/>
    <d v="2022-03-31T00:00:00"/>
    <x v="5"/>
    <n v="475916.68"/>
    <n v="1"/>
  </r>
  <r>
    <s v="611,2021,20,2,00001/1172"/>
    <s v="CONSO"/>
    <n v="1172"/>
    <d v="2018-08-06T00:00:00"/>
    <n v="2018"/>
    <d v="2018-09-01T00:00:00"/>
    <d v="2023-08-31T00:00:00"/>
    <d v="2021-12-18T00:00:00"/>
    <x v="4"/>
    <d v="2021-12-18T00:00:00"/>
    <x v="4"/>
    <n v="433911.09"/>
    <n v="0"/>
  </r>
  <r>
    <s v="611.2021.20.2.00055"/>
    <s v="IMMO"/>
    <n v="647"/>
    <d v="2017-08-14T00:00:00"/>
    <n v="2017"/>
    <d v="2017-08-09T00:00:00"/>
    <d v="2025-08-08T00:00:00"/>
    <d v="2021-12-13T00:00:00"/>
    <x v="4"/>
    <d v="2021-12-28T00:00:00"/>
    <x v="4"/>
    <n v="3246582.5348031493"/>
    <n v="0"/>
  </r>
  <r>
    <s v="611.2021.20.2.00056"/>
    <s v="CONSO"/>
    <n v="9669"/>
    <d v="2020-03-08T00:00:00"/>
    <n v="2020"/>
    <d v="2020-03-05T00:00:00"/>
    <d v="2023-03-04T00:00:00"/>
    <d v="2021-12-22T00:00:00"/>
    <x v="4"/>
    <d v="2021-12-29T00:00:00"/>
    <x v="4"/>
    <n v="319561.24314442411"/>
    <n v="0"/>
  </r>
  <r>
    <s v="611,2022,20,2,00001/3182"/>
    <s v="CONSO"/>
    <n v="3182"/>
    <d v="2019-05-16T00:00:00"/>
    <n v="2019"/>
    <d v="2019-05-16T00:00:00"/>
    <d v="2022-05-14T00:00:00"/>
    <d v="2022-02-24T00:00:00"/>
    <x v="5"/>
    <d v="2022-02-24T00:00:00"/>
    <x v="5"/>
    <n v="35552.839999999997"/>
    <n v="0"/>
  </r>
  <r>
    <s v="611,2022,20,2,00001/13604"/>
    <s v="IMMO"/>
    <n v="13604"/>
    <d v="2021-06-09T00:00:00"/>
    <n v="2021"/>
    <d v="2021-07-01T00:00:00"/>
    <d v="2059-06-30T00:00:00"/>
    <d v="2022-02-24T00:00:00"/>
    <x v="5"/>
    <d v="2022-02-24T00:00:00"/>
    <x v="5"/>
    <n v="2113425"/>
    <n v="0"/>
  </r>
  <r>
    <s v="611,2022,20,2,00001/5804"/>
    <s v="IMMO"/>
    <n v="5804"/>
    <d v="2019-06-09T00:00:00"/>
    <n v="2019"/>
    <d v="2019-06-01T00:00:00"/>
    <d v="2027-05-29T00:00:00"/>
    <d v="2022-01-09T00:00:00"/>
    <x v="5"/>
    <d v="2022-01-09T00:00:00"/>
    <x v="5"/>
    <n v="1123474.97"/>
    <n v="0"/>
  </r>
  <r>
    <s v="611,2022,20,2,00001/546"/>
    <s v="CONSO"/>
    <n v="546"/>
    <d v="2018-03-25T00:00:00"/>
    <n v="2018"/>
    <d v="2023-03-26T00:00:00"/>
    <d v="2023-03-25T00:00:00"/>
    <d v="2022-01-02T00:00:00"/>
    <x v="5"/>
    <d v="2022-01-02T00:00:00"/>
    <x v="5"/>
    <n v="1339900"/>
    <n v="0"/>
  </r>
  <r>
    <s v="611,2021,20,2,00001/13862"/>
    <s v="IMMO"/>
    <n v="13862"/>
    <d v="2021-06-28T00:00:00"/>
    <n v="2021"/>
    <d v="2021-06-30T00:00:00"/>
    <d v="2031-06-29T00:00:00"/>
    <d v="2021-09-30T00:00:00"/>
    <x v="4"/>
    <d v="2022-09-22T00:00:00"/>
    <x v="5"/>
    <n v="1535464.3122432209"/>
    <n v="1"/>
  </r>
  <r>
    <s v="611,2022,20,2,00001/4756"/>
    <s v="IMMO"/>
    <n v="4756"/>
    <d v="2019-02-28T00:00:00"/>
    <n v="2019"/>
    <d v="2019-03-01T00:00:00"/>
    <d v="2059-02-18T00:00:00"/>
    <d v="2022-01-21T00:00:00"/>
    <x v="5"/>
    <d v="2023-04-20T00:00:00"/>
    <x v="6"/>
    <n v="3407362.26"/>
    <n v="1"/>
  </r>
  <r>
    <s v="611.2022.20.2.00007"/>
    <s v="CONSO"/>
    <n v="14240"/>
    <d v="2021-11-02T00:00:00"/>
    <n v="2021"/>
    <d v="2021-11-02T00:00:00"/>
    <d v="2024-11-01T00:00:00"/>
    <d v="2022-01-07T00:00:00"/>
    <x v="5"/>
    <d v="2022-01-25T00:00:00"/>
    <x v="5"/>
    <n v="942429"/>
    <n v="0"/>
  </r>
  <r>
    <s v="611.2022.20.2.00009"/>
    <s v="CONSO"/>
    <n v="14177"/>
    <d v="2021-10-28T00:00:00"/>
    <n v="2021"/>
    <d v="2021-10-28T00:00:00"/>
    <d v="2024-10-27T00:00:00"/>
    <d v="2022-01-31T00:00:00"/>
    <x v="5"/>
    <d v="2022-02-08T00:00:00"/>
    <x v="5"/>
    <n v="405479.45205479447"/>
    <n v="0"/>
  </r>
  <r>
    <s v="611.2022.20.2.00019"/>
    <s v="IMMO"/>
    <n v="6927"/>
    <d v="2019-10-27T00:00:00"/>
    <n v="2019"/>
    <d v="2019-10-28T00:00:00"/>
    <d v="2059-10-26T00:00:00"/>
    <d v="2021-03-19T00:00:00"/>
    <x v="4"/>
    <d v="2022-03-14T00:00:00"/>
    <x v="5"/>
    <n v="5626062.1577217961"/>
    <n v="1"/>
  </r>
  <r>
    <s v="611,2022,20,2,00001/1800"/>
    <s v="CONSO"/>
    <n v="1800"/>
    <d v="2018-12-11T00:00:00"/>
    <n v="2018"/>
    <d v="2018-12-11T00:00:00"/>
    <d v="2023-12-09T00:00:00"/>
    <d v="2022-01-24T00:00:00"/>
    <x v="5"/>
    <d v="2022-01-24T00:00:00"/>
    <x v="5"/>
    <n v="508363.76"/>
    <n v="0"/>
  </r>
  <r>
    <s v="611.2022.20.2.00028"/>
    <s v="CONSO"/>
    <n v="14600"/>
    <d v="2021-11-30T00:00:00"/>
    <n v="2021"/>
    <d v="2021-12-05T00:00:00"/>
    <d v="2024-12-04T00:00:00"/>
    <d v="2022-01-22T00:00:00"/>
    <x v="5"/>
    <d v="2022-03-31T00:00:00"/>
    <x v="5"/>
    <n v="226480.26"/>
    <n v="0"/>
  </r>
  <r>
    <s v="611.2022.20.2.00013"/>
    <s v="IMMO"/>
    <n v="933"/>
    <d v="2017-10-19T00:00:00"/>
    <n v="2017"/>
    <d v="2017-09-25T00:00:00"/>
    <d v="2031-09-29T00:00:00"/>
    <d v="2022-01-22T00:00:00"/>
    <x v="5"/>
    <d v="2022-02-27T00:00:00"/>
    <x v="5"/>
    <n v="1175150"/>
    <n v="0"/>
  </r>
  <r>
    <s v="611.2023.20.2.00041"/>
    <s v="CONSO"/>
    <n v="11967"/>
    <d v="2021-03-23T00:00:00"/>
    <n v="2021"/>
    <d v="2021-03-23T00:00:00"/>
    <d v="2024-03-21T00:00:00"/>
    <d v="2021-08-03T00:00:00"/>
    <x v="4"/>
    <d v="2023-06-22T00:00:00"/>
    <x v="6"/>
    <n v="518272.39488117001"/>
    <n v="2"/>
  </r>
  <r>
    <s v="611,2021,20,2,00001/13604"/>
    <s v="CONSO"/>
    <n v="13604"/>
    <d v="2021-09-05T00:00:00"/>
    <n v="2021"/>
    <d v="2021-10-30T00:00:00"/>
    <d v="2024-10-29T00:00:00"/>
    <d v="2021-12-19T00:00:00"/>
    <x v="4"/>
    <d v="2022-03-08T00:00:00"/>
    <x v="5"/>
    <n v="343561.64383561641"/>
    <n v="1"/>
  </r>
  <r>
    <s v="611.2022.20.2.00030"/>
    <s v="IMMO"/>
    <n v="11845"/>
    <d v="2021-02-23T00:00:00"/>
    <n v="2021"/>
    <d v="2021-04-25T00:00:00"/>
    <d v="2060-04-23T00:00:00"/>
    <d v="2021-08-27T00:00:00"/>
    <x v="4"/>
    <d v="2022-03-31T00:00:00"/>
    <x v="5"/>
    <n v="8789206.7699999996"/>
    <n v="1"/>
  </r>
  <r>
    <s v="611,2022,20,2,00001/804"/>
    <s v="CONSO"/>
    <n v="804"/>
    <d v="2018-05-28T00:00:00"/>
    <n v="2018"/>
    <d v="2018-05-29T00:00:00"/>
    <d v="2023-05-28T00:00:00"/>
    <d v="2022-01-17T00:00:00"/>
    <x v="5"/>
    <d v="2022-01-17T00:00:00"/>
    <x v="5"/>
    <n v="328790.75"/>
    <n v="0"/>
  </r>
  <r>
    <s v="611,2022,20,2,00001/9581"/>
    <s v="CONSO"/>
    <n v="9581"/>
    <d v="2020-02-18T00:00:00"/>
    <n v="2020"/>
    <d v="2020-02-18T00:00:00"/>
    <d v="2023-02-16T00:00:00"/>
    <d v="2022-01-17T00:00:00"/>
    <x v="5"/>
    <d v="2022-01-17T00:00:00"/>
    <x v="5"/>
    <n v="76412.759999999995"/>
    <n v="0"/>
  </r>
  <r>
    <s v="611.2022.20.2.00020"/>
    <s v="CONSO"/>
    <n v="12092"/>
    <d v="2021-03-30T00:00:00"/>
    <n v="2021"/>
    <d v="2021-03-30T00:00:00"/>
    <d v="2024-03-28T00:00:00"/>
    <d v="2022-02-15T00:00:00"/>
    <x v="5"/>
    <d v="2022-03-15T00:00:00"/>
    <x v="5"/>
    <n v="319587.84000000003"/>
    <n v="0"/>
  </r>
  <r>
    <s v="611.2022.20.2.00021"/>
    <s v="CONSO"/>
    <n v="14281"/>
    <d v="2021-11-04T00:00:00"/>
    <n v="2021"/>
    <d v="2021-11-04T00:00:00"/>
    <d v="2024-11-03T00:00:00"/>
    <d v="2021-12-05T00:00:00"/>
    <x v="4"/>
    <d v="2022-03-16T00:00:00"/>
    <x v="5"/>
    <n v="699616.43835616438"/>
    <n v="1"/>
  </r>
  <r>
    <s v="611.2022.20.2.00031"/>
    <s v="IMMO"/>
    <n v="9058"/>
    <d v="2020-07-06T00:00:00"/>
    <n v="2020"/>
    <d v="2020-07-15T00:00:00"/>
    <d v="2041-07-09T00:00:00"/>
    <d v="2022-03-05T00:00:00"/>
    <x v="5"/>
    <d v="2022-03-31T00:00:00"/>
    <x v="5"/>
    <n v="3658019.519832985"/>
    <n v="0"/>
  </r>
  <r>
    <s v="611.2022.20.2.00023"/>
    <s v="CONSO"/>
    <n v="2220"/>
    <d v="2019-01-29T00:00:00"/>
    <n v="2019"/>
    <d v="2019-01-28T00:00:00"/>
    <d v="2024-01-26T00:00:00"/>
    <d v="2022-02-04T00:00:00"/>
    <x v="5"/>
    <d v="2022-03-31T00:00:00"/>
    <x v="5"/>
    <n v="548853.52"/>
    <n v="0"/>
  </r>
  <r>
    <s v="611,2021,20,2,00001/1342"/>
    <s v="IMMO"/>
    <n v="1342"/>
    <d v="2017-12-18T00:00:00"/>
    <n v="2017"/>
    <d v="2017-12-20T00:00:00"/>
    <d v="2042-12-19T00:00:00"/>
    <d v="2021-11-16T00:00:00"/>
    <x v="4"/>
    <d v="2022-03-31T00:00:00"/>
    <x v="5"/>
    <n v="877798.79043044895"/>
    <n v="1"/>
  </r>
  <r>
    <s v="611.2022.20.2.00032"/>
    <s v="IMMO"/>
    <n v="22781"/>
    <d v="2018-04-12T00:00:00"/>
    <n v="2018"/>
    <d v="2018-04-13T00:00:00"/>
    <d v="2024-04-12T00:00:00"/>
    <d v="2022-01-31T00:00:00"/>
    <x v="5"/>
    <d v="2022-04-05T00:00:00"/>
    <x v="5"/>
    <n v="150497.04999999999"/>
    <n v="0"/>
  </r>
  <r>
    <s v="611.2022.20.2.00032"/>
    <s v="IMMO"/>
    <n v="22782"/>
    <d v="2018-04-12T00:00:00"/>
    <n v="2018"/>
    <d v="2018-04-13T00:00:00"/>
    <d v="2023-04-12T00:00:00"/>
    <d v="2022-01-31T00:00:00"/>
    <x v="5"/>
    <d v="2022-04-05T00:00:00"/>
    <x v="5"/>
    <n v="125905.09"/>
    <n v="0"/>
  </r>
  <r>
    <s v="611.2022.20.2.00032"/>
    <s v="IMMO"/>
    <n v="2453"/>
    <d v="2018-06-03T00:00:00"/>
    <n v="2018"/>
    <d v="2018-04-03T00:00:00"/>
    <d v="2028-04-02T00:00:00"/>
    <d v="2022-01-31T00:00:00"/>
    <x v="5"/>
    <d v="2022-04-05T00:00:00"/>
    <x v="5"/>
    <n v="309936.53000000003"/>
    <n v="0"/>
  </r>
  <r>
    <s v="611.2022.20.2.00035"/>
    <s v="IMMO"/>
    <s v="Devis"/>
    <d v="2018-05-20T00:00:00"/>
    <n v="2018"/>
    <d v="2018-06-21T00:00:00"/>
    <d v="2050-06-20T00:00:00"/>
    <d v="2022-03-28T00:00:00"/>
    <x v="5"/>
    <d v="2022-04-11T00:00:00"/>
    <x v="5"/>
    <n v="211712.96"/>
    <n v="0"/>
  </r>
  <r>
    <s v="611.2022.20.2.00036"/>
    <s v="CONSO"/>
    <n v="10302"/>
    <d v="2020-09-14T00:00:00"/>
    <n v="2020"/>
    <d v="2020-09-15T00:00:00"/>
    <d v="2022-09-14T00:00:00"/>
    <d v="2022-01-17T00:00:00"/>
    <x v="5"/>
    <d v="2022-04-17T00:00:00"/>
    <x v="5"/>
    <n v="240329.21810699583"/>
    <n v="0"/>
  </r>
  <r>
    <s v="611.2022.20.2.00037"/>
    <s v="IMMO"/>
    <n v="2154"/>
    <d v="2018-04-23T00:00:00"/>
    <n v="2018"/>
    <d v="2018-04-15T00:00:00"/>
    <d v="2052-04-14T00:00:00"/>
    <d v="2021-12-31T00:00:00"/>
    <x v="4"/>
    <d v="2022-04-28T00:00:00"/>
    <x v="5"/>
    <n v="8372235.04"/>
    <n v="1"/>
  </r>
  <r>
    <s v="611,2022,20,2,00001/15573"/>
    <s v="IMMO"/>
    <n v="15573"/>
    <d v="2021-11-11T00:00:00"/>
    <n v="2021"/>
    <d v="2021-11-11T00:00:00"/>
    <d v="2031-11-10T00:00:00"/>
    <d v="2022-04-15T00:00:00"/>
    <x v="5"/>
    <d v="2022-04-15T00:00:00"/>
    <x v="5"/>
    <n v="4775711.0585373873"/>
    <n v="0"/>
  </r>
  <r>
    <s v="611,2022,20,2,00001/1753"/>
    <s v="CONSO"/>
    <n v="1753"/>
    <d v="2018-12-03T00:00:00"/>
    <n v="2018"/>
    <d v="2018-12-04T00:00:00"/>
    <d v="2021-12-02T00:00:00"/>
    <d v="2022-08-21T00:00:00"/>
    <x v="5"/>
    <d v="2022-08-21T00:00:00"/>
    <x v="5"/>
    <n v="75987.23"/>
    <n v="0"/>
  </r>
  <r>
    <s v="611.2022.20.2.00040"/>
    <s v="IMMO"/>
    <n v="14108"/>
    <d v="2021-07-14T00:00:00"/>
    <n v="2021"/>
    <d v="2021-07-14T00:00:00"/>
    <d v="2039-07-09T00:00:00"/>
    <d v="2021-09-28T00:00:00"/>
    <x v="4"/>
    <d v="2022-05-16T00:00:00"/>
    <x v="5"/>
    <n v="487153.8"/>
    <n v="1"/>
  </r>
  <r>
    <s v="611.2022.20.2.00041"/>
    <s v="CONSO"/>
    <n v="4655"/>
    <d v="2019-12-23T00:00:00"/>
    <n v="2019"/>
    <d v="2019-12-15T00:00:00"/>
    <d v="2022-12-13T00:00:00"/>
    <d v="2022-02-01T00:00:00"/>
    <x v="5"/>
    <d v="2022-05-22T00:00:00"/>
    <x v="5"/>
    <n v="170559.94"/>
    <n v="0"/>
  </r>
  <r>
    <s v="611,2021,20,2,00001/10171"/>
    <s v="CONSO"/>
    <n v="10171"/>
    <d v="2020-08-04T00:00:00"/>
    <n v="2020"/>
    <d v="2020-08-04T00:00:00"/>
    <d v="2023-08-03T00:00:00"/>
    <d v="2021-07-31T00:00:00"/>
    <x v="4"/>
    <d v="2021-07-31T00:00:00"/>
    <x v="4"/>
    <n v="321624"/>
    <n v="0"/>
  </r>
  <r>
    <s v="611.2022.20.2.00043"/>
    <s v="IMMO"/>
    <n v="3099"/>
    <d v="2018-08-29T00:00:00"/>
    <n v="2018"/>
    <d v="2018-08-17T00:00:00"/>
    <d v="2024-08-16T00:00:00"/>
    <d v="2021-11-15T00:00:00"/>
    <x v="4"/>
    <d v="2022-05-30T00:00:00"/>
    <x v="5"/>
    <n v="201162.98"/>
    <n v="1"/>
  </r>
  <r>
    <s v="611,2021,20,2,00001/1543"/>
    <s v="CONSO"/>
    <n v="1543"/>
    <d v="2018-10-30T00:00:00"/>
    <n v="2018"/>
    <d v="2018-10-31T00:00:00"/>
    <d v="2021-10-29T00:00:00"/>
    <d v="2021-08-11T00:00:00"/>
    <x v="4"/>
    <d v="2021-08-11T00:00:00"/>
    <x v="4"/>
    <n v="50950.15"/>
    <n v="0"/>
  </r>
  <r>
    <s v="611,2022,20,2,00001/5362"/>
    <s v="IMMO"/>
    <n v="5362"/>
    <d v="2019-04-24T00:00:00"/>
    <n v="2019"/>
    <d v="2019-04-29T00:00:00"/>
    <d v="2046-04-21T00:00:00"/>
    <d v="2022-04-25T00:00:00"/>
    <x v="5"/>
    <d v="2022-06-14T00:00:00"/>
    <x v="5"/>
    <n v="5162536.9400000004"/>
    <n v="0"/>
  </r>
  <r>
    <s v="611,2020,20,2,00001/894"/>
    <s v="CONSO"/>
    <n v="894"/>
    <d v="2018-06-11T00:00:00"/>
    <n v="2018"/>
    <d v="2018-06-11T00:00:00"/>
    <d v="2023-06-10T00:00:00"/>
    <d v="2020-11-07T00:00:00"/>
    <x v="2"/>
    <d v="2020-11-07T00:00:00"/>
    <x v="2"/>
    <n v="1060540.43"/>
    <n v="0"/>
  </r>
  <r>
    <s v="611.2022.20.2.00047"/>
    <s v="IMMO"/>
    <n v="12567"/>
    <d v="2021-04-01T00:00:00"/>
    <n v="2021"/>
    <d v="2021-04-05T00:00:00"/>
    <d v="2054-04-03T00:00:00"/>
    <d v="2021-08-07T00:00:00"/>
    <x v="4"/>
    <d v="2022-06-14T00:00:00"/>
    <x v="5"/>
    <n v="1408143.2"/>
    <n v="1"/>
  </r>
  <r>
    <s v="611.2022.20.2.00062"/>
    <s v="CONSO"/>
    <n v="1643"/>
    <d v="2018-11-18T00:00:00"/>
    <n v="2018"/>
    <d v="2018-09-27T00:00:00"/>
    <d v="2023-09-25T00:00:00"/>
    <d v="2022-05-10T00:00:00"/>
    <x v="5"/>
    <d v="2022-10-20T00:00:00"/>
    <x v="5"/>
    <n v="394347.5877192982"/>
    <n v="0"/>
  </r>
  <r>
    <s v="611,2022,20,2,00001/5124"/>
    <s v="IMMO"/>
    <n v="5124"/>
    <d v="2019-04-03T00:00:00"/>
    <n v="2019"/>
    <d v="2018-10-29T00:00:00"/>
    <d v="2028-10-25T00:00:00"/>
    <d v="2022-07-03T00:00:00"/>
    <x v="5"/>
    <d v="2022-07-03T00:00:00"/>
    <x v="5"/>
    <n v="987313.54"/>
    <n v="0"/>
  </r>
  <r>
    <s v="611,2022,20,2,00001/4253"/>
    <s v="IMMO"/>
    <n v="4253"/>
    <d v="2019-01-10T00:00:00"/>
    <n v="2019"/>
    <d v="2019-01-10T00:00:00"/>
    <d v="2025-01-05T00:00:00"/>
    <d v="2022-07-20T00:00:00"/>
    <x v="5"/>
    <d v="2022-07-20T00:00:00"/>
    <x v="5"/>
    <n v="3593675.56"/>
    <n v="0"/>
  </r>
  <r>
    <s v="611.2022.20.2.00054"/>
    <s v="IMMO"/>
    <n v="14372"/>
    <d v="2021-08-09T00:00:00"/>
    <n v="2021"/>
    <d v="2021-08-11T00:00:00"/>
    <d v="2034-08-10T00:00:00"/>
    <d v="2022-08-07T00:00:00"/>
    <x v="5"/>
    <d v="2022-08-21T00:00:00"/>
    <x v="5"/>
    <n v="8268369.4199999999"/>
    <n v="0"/>
  </r>
  <r>
    <s v="611.2023.20.2.00019"/>
    <s v="CONSO"/>
    <n v="9658"/>
    <d v="2020-03-05T00:00:00"/>
    <n v="2020"/>
    <d v="2020-03-08T00:00:00"/>
    <d v="2023-03-07T00:00:00"/>
    <d v="2022-07-29T00:00:00"/>
    <x v="5"/>
    <d v="2023-04-03T00:00:00"/>
    <x v="6"/>
    <n v="37372.029250457032"/>
    <n v="1"/>
  </r>
  <r>
    <s v="611,2022,20,2,00001/11609"/>
    <s v="CONSO"/>
    <n v="11609"/>
    <d v="2021-02-17T00:00:00"/>
    <n v="2021"/>
    <d v="2021-02-17T00:00:00"/>
    <d v="2024-02-16T00:00:00"/>
    <d v="2022-06-10T00:00:00"/>
    <x v="5"/>
    <d v="2022-06-10T00:00:00"/>
    <x v="5"/>
    <n v="380914.2138939671"/>
    <n v="0"/>
  </r>
  <r>
    <s v="611.2022.20.2.00058"/>
    <s v="CONSO"/>
    <n v="13534"/>
    <d v="2021-08-26T00:00:00"/>
    <n v="2021"/>
    <d v="2021-08-26T00:00:00"/>
    <d v="2024-08-25T00:00:00"/>
    <d v="2022-04-02T00:00:00"/>
    <x v="5"/>
    <d v="2022-09-07T00:00:00"/>
    <x v="5"/>
    <n v="258310.6"/>
    <n v="0"/>
  </r>
  <r>
    <s v="611.2022.20.2.00053"/>
    <s v="IMMO"/>
    <n v="230"/>
    <d v="2017-05-30T00:00:00"/>
    <n v="2017"/>
    <d v="2017-05-25T00:00:00"/>
    <d v="2026-05-24T00:00:00"/>
    <d v="2022-08-05T00:00:00"/>
    <x v="5"/>
    <d v="2022-08-18T00:00:00"/>
    <x v="5"/>
    <n v="1010236.99"/>
    <n v="0"/>
  </r>
  <r>
    <s v="611,2022,20,2,00001/16145"/>
    <s v="IMMO"/>
    <n v="16145"/>
    <d v="2021-12-15T00:00:00"/>
    <n v="2021"/>
    <d v="2021-12-19T00:00:00"/>
    <d v="2032-12-18T00:00:00"/>
    <d v="2022-08-29T00:00:00"/>
    <x v="5"/>
    <d v="2022-08-29T00:00:00"/>
    <x v="5"/>
    <n v="10674410.99"/>
    <n v="0"/>
  </r>
  <r>
    <s v="611.2022.20.2.00056"/>
    <s v="IMMO"/>
    <n v="8829"/>
    <d v="2020-06-16T00:00:00"/>
    <n v="2020"/>
    <d v="2020-06-21T00:00:00"/>
    <d v="2055-06-20T00:00:00"/>
    <d v="2022-08-16T00:00:00"/>
    <x v="5"/>
    <d v="2022-09-06T00:00:00"/>
    <x v="5"/>
    <n v="1153134.2"/>
    <n v="0"/>
  </r>
  <r>
    <s v="611,2022,20,2,00001/1207"/>
    <s v="IMMO"/>
    <n v="1207"/>
    <d v="2017-11-27T00:00:00"/>
    <n v="2017"/>
    <d v="2017-11-27T00:00:00"/>
    <d v="2044-11-27T00:00:00"/>
    <d v="2022-08-14T00:00:00"/>
    <x v="5"/>
    <d v="2022-08-14T00:00:00"/>
    <x v="5"/>
    <n v="4927319.5599999996"/>
    <n v="0"/>
  </r>
  <r>
    <s v="611,2022,20,2,00059"/>
    <s v="IMMO"/>
    <n v="3376"/>
    <d v="2018-10-08T00:00:00"/>
    <n v="2018"/>
    <d v="2018-10-08T00:00:00"/>
    <d v="2050-09-29T00:00:00"/>
    <d v="2022-09-04T00:00:00"/>
    <x v="5"/>
    <d v="2023-12-17T00:00:00"/>
    <x v="6"/>
    <n v="6305104.54"/>
    <n v="1"/>
  </r>
  <r>
    <s v="611.2022.20.2.00060"/>
    <s v="IMMO"/>
    <n v="16153"/>
    <d v="2021-12-15T00:00:00"/>
    <n v="2021"/>
    <d v="2021-12-16T00:00:00"/>
    <d v="2030-12-15T00:00:00"/>
    <d v="2022-09-22T00:00:00"/>
    <x v="5"/>
    <d v="2022-09-28T00:00:00"/>
    <x v="5"/>
    <n v="4575798.28"/>
    <n v="0"/>
  </r>
  <r>
    <s v="611,2022,20,2,00001/1952"/>
    <s v="IMMO"/>
    <n v="1952"/>
    <d v="2018-03-26T00:00:00"/>
    <n v="2018"/>
    <d v="2017-09-30T00:00:00"/>
    <d v="2023-09-29T00:00:00"/>
    <d v="2022-09-16T00:00:00"/>
    <x v="5"/>
    <d v="2022-09-16T00:00:00"/>
    <x v="5"/>
    <n v="162090.81"/>
    <n v="0"/>
  </r>
  <r>
    <s v="611.2022.20.2.00064"/>
    <s v="IMMO"/>
    <n v="3578"/>
    <d v="2018-08-31T00:00:00"/>
    <n v="2018"/>
    <d v="2018-11-30T00:00:00"/>
    <d v="2036-11-24T00:00:00"/>
    <d v="2021-01-26T00:00:00"/>
    <x v="4"/>
    <d v="2022-10-31T00:00:00"/>
    <x v="5"/>
    <n v="947235.63010960573"/>
    <n v="1"/>
  </r>
  <r>
    <s v="611,2022,20,2,00001/15602"/>
    <s v="CONSO"/>
    <n v="15602"/>
    <d v="2022-02-24T00:00:00"/>
    <n v="2022"/>
    <d v="2022-02-28T00:00:00"/>
    <d v="2015-02-27T00:00:00"/>
    <d v="2022-10-26T00:00:00"/>
    <x v="5"/>
    <d v="2022-10-26T00:00:00"/>
    <x v="5"/>
    <n v="343508.65"/>
    <n v="0"/>
  </r>
  <r>
    <s v="611,2022,20,2,00001/584"/>
    <s v="AC-ELITE"/>
    <n v="584"/>
    <d v="2022-07-21T00:00:00"/>
    <n v="2022"/>
    <d v="2022-07-21T00:00:00"/>
    <d v="2023-07-20T00:00:00"/>
    <d v="2022-08-02T00:00:00"/>
    <x v="5"/>
    <d v="2022-08-02T00:00:00"/>
    <x v="5"/>
    <n v="1000000"/>
    <n v="0"/>
  </r>
  <r>
    <s v="611,2022,20,2,00001/1931"/>
    <s v="IMMO"/>
    <n v="1931"/>
    <d v="2022-03-22T00:00:00"/>
    <n v="2022"/>
    <d v="2022-03-22T00:00:00"/>
    <d v="2037-03-21T00:00:00"/>
    <d v="2022-11-13T00:00:00"/>
    <x v="5"/>
    <d v="2023-09-22T00:00:00"/>
    <x v="6"/>
    <n v="1430089.7516611903"/>
    <n v="1"/>
  </r>
  <r>
    <s v="611.2022.20.2.00071"/>
    <s v="CONSO"/>
    <n v="66390"/>
    <d v="2020-07-27T00:00:00"/>
    <n v="2020"/>
    <d v="2020-07-27T00:00:00"/>
    <d v="2023-07-26T00:00:00"/>
    <d v="2022-10-16T00:00:00"/>
    <x v="5"/>
    <d v="2022-11-29T00:00:00"/>
    <x v="5"/>
    <n v="179782.03"/>
    <n v="0"/>
  </r>
  <r>
    <s v="611.2022.20.2.00076"/>
    <s v="IMMO"/>
    <n v="16952"/>
    <d v="2022-02-07T00:00:00"/>
    <n v="2022"/>
    <d v="2022-02-07T00:00:00"/>
    <d v="2034-02-06T00:00:00"/>
    <d v="2022-10-31T00:00:00"/>
    <x v="5"/>
    <d v="2022-12-14T00:00:00"/>
    <x v="5"/>
    <n v="689938.86"/>
    <n v="0"/>
  </r>
  <r>
    <s v="611.2022.20.2.00074"/>
    <s v="IMMO"/>
    <n v="1684"/>
    <d v="2018-02-06T00:00:00"/>
    <n v="2018"/>
    <d v="2018-02-07T00:00:00"/>
    <d v="2043-02-06T00:00:00"/>
    <d v="2022-09-21T00:00:00"/>
    <x v="5"/>
    <d v="2022-12-07T00:00:00"/>
    <x v="5"/>
    <n v="1608275.71"/>
    <n v="0"/>
  </r>
  <r>
    <s v="611.2022.20.2.00077"/>
    <s v="CONSO"/>
    <n v="16984"/>
    <d v="2022-06-07T00:00:00"/>
    <n v="2022"/>
    <d v="2022-06-07T00:00:00"/>
    <d v="2024-06-06T00:00:00"/>
    <d v="2022-08-22T00:00:00"/>
    <x v="5"/>
    <d v="2022-12-18T00:00:00"/>
    <x v="5"/>
    <n v="385000"/>
    <n v="0"/>
  </r>
  <r>
    <s v="611,2022,20,2,00001/16677"/>
    <s v="IMMO"/>
    <n v="16677"/>
    <d v="2022-01-18T00:00:00"/>
    <n v="2022"/>
    <d v="2018-01-18T00:00:00"/>
    <d v="2034-01-17T00:00:00"/>
    <d v="2022-10-07T00:00:00"/>
    <x v="5"/>
    <d v="2025-06-10T00:00:00"/>
    <x v="7"/>
    <n v="1609695.3523874723"/>
    <n v="3"/>
  </r>
  <r>
    <s v="611,2022,20,2,00001/14821"/>
    <s v="CONSO"/>
    <n v="14821"/>
    <d v="2021-12-15T00:00:00"/>
    <n v="2021"/>
    <d v="2021-12-15T00:00:00"/>
    <d v="2024-03-17T00:00:00"/>
    <d v="2022-11-10T00:00:00"/>
    <x v="5"/>
    <d v="2022-12-04T00:00:00"/>
    <x v="5"/>
    <n v="356065.20656136092"/>
    <n v="0"/>
  </r>
  <r>
    <s v="611,2022,20,2,00001/14423"/>
    <s v="IMMO"/>
    <n v="14423"/>
    <d v="2021-08-15T00:00:00"/>
    <n v="2021"/>
    <d v="2021-08-17T00:00:00"/>
    <d v="2024-11-10T00:00:00"/>
    <d v="2022-10-29T00:00:00"/>
    <x v="5"/>
    <d v="2023-06-04T00:00:00"/>
    <x v="6"/>
    <n v="418216.5"/>
    <n v="1"/>
  </r>
  <r>
    <s v="611,2022,20,2,00001/13416"/>
    <s v="IMMO"/>
    <n v="13416"/>
    <d v="2021-05-26T00:00:00"/>
    <n v="2021"/>
    <d v="2021-05-27T00:00:00"/>
    <d v="2044-05-25T00:00:00"/>
    <d v="2022-11-28T00:00:00"/>
    <x v="5"/>
    <d v="2022-11-28T00:00:00"/>
    <x v="5"/>
    <n v="4511921.4800000004"/>
    <n v="0"/>
  </r>
  <r>
    <s v="611,2022,20,2,00001/160063"/>
    <s v="IMMO"/>
    <n v="160063"/>
    <d v="2021-12-09T00:00:00"/>
    <n v="2021"/>
    <d v="2021-12-09T00:00:00"/>
    <d v="2028-12-08T00:00:00"/>
    <d v="2022-11-27T00:00:00"/>
    <x v="5"/>
    <d v="2022-11-27T00:00:00"/>
    <x v="5"/>
    <n v="1392758.66"/>
    <n v="0"/>
  </r>
  <r>
    <s v="611.2022.20.2.00048"/>
    <s v="IMMO"/>
    <n v="2486"/>
    <d v="2018-06-06T00:00:00"/>
    <n v="2018"/>
    <d v="2018-06-14T00:00:00"/>
    <d v="2054-06-13T00:00:00"/>
    <d v="2021-09-23T00:00:00"/>
    <x v="4"/>
    <d v="2022-06-27T00:00:00"/>
    <x v="5"/>
    <n v="1090751.4450867053"/>
    <n v="1"/>
  </r>
  <r>
    <s v="611.2023.20.2.00004"/>
    <s v="CONSO"/>
    <n v="3342"/>
    <d v="2019-05-30T00:00:00"/>
    <n v="2019"/>
    <d v="2019-06-02T00:00:00"/>
    <d v="2022-05-31T00:00:00"/>
    <d v="2021-12-28T00:00:00"/>
    <x v="4"/>
    <d v="2023-01-05T00:00:00"/>
    <x v="6"/>
    <n v="60530.164533820847"/>
    <n v="2"/>
  </r>
  <r>
    <s v="611,2022,20,2,00001/15233"/>
    <s v="CONSO"/>
    <n v="15233"/>
    <d v="2022-01-26T00:00:00"/>
    <n v="2022"/>
    <d v="2026-01-26T00:00:00"/>
    <d v="2025-11-25T00:00:00"/>
    <d v="2022-06-12T00:00:00"/>
    <x v="5"/>
    <d v="2022-06-12T00:00:00"/>
    <x v="5"/>
    <n v="377160.66"/>
    <n v="0"/>
  </r>
  <r>
    <s v="611.2023.20.2.00006"/>
    <s v="CONSO"/>
    <n v="20174"/>
    <d v="2022-08-17T00:00:00"/>
    <n v="2022"/>
    <d v="2022-08-17T00:00:00"/>
    <d v="2022-08-16T00:00:00"/>
    <d v="2023-01-08T00:00:00"/>
    <x v="6"/>
    <d v="2023-01-17T00:00:00"/>
    <x v="6"/>
    <n v="776510.19"/>
    <n v="0"/>
  </r>
  <r>
    <s v="611,2022,20,2,00001/4105"/>
    <s v="IMMO"/>
    <n v="4105"/>
    <d v="2018-12-26T00:00:00"/>
    <n v="2018"/>
    <d v="2018-12-27T00:00:00"/>
    <d v="2028-12-23T00:00:00"/>
    <d v="2022-01-19T00:00:00"/>
    <x v="5"/>
    <d v="2022-01-19T00:00:00"/>
    <x v="5"/>
    <n v="4637918.21"/>
    <n v="0"/>
  </r>
  <r>
    <s v="611.2023.20.2.00007"/>
    <s v="IMMO"/>
    <n v="12198"/>
    <d v="2021-03-14T00:00:00"/>
    <n v="2021"/>
    <d v="2021-03-14T00:00:00"/>
    <d v="2041-03-12T00:00:00"/>
    <d v="2022-12-20T00:00:00"/>
    <x v="5"/>
    <d v="2023-01-24T00:00:00"/>
    <x v="6"/>
    <n v="4743571.9086580863"/>
    <n v="1"/>
  </r>
  <r>
    <s v="611.2023.20.2.00009"/>
    <s v="IMMO"/>
    <n v="8672"/>
    <d v="2020-05-28T00:00:00"/>
    <n v="2020"/>
    <d v="2020-05-31T00:00:00"/>
    <d v="2044-05-29T00:00:00"/>
    <d v="2023-01-22T00:00:00"/>
    <x v="6"/>
    <d v="2023-02-01T00:00:00"/>
    <x v="6"/>
    <n v="2070330.08"/>
    <n v="0"/>
  </r>
  <r>
    <s v="611,2023,20,2,00001/10127"/>
    <s v="CONSO"/>
    <n v="10127"/>
    <d v="2020-07-26T00:00:00"/>
    <n v="2020"/>
    <d v="2020-07-26T00:00:00"/>
    <d v="2023-07-25T00:00:00"/>
    <d v="2023-01-13T00:00:00"/>
    <x v="6"/>
    <d v="2025-09-21T00:00:00"/>
    <x v="7"/>
    <n v="82828.904981718442"/>
    <n v="2"/>
  </r>
  <r>
    <s v="611.2023.20.2.00012"/>
    <s v="IMMO"/>
    <n v="2628"/>
    <d v="2018-06-24T00:00:00"/>
    <n v="2018"/>
    <d v="2018-04-15T00:00:00"/>
    <d v="2040-04-14T00:00:00"/>
    <d v="2022-11-22T00:00:00"/>
    <x v="5"/>
    <d v="2023-02-05T00:00:00"/>
    <x v="6"/>
    <n v="814942.42500808963"/>
    <n v="1"/>
  </r>
  <r>
    <s v="611,2022,20,2,00001/8269"/>
    <s v="IMMO"/>
    <n v="8269"/>
    <d v="2020-09-30T00:00:00"/>
    <n v="2020"/>
    <d v="2020-03-09T00:00:00"/>
    <d v="2029-03-08T00:00:00"/>
    <d v="2022-09-14T00:00:00"/>
    <x v="5"/>
    <d v="2023-02-07T00:00:00"/>
    <x v="6"/>
    <n v="2731029.89"/>
    <n v="1"/>
  </r>
  <r>
    <s v="611.2023.20.2.00014"/>
    <s v="CONSO"/>
    <n v="12138"/>
    <d v="2021-04-04T00:00:00"/>
    <n v="2021"/>
    <d v="2021-04-04T00:00:00"/>
    <d v="2024-04-02T00:00:00"/>
    <d v="2022-11-08T00:00:00"/>
    <x v="5"/>
    <d v="2023-02-21T00:00:00"/>
    <x v="6"/>
    <n v="214473.48"/>
    <n v="1"/>
  </r>
  <r>
    <s v="611,2023,20,2,00001/17763"/>
    <s v="CONSO"/>
    <n v="17763"/>
    <d v="2022-07-20T00:00:00"/>
    <n v="2022"/>
    <d v="2022-08-01T00:00:00"/>
    <d v="2022-07-31T00:00:00"/>
    <d v="2023-03-03T00:00:00"/>
    <x v="6"/>
    <d v="2023-03-03T00:00:00"/>
    <x v="6"/>
    <n v="666600.48"/>
    <n v="0"/>
  </r>
  <r>
    <s v="611.2023.20.2.00016"/>
    <s v="IMMO"/>
    <n v="4266"/>
    <d v="2019-01-10T00:00:00"/>
    <n v="2019"/>
    <d v="2019-01-15T00:00:00"/>
    <d v="2029-01-11T00:00:00"/>
    <d v="2023-03-10T00:00:00"/>
    <x v="6"/>
    <d v="2023-03-29T00:00:00"/>
    <x v="6"/>
    <n v="1101796.6566182515"/>
    <n v="0"/>
  </r>
  <r>
    <s v="611.2023.20.2.00017"/>
    <s v="CONSO"/>
    <n v="10200"/>
    <d v="2020-08-17T00:00:00"/>
    <n v="2020"/>
    <d v="2020-08-20T00:00:00"/>
    <d v="2023-08-22T00:00:00"/>
    <d v="2023-02-27T00:00:00"/>
    <x v="6"/>
    <d v="2023-04-02T00:00:00"/>
    <x v="6"/>
    <n v="103371.19"/>
    <n v="0"/>
  </r>
  <r>
    <s v="611.2023.20.2.00022"/>
    <s v="CONSO"/>
    <n v="14262"/>
    <d v="2021-11-03T00:00:00"/>
    <n v="2021"/>
    <d v="2021-11-03T00:00:00"/>
    <d v="2024-11-02T00:00:00"/>
    <d v="2023-01-23T00:00:00"/>
    <x v="6"/>
    <d v="2023-04-23T00:00:00"/>
    <x v="6"/>
    <n v="308200.91324200918"/>
    <n v="0"/>
  </r>
  <r>
    <s v="611.2023.20.2.00027"/>
    <s v="IMMO"/>
    <n v="7881"/>
    <d v="2020-01-29T00:00:00"/>
    <n v="2020"/>
    <d v="2020-01-31T00:00:00"/>
    <d v="2052-01-29T00:00:00"/>
    <d v="2023-03-30T00:00:00"/>
    <x v="6"/>
    <d v="2023-05-16T00:00:00"/>
    <x v="6"/>
    <n v="3079614.6331713162"/>
    <n v="0"/>
  </r>
  <r>
    <s v="611.2023.20.2.00020"/>
    <s v="IMMO"/>
    <n v="21258"/>
    <d v="2022-10-26T00:00:00"/>
    <n v="2022"/>
    <d v="2022-10-26T00:00:00"/>
    <d v="2051-10-25T00:00:00"/>
    <d v="2023-04-09T00:00:00"/>
    <x v="6"/>
    <d v="2023-04-20T00:00:00"/>
    <x v="6"/>
    <n v="10631743.933528468"/>
    <n v="0"/>
  </r>
  <r>
    <s v="611.2023.20.2.00038"/>
    <s v="IMMO"/>
    <n v="11877"/>
    <d v="2021-02-24T00:00:00"/>
    <n v="2021"/>
    <d v="2021-03-15T00:00:00"/>
    <d v="2034-03-14T00:00:00"/>
    <d v="2022-05-24T00:00:00"/>
    <x v="5"/>
    <d v="2023-06-12T00:00:00"/>
    <x v="6"/>
    <n v="777227.08"/>
    <n v="1"/>
  </r>
  <r>
    <s v="611.2023.20.2.00024"/>
    <s v="IMMO"/>
    <n v="23709"/>
    <d v="2023-02-23T00:00:00"/>
    <n v="2023"/>
    <d v="2023-02-23T00:00:00"/>
    <d v="2027-02-22T00:00:00"/>
    <d v="2023-04-26T00:00:00"/>
    <x v="6"/>
    <d v="2023-05-11T00:00:00"/>
    <x v="6"/>
    <n v="890506.84931506845"/>
    <n v="0"/>
  </r>
  <r>
    <s v="611.2023.20.2.00028"/>
    <s v="IMMO"/>
    <n v="12474"/>
    <d v="2021-03-23T00:00:00"/>
    <n v="2021"/>
    <d v="2021-03-29T00:00:00"/>
    <d v="2047-03-22T00:00:00"/>
    <d v="2023-05-15T00:00:00"/>
    <x v="6"/>
    <d v="2023-05-16T00:00:00"/>
    <x v="6"/>
    <n v="2546910.0669238064"/>
    <n v="0"/>
  </r>
  <r>
    <s v="611.2023.20.2.00026"/>
    <s v="IMMO"/>
    <n v="9669"/>
    <d v="2020-09-09T00:00:00"/>
    <n v="2020"/>
    <d v="2020-09-10T00:00:00"/>
    <d v="2050-09-08T00:00:00"/>
    <d v="2023-05-06T00:00:00"/>
    <x v="6"/>
    <d v="2023-05-16T00:00:00"/>
    <x v="6"/>
    <n v="7056082.1542674582"/>
    <n v="0"/>
  </r>
  <r>
    <s v="611,2023,20,2,00001/21537"/>
    <s v="IMMO"/>
    <n v="21537"/>
    <d v="2022-11-10T00:00:00"/>
    <n v="2022"/>
    <d v="2022-11-10T00:00:00"/>
    <d v="2044-11-09T00:00:00"/>
    <d v="2023-04-06T00:00:00"/>
    <x v="6"/>
    <d v="2023-04-06T00:00:00"/>
    <x v="6"/>
    <n v="1964372.35"/>
    <n v="0"/>
  </r>
  <r>
    <s v="611.2023.20.2.00029"/>
    <s v="CONSO"/>
    <n v="1759"/>
    <d v="2018-12-03T00:00:00"/>
    <n v="2018"/>
    <d v="2018-12-02T00:00:00"/>
    <d v="2023-11-30T00:00:00"/>
    <d v="2023-05-10T00:00:00"/>
    <x v="6"/>
    <d v="2023-05-18T00:00:00"/>
    <x v="6"/>
    <n v="108430.92105263154"/>
    <n v="0"/>
  </r>
  <r>
    <s v="611.2023.20.2.00031"/>
    <s v="IMMO"/>
    <n v="5823"/>
    <d v="2019-06-11T00:00:00"/>
    <n v="2019"/>
    <d v="2019-06-11T00:00:00"/>
    <d v="2044-06-03T00:00:00"/>
    <d v="2023-05-01T00:00:00"/>
    <x v="6"/>
    <d v="2023-05-23T00:00:00"/>
    <x v="6"/>
    <n v="6715471.2541867606"/>
    <n v="0"/>
  </r>
  <r>
    <s v="611.2023.20.2.00031"/>
    <s v="IMMO"/>
    <n v="10609"/>
    <d v="2020-12-01T00:00:00"/>
    <n v="2020"/>
    <d v="2020-12-03T00:00:00"/>
    <d v="2043-12-02T00:00:00"/>
    <d v="2023-05-01T00:00:00"/>
    <x v="6"/>
    <d v="2023-05-23T00:00:00"/>
    <x v="6"/>
    <n v="999944.75018454576"/>
    <n v="0"/>
  </r>
  <r>
    <s v="611,2023,20,2,00001/13805"/>
    <s v="IMMO"/>
    <n v="13805"/>
    <d v="2021-06-23T00:00:00"/>
    <n v="2021"/>
    <d v="2021-06-23T00:00:00"/>
    <d v="2039-06-22T00:00:00"/>
    <d v="2023-05-19T00:00:00"/>
    <x v="6"/>
    <d v="2023-05-25T00:00:00"/>
    <x v="6"/>
    <n v="4207988.66"/>
    <n v="0"/>
  </r>
  <r>
    <s v="611.2023.20.2.00036"/>
    <s v="IMMO"/>
    <n v="11373"/>
    <d v="2021-01-20T00:00:00"/>
    <n v="2021"/>
    <d v="2021-01-20T00:00:00"/>
    <d v="2044-01-19T00:00:00"/>
    <d v="2023-03-27T00:00:00"/>
    <x v="6"/>
    <d v="2023-05-31T00:00:00"/>
    <x v="6"/>
    <n v="4825580.8499999996"/>
    <n v="0"/>
  </r>
  <r>
    <s v="611.2023.20.2.00033"/>
    <s v="CONSO"/>
    <n v="16194"/>
    <d v="2022-04-05T00:00:00"/>
    <n v="2022"/>
    <d v="2022-04-05T00:00:00"/>
    <d v="2025-04-04T00:00:00"/>
    <d v="2022-06-24T00:00:00"/>
    <x v="5"/>
    <d v="2023-05-29T00:00:00"/>
    <x v="6"/>
    <n v="463470.31963470322"/>
    <n v="1"/>
  </r>
  <r>
    <s v="611,2022,20,2,00001/14418"/>
    <s v="CONSO"/>
    <n v="14418"/>
    <d v="2021-11-17T00:00:00"/>
    <n v="2021"/>
    <d v="2021-11-18T00:00:00"/>
    <d v="2024-11-17T00:00:00"/>
    <d v="2022-11-19T00:00:00"/>
    <x v="5"/>
    <d v="2022-11-19T00:00:00"/>
    <x v="5"/>
    <n v="481944.42"/>
    <n v="0"/>
  </r>
  <r>
    <s v="611,2023,20,2,00001/5052"/>
    <s v="AC-ELITE"/>
    <n v="5052"/>
    <d v="2023-01-23T00:00:00"/>
    <n v="2023"/>
    <d v="2023-01-23T00:00:00"/>
    <d v="2024-01-22T00:00:00"/>
    <d v="2023-05-07T00:00:00"/>
    <x v="6"/>
    <d v="2023-06-18T00:00:00"/>
    <x v="6"/>
    <n v="714285.71428571432"/>
    <n v="0"/>
  </r>
  <r>
    <s v="611.2023.20.2.00035"/>
    <s v="CONSO"/>
    <n v="19952"/>
    <d v="2022-11-28T00:00:00"/>
    <n v="2022"/>
    <d v="2022-11-28T00:00:00"/>
    <d v="2025-11-27T00:00:00"/>
    <d v="2023-05-16T00:00:00"/>
    <x v="6"/>
    <d v="2023-05-31T00:00:00"/>
    <x v="6"/>
    <n v="515853.88127853879"/>
    <n v="0"/>
  </r>
  <r>
    <s v="611.2023.20.2.00039"/>
    <s v="CONSO"/>
    <n v="16001"/>
    <d v="2022-03-22T00:00:00"/>
    <n v="2022"/>
    <d v="2022-03-23T00:00:00"/>
    <d v="2025-03-22T00:00:00"/>
    <d v="2023-04-28T00:00:00"/>
    <x v="6"/>
    <d v="2023-06-18T00:00:00"/>
    <x v="6"/>
    <n v="253414.57534246575"/>
    <n v="0"/>
  </r>
  <r>
    <s v="611.2023.20.2.00040"/>
    <s v="IMMO"/>
    <n v="14983"/>
    <d v="2021-09-29T00:00:00"/>
    <n v="2021"/>
    <d v="2021-09-30T00:00:00"/>
    <d v="2059-09-29T00:00:00"/>
    <d v="2023-01-15T00:00:00"/>
    <x v="6"/>
    <d v="2023-11-30T00:00:00"/>
    <x v="6"/>
    <n v="2197800"/>
    <n v="0"/>
  </r>
  <r>
    <s v="611.2023.20.2.00042"/>
    <s v="CONSO"/>
    <n v="12904"/>
    <d v="2021-06-15T00:00:00"/>
    <n v="2021"/>
    <d v="2021-06-15T00:00:00"/>
    <d v="2024-06-13T00:00:00"/>
    <d v="2023-03-26T00:00:00"/>
    <x v="6"/>
    <d v="2023-07-23T00:00:00"/>
    <x v="6"/>
    <n v="284734.91773308959"/>
    <n v="0"/>
  </r>
  <r>
    <s v="611.2023.20.2.00043"/>
    <s v="CONSO"/>
    <n v="13570"/>
    <d v="2021-08-30T00:00:00"/>
    <n v="2021"/>
    <d v="2021-08-31T00:00:00"/>
    <d v="2024-08-30T00:00:00"/>
    <d v="2023-05-14T00:00:00"/>
    <x v="6"/>
    <d v="2023-07-30T00:00:00"/>
    <x v="6"/>
    <n v="179643.83561643836"/>
    <n v="0"/>
  </r>
  <r>
    <s v="611.2023.20.2.00057"/>
    <s v="CONSO"/>
    <n v="11592"/>
    <d v="2021-02-16T00:00:00"/>
    <n v="2021"/>
    <d v="2021-02-17T00:00:00"/>
    <d v="2024-02-16T00:00:00"/>
    <d v="2023-07-14T00:00:00"/>
    <x v="6"/>
    <d v="2023-08-22T00:00:00"/>
    <x v="6"/>
    <n v="67440.585009140748"/>
    <n v="0"/>
  </r>
  <r>
    <s v="611.2023.20.2.00044"/>
    <s v="IMMO"/>
    <n v="9959"/>
    <d v="2020-10-07T00:00:00"/>
    <n v="2020"/>
    <d v="2020-10-07T00:00:00"/>
    <d v="2055-10-06T00:00:00"/>
    <d v="2023-07-13T00:00:00"/>
    <x v="6"/>
    <d v="2023-08-22T00:00:00"/>
    <x v="6"/>
    <n v="9074587.6799999997"/>
    <n v="0"/>
  </r>
  <r>
    <s v="611.2023.20.2.00045"/>
    <s v="CONSO"/>
    <n v="17894"/>
    <d v="2022-07-28T00:00:00"/>
    <n v="2022"/>
    <d v="2022-07-28T00:00:00"/>
    <d v="2025-07-27T00:00:00"/>
    <d v="2023-07-10T00:00:00"/>
    <x v="6"/>
    <d v="2023-08-23T00:00:00"/>
    <x v="6"/>
    <n v="173508.67579908675"/>
    <n v="0"/>
  </r>
  <r>
    <s v="611.2023.20.2.00046"/>
    <s v="IMMO"/>
    <n v="12594"/>
    <d v="2021-04-04T00:00:00"/>
    <n v="2021"/>
    <d v="2021-04-05T00:00:00"/>
    <d v="2048-04-03T00:00:00"/>
    <d v="2023-01-26T00:00:00"/>
    <x v="6"/>
    <d v="2023-08-29T00:00:00"/>
    <x v="6"/>
    <n v="1629273.3839898582"/>
    <n v="0"/>
  </r>
  <r>
    <s v="611.2023.20.2.00056"/>
    <s v="CONSO"/>
    <n v="27262"/>
    <d v="2023-06-27T00:00:00"/>
    <n v="2023"/>
    <d v="2023-06-27T00:00:00"/>
    <d v="2026-06-26T00:00:00"/>
    <d v="2023-07-12T00:00:00"/>
    <x v="6"/>
    <d v="2023-09-06T00:00:00"/>
    <x v="6"/>
    <n v="295890.41095890407"/>
    <n v="0"/>
  </r>
  <r>
    <s v="611.2023.20.2.00047"/>
    <s v="CONSO"/>
    <n v="24320"/>
    <d v="2023-04-13T00:00:00"/>
    <n v="2023"/>
    <d v="2023-04-13T00:00:00"/>
    <d v="2026-04-12T00:00:00"/>
    <d v="2023-09-01T00:00:00"/>
    <x v="6"/>
    <d v="2023-09-10T00:00:00"/>
    <x v="6"/>
    <n v="287506.84931506851"/>
    <n v="0"/>
  </r>
  <r>
    <s v="611,2023,20,2,00001/14075"/>
    <s v="CONSO"/>
    <n v="14075"/>
    <d v="2021-10-20T00:00:00"/>
    <n v="2021"/>
    <d v="2021-10-24T00:00:00"/>
    <d v="2024-10-23T00:00:00"/>
    <d v="2023-07-14T00:00:00"/>
    <x v="6"/>
    <d v="2023-07-14T00:00:00"/>
    <x v="6"/>
    <n v="426057.53424657532"/>
    <n v="0"/>
  </r>
  <r>
    <s v="611,2023,20,2,00001/22406"/>
    <s v="IMMO"/>
    <n v="22406"/>
    <d v="2022-12-25T00:00:00"/>
    <n v="2022"/>
    <d v="2022-12-25T00:00:00"/>
    <d v="2039-12-24T00:00:00"/>
    <d v="2023-10-04T00:00:00"/>
    <x v="6"/>
    <d v="2023-10-04T00:00:00"/>
    <x v="6"/>
    <n v="1980000"/>
    <n v="0"/>
  </r>
  <r>
    <s v="611,2023,20,2,00001/18488"/>
    <s v="IMMO"/>
    <n v="18488"/>
    <d v="2022-05-18T00:00:00"/>
    <n v="2022"/>
    <d v="2022-06-01T00:00:00"/>
    <d v="2039-05-31T00:00:00"/>
    <d v="2023-10-04T00:00:00"/>
    <x v="6"/>
    <d v="2023-10-04T00:00:00"/>
    <x v="6"/>
    <n v="8500000"/>
    <n v="0"/>
  </r>
  <r>
    <s v="611.2023.20.2.00051"/>
    <s v="CONSO"/>
    <n v="26056"/>
    <d v="2023-06-01T00:00:00"/>
    <n v="2023"/>
    <d v="2023-06-01T00:00:00"/>
    <d v="2026-05-31T00:00:00"/>
    <d v="2023-06-07T00:00:00"/>
    <x v="6"/>
    <d v="2023-09-20T00:00:00"/>
    <x v="6"/>
    <n v="636493.15068493155"/>
    <n v="0"/>
  </r>
  <r>
    <s v="611.2023.20.2.00052"/>
    <s v="IMMO"/>
    <n v="6115"/>
    <d v="2019-07-10T00:00:00"/>
    <n v="2019"/>
    <d v="2019-07-10T00:00:00"/>
    <d v="2049-07-08T00:00:00"/>
    <d v="2023-08-26T00:00:00"/>
    <x v="6"/>
    <d v="2023-09-24T00:00:00"/>
    <x v="6"/>
    <n v="849970.66"/>
    <n v="0"/>
  </r>
  <r>
    <s v="611,2023,20,2,00001/3289"/>
    <s v="IMMO"/>
    <n v="3289"/>
    <d v="2018-09-30T00:00:00"/>
    <n v="2018"/>
    <d v="2018-09-30T00:00:00"/>
    <d v="2048-09-21T00:00:00"/>
    <d v="2023-09-16T00:00:00"/>
    <x v="6"/>
    <d v="2023-12-18T00:00:00"/>
    <x v="6"/>
    <n v="1375759.93"/>
    <n v="0"/>
  </r>
  <r>
    <s v="611.2023.20.2.00055"/>
    <s v="CONSO"/>
    <n v="22150"/>
    <d v="2023-02-09T00:00:00"/>
    <n v="2023"/>
    <d v="2023-02-09T00:00:00"/>
    <d v="2026-02-08T00:00:00"/>
    <d v="2023-10-05T00:00:00"/>
    <x v="6"/>
    <d v="2023-10-16T00:00:00"/>
    <x v="6"/>
    <n v="305924.40000000002"/>
    <n v="0"/>
  </r>
  <r>
    <s v="611,2023,20,2,00001/3956"/>
    <s v="IMMO"/>
    <n v="3956"/>
    <d v="2018-12-16T00:00:00"/>
    <n v="2018"/>
    <d v="2018-12-16T00:00:00"/>
    <d v="2041-12-09T00:00:00"/>
    <d v="2023-07-10T00:00:00"/>
    <x v="6"/>
    <d v="2023-07-10T00:00:00"/>
    <x v="6"/>
    <n v="2451629.7400000002"/>
    <n v="0"/>
  </r>
  <r>
    <s v="611.2023.20.2.00069"/>
    <s v="CONSO"/>
    <n v="28376"/>
    <d v="2023-07-30T00:00:00"/>
    <n v="2023"/>
    <d v="2023-07-30T00:00:00"/>
    <d v="2026-07-29T00:00:00"/>
    <d v="2023-10-11T00:00:00"/>
    <x v="6"/>
    <d v="2023-10-29T00:00:00"/>
    <x v="6"/>
    <n v="475312.76"/>
    <n v="0"/>
  </r>
  <r>
    <s v="611,2023,20,2,00001/18342"/>
    <s v="IMMO"/>
    <n v="18342"/>
    <d v="2022-05-10T00:00:00"/>
    <n v="2022"/>
    <d v="2022-05-15T00:00:00"/>
    <d v="2052-05-14T00:00:00"/>
    <d v="2023-10-18T00:00:00"/>
    <x v="6"/>
    <d v="2023-10-18T00:00:00"/>
    <x v="6"/>
    <n v="6235616.9800000004"/>
    <n v="0"/>
  </r>
  <r>
    <s v="611.2023.20.2.00072"/>
    <s v="IMMO"/>
    <n v="3563"/>
    <d v="2018-10-29T00:00:00"/>
    <n v="2018"/>
    <d v="2018-10-30T00:00:00"/>
    <d v="2018-10-25T00:00:00"/>
    <d v="2023-05-20T00:00:00"/>
    <x v="6"/>
    <d v="2023-10-31T00:00:00"/>
    <x v="6"/>
    <n v="3064244.79"/>
    <n v="0"/>
  </r>
  <r>
    <s v="611.2023.20.2.00073"/>
    <s v="CONSO"/>
    <n v="17627"/>
    <d v="2022-07-07T00:00:00"/>
    <n v="2022"/>
    <d v="2022-07-07T00:00:00"/>
    <d v="2025-07-06T00:00:00"/>
    <d v="2023-06-14T00:00:00"/>
    <x v="6"/>
    <d v="2023-11-02T00:00:00"/>
    <x v="6"/>
    <n v="333726.88"/>
    <n v="0"/>
  </r>
  <r>
    <s v="611.2023.20.2.00074"/>
    <s v="IMMO"/>
    <n v="24186"/>
    <d v="2023-03-19T00:00:00"/>
    <n v="2023"/>
    <d v="2023-03-19T00:00:00"/>
    <d v="2047-03-18T00:00:00"/>
    <d v="2023-09-16T00:00:00"/>
    <x v="6"/>
    <d v="2023-11-05T00:00:00"/>
    <x v="6"/>
    <n v="10576976.611523103"/>
    <n v="0"/>
  </r>
  <r>
    <s v="611,2023,20,2,00001/6475"/>
    <s v="IMMO"/>
    <n v="6475"/>
    <d v="2019-08-29T00:00:00"/>
    <n v="2019"/>
    <d v="2019-08-29T00:00:00"/>
    <d v="2041-08-22T00:00:00"/>
    <d v="2023-11-20T00:00:00"/>
    <x v="6"/>
    <d v="2023-11-20T00:00:00"/>
    <x v="6"/>
    <n v="3107643.32"/>
    <n v="0"/>
  </r>
  <r>
    <s v="611.2023.20.2.00078"/>
    <s v="IMMO"/>
    <n v="20294"/>
    <d v="2022-08-24T00:00:00"/>
    <n v="2022"/>
    <d v="2022-08-24T00:00:00"/>
    <d v="2032-08-23T00:00:00"/>
    <d v="2023-10-14T00:00:00"/>
    <x v="6"/>
    <d v="2023-11-15T00:00:00"/>
    <x v="6"/>
    <n v="637708.14"/>
    <n v="0"/>
  </r>
  <r>
    <s v="611.2023.20.2.00075"/>
    <s v="IMMO"/>
    <n v="26189"/>
    <d v="2023-07-04T00:00:00"/>
    <n v="2023"/>
    <d v="2023-07-04T00:00:00"/>
    <d v="2063-07-03T00:00:00"/>
    <d v="2023-08-17T00:00:00"/>
    <x v="6"/>
    <d v="2023-11-16T00:00:00"/>
    <x v="6"/>
    <n v="3888253.8161407351"/>
    <n v="0"/>
  </r>
  <r>
    <s v="611.2023.20.2.00079"/>
    <s v="CONSO"/>
    <n v="22850"/>
    <d v="2023-03-02T00:00:00"/>
    <n v="2023"/>
    <d v="2023-03-02T00:00:00"/>
    <d v="2026-03-01T00:00:00"/>
    <d v="2023-07-21T00:00:00"/>
    <x v="6"/>
    <d v="2023-11-19T00:00:00"/>
    <x v="6"/>
    <n v="348333.32"/>
    <n v="0"/>
  </r>
  <r>
    <s v="611.2023.20.2.00081"/>
    <s v="CONSO"/>
    <n v="29841"/>
    <d v="2023-10-08T00:00:00"/>
    <n v="2023"/>
    <d v="2023-10-08T00:00:00"/>
    <d v="2026-11-07T00:00:00"/>
    <d v="2023-10-27T00:00:00"/>
    <x v="6"/>
    <d v="2023-11-21T00:00:00"/>
    <x v="6"/>
    <n v="388334.81349911192"/>
    <n v="0"/>
  </r>
  <r>
    <s v="611.2023.20.2.00082"/>
    <s v="CONSO"/>
    <n v="17475"/>
    <d v="2022-06-29T00:00:00"/>
    <n v="2022"/>
    <d v="2022-08-01T00:00:00"/>
    <d v="2025-07-31T00:00:00"/>
    <d v="2023-08-24T00:00:00"/>
    <x v="6"/>
    <d v="2023-11-26T00:00:00"/>
    <x v="6"/>
    <n v="296578.42922374426"/>
    <n v="0"/>
  </r>
  <r>
    <s v="611,2023,20,2,00001/18232"/>
    <s v="IMMO"/>
    <n v="18232"/>
    <d v="2022-04-27T00:00:00"/>
    <n v="2022"/>
    <d v="2022-04-27T00:00:00"/>
    <d v="2052-04-06T00:00:00"/>
    <d v="2023-11-23T00:00:00"/>
    <x v="6"/>
    <d v="2023-11-23T00:00:00"/>
    <x v="6"/>
    <n v="2072934.8220718661"/>
    <n v="0"/>
  </r>
  <r>
    <s v="611.2023.20.2.00087"/>
    <s v="CONSO"/>
    <n v="20329"/>
    <d v="2022-12-11T00:00:00"/>
    <n v="2022"/>
    <d v="2022-12-12T00:00:00"/>
    <d v="2025-12-11T00:00:00"/>
    <d v="2023-06-11T00:00:00"/>
    <x v="6"/>
    <d v="2023-12-05T00:00:00"/>
    <x v="6"/>
    <n v="376635.01"/>
    <n v="0"/>
  </r>
  <r>
    <s v="611.2023.20.2.00085"/>
    <s v="IMMO"/>
    <n v="26024"/>
    <d v="2023-06-22T00:00:00"/>
    <n v="2023"/>
    <d v="2023-06-22T00:00:00"/>
    <d v="2048-06-21T00:00:00"/>
    <d v="2023-09-13T00:00:00"/>
    <x v="6"/>
    <d v="2023-12-06T00:00:00"/>
    <x v="6"/>
    <n v="3000000"/>
    <n v="0"/>
  </r>
  <r>
    <s v="611,2023,20,2,00001/14065"/>
    <s v="IMMO"/>
    <n v="14065"/>
    <d v="2021-07-12T00:00:00"/>
    <n v="2021"/>
    <d v="2021-07-15T00:00:00"/>
    <d v="2041-07-09T00:00:00"/>
    <d v="2023-11-01T00:00:00"/>
    <x v="6"/>
    <d v="2023-11-01T00:00:00"/>
    <x v="6"/>
    <n v="2103039.2200000002"/>
    <n v="0"/>
  </r>
  <r>
    <s v="611.2023.20.2.00086"/>
    <s v="CONSO"/>
    <n v="16041"/>
    <d v="2022-03-24T00:00:00"/>
    <n v="2022"/>
    <d v="2022-03-24T00:00:00"/>
    <d v="2025-03-23T00:00:00"/>
    <d v="2023-02-12T00:00:00"/>
    <x v="6"/>
    <d v="2023-12-07T00:00:00"/>
    <x v="6"/>
    <n v="351598.17351598176"/>
    <n v="0"/>
  </r>
  <r>
    <s v="611.2023.20.2.00088"/>
    <s v="CONSO"/>
    <n v="2408"/>
    <d v="2019-02-24T00:00:00"/>
    <n v="2019"/>
    <d v="2019-02-25T00:00:00"/>
    <s v="23/0/2024"/>
    <d v="2023-11-22T00:00:00"/>
    <x v="6"/>
    <d v="2023-12-11T00:00:00"/>
    <x v="6"/>
    <n v="88901.29"/>
    <n v="0"/>
  </r>
  <r>
    <s v="611.2023.20.2.00090"/>
    <s v="CONSO"/>
    <n v="15728"/>
    <d v="2022-03-03T00:00:00"/>
    <n v="2022"/>
    <d v="2022-03-30T00:00:00"/>
    <d v="2025-03-29T00:00:00"/>
    <d v="2023-11-09T00:00:00"/>
    <x v="6"/>
    <d v="2023-12-19T00:00:00"/>
    <x v="6"/>
    <n v="388164.38356164377"/>
    <n v="0"/>
  </r>
  <r>
    <s v="611.2023.20.2.00092"/>
    <s v="CONSO"/>
    <n v="22454"/>
    <d v="2023-02-20T00:00:00"/>
    <n v="2023"/>
    <d v="2023-02-20T00:00:00"/>
    <d v="2026-02-19T00:00:00"/>
    <d v="2023-07-07T00:00:00"/>
    <x v="6"/>
    <d v="2023-12-31T00:00:00"/>
    <x v="6"/>
    <n v="294836.52968036529"/>
    <n v="0"/>
  </r>
  <r>
    <s v="611,2024,20,2,00001/18102"/>
    <s v="CONSO"/>
    <n v="18102"/>
    <d v="2022-08-14T00:00:00"/>
    <n v="2022"/>
    <d v="2022-08-15T00:00:00"/>
    <d v="2025-08-14T00:00:00"/>
    <d v="2024-01-01T00:00:00"/>
    <x v="3"/>
    <d v="2024-12-24T00:00:00"/>
    <x v="3"/>
    <n v="452830.1369863014"/>
    <n v="0"/>
  </r>
  <r>
    <s v="611,2024,20,2,00001"/>
    <s v="CONSO"/>
    <n v="16010"/>
    <d v="2022-03-23T00:00:00"/>
    <n v="2022"/>
    <d v="2022-04-27T00:00:00"/>
    <d v="2025-04-26T00:00:00"/>
    <d v="2022-10-06T00:00:00"/>
    <x v="5"/>
    <d v="2024-01-16T00:00:00"/>
    <x v="3"/>
    <n v="357684.08219178079"/>
    <n v="2"/>
  </r>
  <r>
    <s v="611,2024,20,2,00002"/>
    <s v="CONSO"/>
    <n v="18546"/>
    <d v="2022-09-22T00:00:00"/>
    <n v="2022"/>
    <d v="2022-09-22T00:00:00"/>
    <d v="2025-09-21T00:00:00"/>
    <d v="2023-11-04T00:00:00"/>
    <x v="6"/>
    <d v="2024-01-18T00:00:00"/>
    <x v="3"/>
    <n v="242505.35342465751"/>
    <n v="1"/>
  </r>
  <r>
    <s v="611,2024,20,2,00003"/>
    <s v="IMMO"/>
    <n v="22567"/>
    <d v="2022-12-29T00:00:00"/>
    <n v="2022"/>
    <d v="2022-12-29T00:00:00"/>
    <d v="2024-12-28T00:00:00"/>
    <d v="2023-12-29T00:00:00"/>
    <x v="6"/>
    <d v="2024-01-23T00:00:00"/>
    <x v="3"/>
    <n v="300000"/>
    <n v="1"/>
  </r>
  <r>
    <s v="611,2023,20,2,00001/15184"/>
    <s v="IMMO"/>
    <n v="15184"/>
    <d v="2021-10-14T00:00:00"/>
    <n v="2021"/>
    <d v="2021-10-30T00:00:00"/>
    <d v="2029-10-29T00:00:00"/>
    <d v="2023-11-23T00:00:00"/>
    <x v="6"/>
    <d v="2023-11-23T00:00:00"/>
    <x v="6"/>
    <n v="398604.35"/>
    <n v="0"/>
  </r>
  <r>
    <s v="611,2023,20,2,00001/19729"/>
    <s v="CONSO"/>
    <n v="19729"/>
    <d v="2022-11-17T00:00:00"/>
    <n v="2022"/>
    <d v="2022-11-17T00:00:00"/>
    <d v="2025-11-16T00:00:00"/>
    <d v="2023-12-23T00:00:00"/>
    <x v="6"/>
    <d v="2024-01-18T00:00:00"/>
    <x v="3"/>
    <n v="614776.25570776255"/>
    <n v="1"/>
  </r>
  <r>
    <s v="611,2024,20,2,00007"/>
    <s v="CONSO"/>
    <n v="27445"/>
    <d v="2023-07-04T00:00:00"/>
    <n v="2023"/>
    <d v="2023-07-04T00:00:00"/>
    <d v="2026-07-03T00:00:00"/>
    <d v="2024-01-12T00:00:00"/>
    <x v="3"/>
    <d v="2024-02-05T00:00:00"/>
    <x v="3"/>
    <n v="453561.64383561647"/>
    <n v="0"/>
  </r>
  <r>
    <s v="611,2024,20,2,00008"/>
    <s v="CONSO"/>
    <n v="11057"/>
    <d v="2020-12-22T00:00:00"/>
    <n v="2020"/>
    <d v="2020-12-24T00:00:00"/>
    <d v="2023-12-23T00:00:00"/>
    <d v="2022-12-18T00:00:00"/>
    <x v="5"/>
    <d v="2024-02-05T00:00:00"/>
    <x v="3"/>
    <n v="209689.21389396707"/>
    <n v="2"/>
  </r>
  <r>
    <s v="611,2024,20,2,00009"/>
    <s v="IMMO"/>
    <n v="24329"/>
    <d v="2023-03-26T00:00:00"/>
    <n v="2023"/>
    <d v="2023-03-26T00:00:00"/>
    <d v="2043-03-25T00:00:00"/>
    <d v="2024-01-18T00:00:00"/>
    <x v="3"/>
    <d v="2024-02-12T00:00:00"/>
    <x v="3"/>
    <n v="1848500"/>
    <n v="0"/>
  </r>
  <r>
    <s v="611,2024,20,2,00010"/>
    <s v="IMMO"/>
    <n v="12312"/>
    <d v="2021-03-21T00:00:00"/>
    <n v="2021"/>
    <d v="2021-03-25T00:00:00"/>
    <d v="2024-03-23T00:00:00"/>
    <d v="2024-01-23T00:00:00"/>
    <x v="3"/>
    <d v="2024-02-12T00:00:00"/>
    <x v="3"/>
    <n v="153291.28"/>
    <n v="0"/>
  </r>
  <r>
    <s v="611,2024,20,2,00013"/>
    <s v="WARDA"/>
    <n v="504"/>
    <d v="2023-10-18T00:00:00"/>
    <n v="2023"/>
    <d v="2023-10-18T00:00:00"/>
    <d v="2024-10-17T00:00:00"/>
    <d v="2024-01-25T00:00:00"/>
    <x v="3"/>
    <d v="2024-02-15T00:00:00"/>
    <x v="3"/>
    <n v="500000"/>
    <n v="0"/>
  </r>
  <r>
    <s v="611,2024,20,2,00011"/>
    <s v="IMMO"/>
    <n v="10973"/>
    <d v="2020-12-23T00:00:00"/>
    <n v="2020"/>
    <d v="2020-12-30T00:00:00"/>
    <d v="2035-12-26T00:00:00"/>
    <d v="2023-12-29T00:00:00"/>
    <x v="6"/>
    <d v="2024-02-13T00:00:00"/>
    <x v="3"/>
    <n v="3946284.12"/>
    <n v="1"/>
  </r>
  <r>
    <s v="611,2024,20,2,00014"/>
    <s v="IMMO"/>
    <n v="24243"/>
    <d v="2023-03-21T00:00:00"/>
    <n v="2023"/>
    <d v="2023-03-21T00:00:00"/>
    <d v="2028-03-20T00:00:00"/>
    <d v="2024-02-11T00:00:00"/>
    <x v="3"/>
    <d v="2024-02-19T00:00:00"/>
    <x v="3"/>
    <n v="563991.44999999995"/>
    <n v="0"/>
  </r>
  <r>
    <s v="611,2024,20,2,00012"/>
    <s v="IMMO"/>
    <n v="19368"/>
    <d v="2022-06-29T00:00:00"/>
    <n v="2022"/>
    <d v="2022-06-29T00:00:00"/>
    <d v="2052-06-28T00:00:00"/>
    <d v="2024-01-23T00:00:00"/>
    <x v="3"/>
    <d v="2024-02-14T00:00:00"/>
    <x v="3"/>
    <n v="1326464.3095737884"/>
    <n v="0"/>
  </r>
  <r>
    <s v="611,2024,20,2,00017"/>
    <s v="CONSO"/>
    <n v="25238"/>
    <d v="2023-05-14T00:00:00"/>
    <n v="2023"/>
    <d v="2023-05-14T00:00:00"/>
    <d v="2026-05-13T00:00:00"/>
    <d v="2024-03-05T00:00:00"/>
    <x v="3"/>
    <d v="2024-03-06T00:00:00"/>
    <x v="3"/>
    <n v="375808.14"/>
    <n v="0"/>
  </r>
  <r>
    <s v="611,2024,20,2,00018"/>
    <s v="CONSO"/>
    <n v="25227"/>
    <d v="2023-05-14T00:00:00"/>
    <n v="2023"/>
    <d v="2023-05-14T00:00:00"/>
    <d v="2026-05-13T00:00:00"/>
    <d v="2023-08-19T00:00:00"/>
    <x v="6"/>
    <d v="2024-03-07T00:00:00"/>
    <x v="3"/>
    <n v="941176.48"/>
    <n v="1"/>
  </r>
  <r>
    <s v="611,2024,20,2,00019"/>
    <s v="CONSO"/>
    <n v="26338"/>
    <d v="2023-06-08T00:00:00"/>
    <n v="2023"/>
    <d v="2023-06-08T00:00:00"/>
    <d v="2026-06-07T00:00:00"/>
    <d v="2023-12-24T00:00:00"/>
    <x v="6"/>
    <d v="2024-03-07T00:00:00"/>
    <x v="3"/>
    <n v="499141.55251141556"/>
    <n v="1"/>
  </r>
  <r>
    <s v="611,2024,20,2,00023"/>
    <s v="IMMO"/>
    <n v="15305"/>
    <d v="2021-10-25T00:00:00"/>
    <n v="2021"/>
    <d v="2021-10-25T00:00:00"/>
    <d v="2044-10-24T00:00:00"/>
    <d v="2024-02-23T00:00:00"/>
    <x v="3"/>
    <d v="2024-03-07T00:00:00"/>
    <x v="3"/>
    <n v="9247106.2102380954"/>
    <n v="0"/>
  </r>
  <r>
    <s v="611,2024,20,2,00022"/>
    <s v="CONSO"/>
    <n v="13572"/>
    <d v="2021-08-31T00:00:00"/>
    <n v="2021"/>
    <d v="2021-08-31T00:00:00"/>
    <d v="2024-08-30T00:00:00"/>
    <d v="2024-02-05T00:00:00"/>
    <x v="3"/>
    <d v="2024-03-07T00:00:00"/>
    <x v="3"/>
    <n v="53309.589041095889"/>
    <n v="0"/>
  </r>
  <r>
    <s v="611,2024,20,2,00029"/>
    <s v="CONSO"/>
    <n v="26978"/>
    <d v="2023-06-22T00:00:00"/>
    <n v="2023"/>
    <d v="2023-06-22T00:00:00"/>
    <d v="2026-06-21T00:00:00"/>
    <d v="2023-11-12T00:00:00"/>
    <x v="6"/>
    <d v="2024-03-11T00:00:00"/>
    <x v="3"/>
    <n v="426666.68"/>
    <n v="1"/>
  </r>
  <r>
    <s v="611,2024,20,2,00024"/>
    <s v="CONSO"/>
    <n v="20926"/>
    <d v="2022-12-28T00:00:00"/>
    <n v="2022"/>
    <d v="2022-12-29T00:00:00"/>
    <d v="2025-12-28T00:00:00"/>
    <d v="2024-01-15T00:00:00"/>
    <x v="3"/>
    <d v="2024-03-11T00:00:00"/>
    <x v="3"/>
    <n v="325570.77625570772"/>
    <n v="0"/>
  </r>
  <r>
    <s v="611,2024,20,2,00026"/>
    <s v="IMMO"/>
    <n v="19671"/>
    <d v="2022-07-18T00:00:00"/>
    <n v="2022"/>
    <d v="2022-07-18T00:00:00"/>
    <d v="2029-07-17T00:00:00"/>
    <d v="2024-01-15T00:00:00"/>
    <x v="3"/>
    <d v="2024-03-13T00:00:00"/>
    <x v="3"/>
    <n v="2440046"/>
    <n v="0"/>
  </r>
  <r>
    <s v="611,2024,20,2,00028"/>
    <s v="CONSO"/>
    <n v="28967"/>
    <d v="2023-08-17T00:00:00"/>
    <n v="2023"/>
    <d v="2023-08-17T00:00:00"/>
    <d v="2026-08-16T00:00:00"/>
    <d v="2023-12-12T00:00:00"/>
    <x v="6"/>
    <d v="2024-03-14T00:00:00"/>
    <x v="3"/>
    <n v="556650.12"/>
    <n v="1"/>
  </r>
  <r>
    <s v="611,2024,20,2,00030"/>
    <s v="IMMO"/>
    <n v="20891"/>
    <d v="2022-10-02T00:00:00"/>
    <n v="2022"/>
    <d v="2022-10-02T00:00:00"/>
    <d v="2042-10-01T00:00:00"/>
    <d v="2024-03-04T00:00:00"/>
    <x v="3"/>
    <d v="2024-03-18T00:00:00"/>
    <x v="3"/>
    <n v="13177286.66169907"/>
    <n v="0"/>
  </r>
  <r>
    <s v="611,2024,20,2,00031"/>
    <s v="CONSO"/>
    <n v="21768"/>
    <d v="2023-01-31T00:00:00"/>
    <n v="2023"/>
    <d v="2023-02-01T00:00:00"/>
    <d v="2026-01-31T00:00:00"/>
    <d v="2024-01-17T00:00:00"/>
    <x v="3"/>
    <d v="2024-03-19T00:00:00"/>
    <x v="3"/>
    <n v="277777.78999999998"/>
    <n v="0"/>
  </r>
  <r>
    <s v="611,2024,20,2,00033"/>
    <s v="CONSO"/>
    <n v="21441"/>
    <d v="2023-01-23T00:00:00"/>
    <n v="2023"/>
    <d v="2023-01-23T00:00:00"/>
    <d v="2026-01-22T00:00:00"/>
    <d v="2023-12-28T00:00:00"/>
    <x v="6"/>
    <d v="2024-03-26T00:00:00"/>
    <x v="3"/>
    <n v="269260.27397260274"/>
    <n v="1"/>
  </r>
  <r>
    <s v="611,2023,20,2,00001/214404"/>
    <s v="CONSO"/>
    <n v="214404"/>
    <d v="2023-01-22T00:00:00"/>
    <n v="2023"/>
    <d v="2023-01-22T00:00:00"/>
    <d v="2026-01-21T00:00:00"/>
    <d v="2023-12-23T00:00:00"/>
    <x v="6"/>
    <d v="2023-12-23T00:00:00"/>
    <x v="6"/>
    <n v="556111.1"/>
    <n v="0"/>
  </r>
  <r>
    <s v="611,2024,20,2,00035"/>
    <s v="IMMO"/>
    <n v="413"/>
    <d v="2017-07-03T00:00:00"/>
    <n v="2017"/>
    <d v="2017-07-04T00:00:00"/>
    <d v="2043-07-03T00:00:00"/>
    <d v="2024-03-20T00:00:00"/>
    <x v="3"/>
    <d v="2024-03-31T00:00:00"/>
    <x v="3"/>
    <n v="1095106.0723665087"/>
    <n v="0"/>
  </r>
  <r>
    <s v="611,2023,20,2,00001/18722"/>
    <s v="CONSO"/>
    <n v="18722"/>
    <d v="2022-10-03T00:00:00"/>
    <n v="2022"/>
    <d v="2022-10-03T00:00:00"/>
    <d v="2025-10-02T00:00:00"/>
    <d v="2023-06-17T00:00:00"/>
    <x v="6"/>
    <d v="2024-06-26T00:00:00"/>
    <x v="3"/>
    <n v="497442.92237442924"/>
    <n v="1"/>
  </r>
  <r>
    <s v="611,2024,20,2,00001/31077"/>
    <s v="CONSO"/>
    <n v="31077"/>
    <d v="2023-12-06T00:00:00"/>
    <n v="2023"/>
    <d v="2023-12-06T00:00:00"/>
    <d v="2026-12-05T00:00:00"/>
    <d v="2024-03-31T00:00:00"/>
    <x v="3"/>
    <d v="2024-05-20T00:00:00"/>
    <x v="3"/>
    <n v="339744.29223744292"/>
    <n v="0"/>
  </r>
  <r>
    <s v="611,2024,20,2,00039"/>
    <s v="IMMO"/>
    <n v="15098"/>
    <d v="2021-10-11T00:00:00"/>
    <n v="2021"/>
    <d v="2021-10-11T00:00:00"/>
    <d v="2059-10-10T00:00:00"/>
    <d v="2021-11-19T00:00:00"/>
    <x v="4"/>
    <d v="2024-03-31T00:00:00"/>
    <x v="3"/>
    <n v="8436225.6809338517"/>
    <n v="3"/>
  </r>
  <r>
    <s v="611,2024,20,2,00041"/>
    <s v="IMMO"/>
    <n v="574"/>
    <d v="2017-07-30T00:00:00"/>
    <n v="2017"/>
    <d v="2017-07-31T00:00:00"/>
    <d v="2048-07-30T00:00:00"/>
    <d v="2024-03-23T00:00:00"/>
    <x v="3"/>
    <d v="2024-06-27T00:00:00"/>
    <x v="3"/>
    <n v="861595.61821674614"/>
    <n v="0"/>
  </r>
  <r>
    <s v="611,2024,20,2,00043"/>
    <s v="IMMO"/>
    <n v="12395"/>
    <d v="2021-03-24T00:00:00"/>
    <n v="2021"/>
    <d v="2021-03-25T00:00:00"/>
    <d v="2043-03-24T00:00:00"/>
    <d v="2024-04-13T00:00:00"/>
    <x v="3"/>
    <d v="2024-04-23T00:00:00"/>
    <x v="3"/>
    <n v="3864799.05"/>
    <n v="0"/>
  </r>
  <r>
    <s v="611,2024,20,2,00045"/>
    <s v="CONSO"/>
    <n v="13241"/>
    <d v="2021-07-18T00:00:00"/>
    <n v="2021"/>
    <d v="2021-07-18T00:00:00"/>
    <d v="2025-07-16T00:00:00"/>
    <d v="2024-04-10T00:00:00"/>
    <x v="3"/>
    <d v="2024-06-02T00:00:00"/>
    <x v="3"/>
    <n v="183660.04112405758"/>
    <n v="0"/>
  </r>
  <r>
    <s v="611,2024,20,2,00001/18870"/>
    <s v="CONSO"/>
    <n v="18870"/>
    <d v="2022-10-11T00:00:00"/>
    <n v="2022"/>
    <d v="2022-10-11T00:00:00"/>
    <d v="2025-10-10T00:00:00"/>
    <d v="2024-04-21T00:00:00"/>
    <x v="3"/>
    <d v="2024-04-25T00:00:00"/>
    <x v="3"/>
    <n v="392328.76712328766"/>
    <n v="0"/>
  </r>
  <r>
    <s v="611,2024,20,2,00048"/>
    <s v="IMMO"/>
    <n v="19279"/>
    <d v="2022-06-27T00:00:00"/>
    <n v="2022"/>
    <d v="2022-06-27T00:00:00"/>
    <d v="2062-06-26T00:00:00"/>
    <d v="2024-03-06T00:00:00"/>
    <x v="3"/>
    <d v="2024-04-25T00:00:00"/>
    <x v="3"/>
    <n v="7650000"/>
    <n v="0"/>
  </r>
  <r>
    <s v="611,2024,20,2,00001/7463"/>
    <s v="IMMO"/>
    <n v="7463"/>
    <d v="2019-12-23T00:00:00"/>
    <n v="2019"/>
    <d v="2019-12-20T00:00:00"/>
    <d v="2042-12-13T00:00:00"/>
    <d v="2024-04-20T00:00:00"/>
    <x v="3"/>
    <d v="2024-04-22T00:00:00"/>
    <x v="3"/>
    <n v="4108847.4"/>
    <n v="0"/>
  </r>
  <r>
    <s v="611,2024,20,2,00053"/>
    <s v="IMMO"/>
    <n v="11636"/>
    <d v="2021-02-10T00:00:00"/>
    <n v="2021"/>
    <d v="2021-02-15T00:00:00"/>
    <d v="2042-02-14T00:00:00"/>
    <d v="2024-05-09T00:00:00"/>
    <x v="3"/>
    <d v="2025-02-06T00:00:00"/>
    <x v="7"/>
    <n v="7539917.655496154"/>
    <n v="1"/>
  </r>
  <r>
    <s v="611,2024,20,2,00054"/>
    <s v="IMMO"/>
    <n v="16501"/>
    <d v="2022-01-03T00:00:00"/>
    <n v="2022"/>
    <d v="2022-01-04T00:00:00"/>
    <d v="2054-01-03T00:00:00"/>
    <d v="2024-05-14T00:00:00"/>
    <x v="3"/>
    <d v="2024-07-23T00:00:00"/>
    <x v="3"/>
    <n v="10137781.630000001"/>
    <n v="0"/>
  </r>
  <r>
    <s v="611,2024,20,2,00057"/>
    <s v="IMMO"/>
    <n v="15669"/>
    <d v="2021-11-17T00:00:00"/>
    <n v="2021"/>
    <d v="2021-12-02T00:00:00"/>
    <d v="2038-12-01T00:00:00"/>
    <d v="2024-05-15T00:00:00"/>
    <x v="3"/>
    <d v="2025-10-22T00:00:00"/>
    <x v="7"/>
    <n v="8535495.396262886"/>
    <n v="1"/>
  </r>
  <r>
    <s v="611,2024,20,2,00001/26872"/>
    <s v="IMMO"/>
    <n v="26872"/>
    <d v="2023-08-10T00:00:00"/>
    <n v="2023"/>
    <d v="2023-08-10T00:00:00"/>
    <d v="2056-08-09T00:00:00"/>
    <d v="2024-05-23T00:00:00"/>
    <x v="3"/>
    <d v="2024-05-23T00:00:00"/>
    <x v="3"/>
    <n v="9357012.4299999997"/>
    <n v="0"/>
  </r>
  <r>
    <s v="611,2024,20,2,00061"/>
    <s v="IMMO"/>
    <n v="13644"/>
    <d v="2021-06-13T00:00:00"/>
    <n v="2021"/>
    <d v="2021-06-15T00:00:00"/>
    <d v="2061-06-13T00:00:00"/>
    <d v="2023-07-08T00:00:00"/>
    <x v="6"/>
    <d v="2024-06-04T00:00:00"/>
    <x v="3"/>
    <n v="7113396.7688937569"/>
    <n v="1"/>
  </r>
  <r>
    <s v="611,2024,20,2,00062"/>
    <s v="IMMO"/>
    <n v="21832"/>
    <d v="2022-11-28T00:00:00"/>
    <n v="2022"/>
    <d v="2022-11-29T00:00:00"/>
    <d v="2047-11-28T00:00:00"/>
    <d v="2023-05-03T00:00:00"/>
    <x v="6"/>
    <d v="2024-05-27T00:00:00"/>
    <x v="3"/>
    <n v="964712.40859802859"/>
    <n v="1"/>
  </r>
  <r>
    <s v="611,2024,20,2,00063"/>
    <s v="CONSO"/>
    <n v="17931"/>
    <d v="2022-08-01T00:00:00"/>
    <n v="2022"/>
    <d v="2022-08-02T00:00:00"/>
    <d v="2025-08-01T00:00:00"/>
    <d v="2024-06-12T00:00:00"/>
    <x v="3"/>
    <d v="2024-06-20T00:00:00"/>
    <x v="3"/>
    <n v="185468.91"/>
    <n v="0"/>
  </r>
  <r>
    <s v="611,2024,20,2,00064"/>
    <s v="IMMO"/>
    <n v="19263"/>
    <d v="2022-06-27T00:00:00"/>
    <n v="2022"/>
    <d v="2022-06-27T00:00:00"/>
    <d v="2036-06-26T00:00:00"/>
    <d v="2024-06-15T00:00:00"/>
    <x v="3"/>
    <d v="2024-06-15T00:00:00"/>
    <x v="3"/>
    <n v="9753528.0037160181"/>
    <n v="0"/>
  </r>
  <r>
    <s v="611,2024,20,2,00065"/>
    <s v="IMMO"/>
    <n v="3815"/>
    <d v="2018-11-29T00:00:00"/>
    <n v="2018"/>
    <d v="2018-11-29T00:00:00"/>
    <d v="2034-11-24T00:00:00"/>
    <d v="2023-05-31T00:00:00"/>
    <x v="6"/>
    <d v="2025-02-09T00:00:00"/>
    <x v="7"/>
    <n v="581212.17059427977"/>
    <n v="2"/>
  </r>
  <r>
    <s v="611,2024,20,2,00068"/>
    <s v="CONSO"/>
    <n v="22260"/>
    <d v="2023-02-14T00:00:00"/>
    <n v="2023"/>
    <d v="2023-02-28T00:00:00"/>
    <d v="2026-02-27T00:00:00"/>
    <d v="2024-05-03T00:00:00"/>
    <x v="3"/>
    <d v="2025-05-13T00:00:00"/>
    <x v="7"/>
    <n v="492525.11415525118"/>
    <n v="1"/>
  </r>
  <r>
    <s v="611,2024,20,2,00069"/>
    <s v="CONSO"/>
    <n v="11632"/>
    <d v="2021-02-21T00:00:00"/>
    <n v="2021"/>
    <d v="2021-02-21T00:00:00"/>
    <d v="2024-02-20T00:00:00"/>
    <d v="2024-07-01T00:00:00"/>
    <x v="3"/>
    <d v="2024-07-25T00:00:00"/>
    <x v="3"/>
    <n v="400000"/>
    <n v="0"/>
  </r>
  <r>
    <s v="611,2024,20,2,00070"/>
    <s v="CONSO"/>
    <n v="23435"/>
    <d v="2023-03-20T00:00:00"/>
    <n v="2023"/>
    <d v="2023-03-20T00:00:00"/>
    <d v="2026-03-19T00:00:00"/>
    <d v="2024-04-26T00:00:00"/>
    <x v="3"/>
    <d v="2024-06-20T00:00:00"/>
    <x v="3"/>
    <n v="144719.63470319632"/>
    <n v="0"/>
  </r>
  <r>
    <s v="611,2024,20,2,00001/12185"/>
    <s v="IMMO"/>
    <n v="12185"/>
    <d v="2021-03-14T00:00:00"/>
    <n v="2021"/>
    <d v="2021-03-31T00:00:00"/>
    <d v="2058-03-29T00:00:00"/>
    <d v="2024-06-28T00:00:00"/>
    <x v="3"/>
    <d v="2024-12-04T00:00:00"/>
    <x v="3"/>
    <n v="7650000"/>
    <n v="0"/>
  </r>
  <r>
    <s v="611,2024,20,2,00073"/>
    <s v="IMMO"/>
    <n v="9665"/>
    <d v="2020-09-09T00:00:00"/>
    <n v="2020"/>
    <d v="2020-09-09T00:00:00"/>
    <d v="2033-09-08T00:00:00"/>
    <d v="2024-05-24T00:00:00"/>
    <x v="3"/>
    <d v="2025-07-14T00:00:00"/>
    <x v="7"/>
    <n v="4146871.708447441"/>
    <n v="1"/>
  </r>
  <r>
    <s v="611,2024,20,2,00074"/>
    <s v="CONSO"/>
    <n v="17216"/>
    <d v="2022-06-14T00:00:00"/>
    <n v="2022"/>
    <d v="2022-06-16T00:00:00"/>
    <d v="2025-05-02T00:00:00"/>
    <d v="2024-06-25T00:00:00"/>
    <x v="3"/>
    <d v="2024-07-08T00:00:00"/>
    <x v="3"/>
    <n v="180225.74"/>
    <n v="0"/>
  </r>
  <r>
    <s v="611,2024,20,2,00076"/>
    <s v="CONSO"/>
    <n v="21035"/>
    <d v="2023-01-02T00:00:00"/>
    <n v="2023"/>
    <d v="2023-01-03T00:00:00"/>
    <d v="2026-01-02T00:00:00"/>
    <d v="2023-04-22T00:00:00"/>
    <x v="6"/>
    <d v="2024-07-24T00:00:00"/>
    <x v="3"/>
    <n v="720365.29680365301"/>
    <n v="1"/>
  </r>
  <r>
    <s v="611,2024,20,2,00001/27032"/>
    <s v="IMMO"/>
    <n v="27032"/>
    <d v="2023-08-22T00:00:00"/>
    <n v="2023"/>
    <d v="2023-08-23T00:00:00"/>
    <d v="2063-08-22T00:00:00"/>
    <d v="2024-05-17T00:00:00"/>
    <x v="3"/>
    <d v="2025-10-19T00:00:00"/>
    <x v="7"/>
    <n v="11779861.72907112"/>
    <n v="1"/>
  </r>
  <r>
    <s v="611,2024,20,2,00081"/>
    <s v="CONSO"/>
    <n v="25711"/>
    <d v="2023-05-25T00:00:00"/>
    <n v="2023"/>
    <d v="2023-05-25T00:00:00"/>
    <d v="2026-05-24T00:00:00"/>
    <d v="2024-07-20T00:00:00"/>
    <x v="3"/>
    <d v="2024-07-24T00:00:00"/>
    <x v="3"/>
    <n v="279033.78995433787"/>
    <n v="0"/>
  </r>
  <r>
    <s v="611,2024,20,2,00083"/>
    <s v="IMMO"/>
    <n v="12993"/>
    <d v="2021-04-28T00:00:00"/>
    <n v="2021"/>
    <d v="2021-04-28T00:00:00"/>
    <d v="2032-04-26T00:00:00"/>
    <d v="2024-04-23T00:00:00"/>
    <x v="3"/>
    <d v="2025-05-08T00:00:00"/>
    <x v="7"/>
    <n v="1602340.6374501991"/>
    <n v="1"/>
  </r>
  <r>
    <s v="611,2024,20,2,00001/17481"/>
    <s v="IMMO"/>
    <n v="17481"/>
    <d v="2022-03-10T00:00:00"/>
    <n v="2022"/>
    <d v="2022-03-11T00:00:00"/>
    <d v="2047-03-10T00:00:00"/>
    <d v="2024-07-30T00:00:00"/>
    <x v="3"/>
    <d v="2025-01-16T00:00:00"/>
    <x v="7"/>
    <n v="6659764.9507119386"/>
    <n v="1"/>
  </r>
  <r>
    <s v="611,2024,20,2,00001/25272"/>
    <s v="IMMO"/>
    <n v="25272"/>
    <d v="2023-05-16T00:00:00"/>
    <n v="2023"/>
    <d v="2023-05-17T00:00:00"/>
    <d v="2057-05-16T00:00:00"/>
    <d v="2024-07-19T00:00:00"/>
    <x v="3"/>
    <d v="2025-10-07T00:00:00"/>
    <x v="7"/>
    <n v="1922180.9806732163"/>
    <n v="1"/>
  </r>
  <r>
    <s v="611,2024,20,2,00087"/>
    <s v="IMMO"/>
    <n v="22646"/>
    <d v="2023-01-04T00:00:00"/>
    <n v="2023"/>
    <d v="2023-01-05T00:00:00"/>
    <d v="2038-01-04T00:00:00"/>
    <d v="2024-08-16T00:00:00"/>
    <x v="3"/>
    <d v="2024-08-16T00:00:00"/>
    <x v="3"/>
    <n v="1907160.0593136179"/>
    <n v="0"/>
  </r>
  <r>
    <s v="611,2024,20,2,00088"/>
    <s v="IMMO"/>
    <n v="8093"/>
    <d v="2020-02-23T00:00:00"/>
    <n v="2020"/>
    <d v="2019-12-31T00:00:00"/>
    <d v="2024-12-28T00:00:00"/>
    <d v="2023-09-26T00:00:00"/>
    <x v="6"/>
    <d v="2025-05-14T00:00:00"/>
    <x v="7"/>
    <n v="233975.10656250006"/>
    <n v="2"/>
  </r>
  <r>
    <s v="611,2024,20,2,00001/388"/>
    <s v="IMMO"/>
    <n v="388"/>
    <d v="2017-06-22T00:00:00"/>
    <n v="2017"/>
    <d v="2017-06-23T00:00:00"/>
    <d v="2036-06-22T00:00:00"/>
    <d v="2024-07-12T00:00:00"/>
    <x v="3"/>
    <d v="2024-08-26T00:00:00"/>
    <x v="3"/>
    <n v="1779404.8133736851"/>
    <n v="0"/>
  </r>
  <r>
    <s v="611,2024,20,2,00091"/>
    <s v="IMMO"/>
    <n v="10766"/>
    <d v="2020-12-10T00:00:00"/>
    <n v="2020"/>
    <d v="2020-12-10T00:00:00"/>
    <d v="2028-12-08T00:00:00"/>
    <d v="2022-08-23T00:00:00"/>
    <x v="5"/>
    <d v="2024-09-12T00:00:00"/>
    <x v="3"/>
    <n v="323048.86643835617"/>
    <n v="2"/>
  </r>
  <r>
    <s v="611,2024,20,2,00001/1275"/>
    <s v="IMMO"/>
    <n v="1275"/>
    <d v="2017-12-07T00:00:00"/>
    <n v="2017"/>
    <d v="2017-11-19T00:00:00"/>
    <d v="2039-11-18T00:00:00"/>
    <d v="2024-09-15T00:00:00"/>
    <x v="3"/>
    <d v="2024-12-10T00:00:00"/>
    <x v="3"/>
    <n v="2870292.449019168"/>
    <n v="0"/>
  </r>
  <r>
    <s v="611,2024,20,2,00001/22527"/>
    <s v="IMMO"/>
    <n v="22527"/>
    <d v="2022-12-28T00:00:00"/>
    <n v="2022"/>
    <d v="2022-12-28T00:00:00"/>
    <d v="2056-12-27T00:00:00"/>
    <d v="2024-09-27T00:00:00"/>
    <x v="3"/>
    <d v="2025-01-30T00:00:00"/>
    <x v="7"/>
    <n v="4261801.1757126749"/>
    <n v="1"/>
  </r>
  <r>
    <s v="611,2024,20,2,00094"/>
    <s v="CONSO"/>
    <n v="21109"/>
    <d v="2023-01-05T00:00:00"/>
    <n v="2023"/>
    <d v="2023-01-12T00:00:00"/>
    <d v="2026-01-11T00:00:00"/>
    <d v="2024-08-02T00:00:00"/>
    <x v="3"/>
    <d v="2024-09-30T00:00:00"/>
    <x v="3"/>
    <n v="317745.86666666664"/>
    <n v="0"/>
  </r>
  <r>
    <s v="611,2024,20,2,00095"/>
    <s v="IMMO"/>
    <n v="19604"/>
    <d v="2022-07-13T00:00:00"/>
    <n v="2022"/>
    <d v="2022-07-13T00:00:00"/>
    <d v="2060-07-12T00:00:00"/>
    <d v="2024-08-23T00:00:00"/>
    <x v="3"/>
    <d v="2024-11-21T00:00:00"/>
    <x v="3"/>
    <n v="9254888.680740688"/>
    <n v="0"/>
  </r>
  <r>
    <s v="611,2024,20,2,00096"/>
    <s v="CONSO"/>
    <n v="19051"/>
    <d v="2022-10-20T00:00:00"/>
    <n v="2022"/>
    <d v="2022-10-23T00:00:00"/>
    <d v="2025-10-22T00:00:00"/>
    <d v="2024-09-01T00:00:00"/>
    <x v="3"/>
    <d v="2024-10-03T00:00:00"/>
    <x v="3"/>
    <n v="359013.69863013696"/>
    <n v="0"/>
  </r>
  <r>
    <s v="611,2024,20,2,00097"/>
    <s v="CONSO"/>
    <n v="25575"/>
    <d v="2023-05-23T00:00:00"/>
    <n v="2023"/>
    <d v="2023-05-23T00:00:00"/>
    <d v="2026-05-22T00:00:00"/>
    <d v="2024-07-07T00:00:00"/>
    <x v="3"/>
    <d v="2024-10-08T00:00:00"/>
    <x v="3"/>
    <n v="218630.13698630137"/>
    <n v="0"/>
  </r>
  <r>
    <s v="611,2024,20,2,00001/12024"/>
    <s v="IMMO"/>
    <n v="12024"/>
    <d v="2021-03-03T00:00:00"/>
    <n v="2021"/>
    <d v="2021-03-03T00:00:00"/>
    <d v="2041-03-01T00:00:00"/>
    <d v="2024-10-14T00:00:00"/>
    <x v="3"/>
    <d v="2025-01-13T00:00:00"/>
    <x v="7"/>
    <n v="5633417.2367520202"/>
    <n v="1"/>
  </r>
  <r>
    <s v="611,2024,20,2,00100"/>
    <s v="IMMO"/>
    <n v="24110"/>
    <d v="2023-03-14T00:00:00"/>
    <n v="2023"/>
    <d v="2023-03-14T00:00:00"/>
    <d v="2038-03-13T00:00:00"/>
    <d v="2024-10-11T00:00:00"/>
    <x v="3"/>
    <d v="2025-01-14T00:00:00"/>
    <x v="7"/>
    <n v="7569343.1157393213"/>
    <n v="1"/>
  </r>
  <r>
    <s v="611,2023,20,2,00001/26797"/>
    <s v="CONSO"/>
    <n v="26797"/>
    <d v="2023-08-19T00:00:00"/>
    <n v="2023"/>
    <d v="2023-06-19T00:00:00"/>
    <d v="2025-06-18T00:00:00"/>
    <d v="2023-12-07T00:00:00"/>
    <x v="6"/>
    <d v="2024-10-21T00:00:00"/>
    <x v="3"/>
    <n v="350009.80958904111"/>
    <n v="1"/>
  </r>
  <r>
    <s v="611,2024,20,2,00001/9374"/>
    <s v="IMMO"/>
    <n v="9374"/>
    <d v="2020-08-06T00:00:00"/>
    <n v="2020"/>
    <d v="2020-08-31T00:00:00"/>
    <d v="2060-08-29T00:00:00"/>
    <d v="2024-08-29T00:00:00"/>
    <x v="3"/>
    <d v="2024-11-03T00:00:00"/>
    <x v="3"/>
    <n v="1236713.4608461116"/>
    <n v="0"/>
  </r>
  <r>
    <s v="611,2021,20,2,00001/532"/>
    <s v="CONSO"/>
    <n v="532"/>
    <d v="2021-05-02T00:00:00"/>
    <n v="2021"/>
    <d v="2021-05-02T00:00:00"/>
    <d v="2026-05-01T00:00:00"/>
    <d v="2021-08-31T00:00:00"/>
    <x v="4"/>
    <d v="2021-08-31T00:00:00"/>
    <x v="4"/>
    <n v="409893.69863013696"/>
    <n v="0"/>
  </r>
  <r>
    <s v="611.2021.20.2.00039"/>
    <s v="CONSO"/>
    <n v="2075"/>
    <d v="2021-08-31T00:00:00"/>
    <n v="2021"/>
    <d v="2021-08-31T00:00:00"/>
    <d v="2026-08-30T00:00:00"/>
    <d v="2021-09-08T00:00:00"/>
    <x v="4"/>
    <d v="2021-09-08T00:00:00"/>
    <x v="4"/>
    <n v="398500"/>
    <n v="0"/>
  </r>
  <r>
    <s v="611,2022,20,2,00001/446"/>
    <s v="CONSO"/>
    <n v="446"/>
    <d v="2021-04-25T00:00:00"/>
    <n v="2021"/>
    <d v="2021-04-25T00:00:00"/>
    <d v="2026-04-24T00:00:00"/>
    <d v="2022-06-28T00:00:00"/>
    <x v="5"/>
    <d v="2022-09-22T00:00:00"/>
    <x v="5"/>
    <n v="384707.00273972604"/>
    <n v="0"/>
  </r>
  <r>
    <s v="611,2022,20,2,00001/1628"/>
    <s v="CONSO"/>
    <n v="1628"/>
    <d v="2021-07-25T00:00:00"/>
    <n v="2021"/>
    <d v="2021-07-25T00:00:00"/>
    <d v="2026-07-24T00:00:00"/>
    <d v="2022-06-22T00:00:00"/>
    <x v="5"/>
    <d v="2022-11-03T00:00:00"/>
    <x v="5"/>
    <n v="496488.73193424649"/>
    <n v="0"/>
  </r>
  <r>
    <s v="611.2023.20.2.00002"/>
    <s v="CONSO"/>
    <n v="3559"/>
    <d v="2021-12-28T00:00:00"/>
    <n v="2021"/>
    <d v="2021-12-28T00:00:00"/>
    <d v="2024-12-27T00:00:00"/>
    <d v="2022-11-17T00:00:00"/>
    <x v="5"/>
    <d v="2024-02-14T00:00:00"/>
    <x v="3"/>
    <n v="295726.02739726024"/>
    <n v="2"/>
  </r>
  <r>
    <s v="611.2022.20.2.00051"/>
    <s v="CONSO"/>
    <n v="4552"/>
    <d v="2022-04-03T00:00:00"/>
    <n v="2022"/>
    <d v="2022-04-03T00:00:00"/>
    <d v="2027-04-02T00:00:00"/>
    <d v="2022-07-25T00:00:00"/>
    <x v="5"/>
    <d v="2022-08-11T00:00:00"/>
    <x v="5"/>
    <n v="478890.9589041096"/>
    <n v="0"/>
  </r>
  <r>
    <s v="611,2022,20,2,00001/2326"/>
    <s v="CONSO"/>
    <n v="2326"/>
    <d v="2021-09-19T00:00:00"/>
    <n v="2021"/>
    <d v="2021-09-19T00:00:00"/>
    <d v="2026-09-18T00:00:00"/>
    <d v="2022-05-03T00:00:00"/>
    <x v="5"/>
    <d v="2023-05-02T00:00:00"/>
    <x v="6"/>
    <n v="462955.2369534247"/>
    <n v="1"/>
  </r>
  <r>
    <s v="611,2022,20,2,00001/864"/>
    <s v="CONSO"/>
    <n v="864"/>
    <d v="2021-05-25T00:00:00"/>
    <n v="2021"/>
    <d v="2021-05-25T00:00:00"/>
    <d v="2026-05-24T00:00:00"/>
    <d v="2022-06-29T00:00:00"/>
    <x v="5"/>
    <d v="2022-09-22T00:00:00"/>
    <x v="5"/>
    <n v="555554.79452054796"/>
    <n v="0"/>
  </r>
  <r>
    <s v="611.2022.20.2.00081"/>
    <s v="CONSO"/>
    <n v="560"/>
    <d v="2021-05-03T00:00:00"/>
    <n v="2021"/>
    <d v="2021-05-03T00:00:00"/>
    <d v="2026-05-02T00:00:00"/>
    <d v="2022-06-24T00:00:00"/>
    <x v="5"/>
    <d v="2025-08-14T00:00:00"/>
    <x v="7"/>
    <n v="297003.13424657536"/>
    <n v="3"/>
  </r>
  <r>
    <s v="611.2023.20.2.00021"/>
    <s v="CONSO"/>
    <n v="3346"/>
    <d v="2021-12-13T00:00:00"/>
    <n v="2021"/>
    <d v="2021-12-13T00:00:00"/>
    <d v="2026-12-12T00:00:00"/>
    <d v="2022-11-06T00:00:00"/>
    <x v="5"/>
    <d v="2023-04-23T00:00:00"/>
    <x v="6"/>
    <n v="528792.63504657533"/>
    <n v="1"/>
  </r>
  <r>
    <s v="611.2023.20.2.00065"/>
    <s v="CONSO"/>
    <n v="5064"/>
    <d v="2022-05-15T00:00:00"/>
    <n v="2022"/>
    <d v="2022-05-15T00:00:00"/>
    <d v="2027-05-14T00:00:00"/>
    <d v="2023-06-24T00:00:00"/>
    <x v="6"/>
    <d v="2023-06-24T00:00:00"/>
    <x v="6"/>
    <n v="465215.34246575343"/>
    <n v="0"/>
  </r>
  <r>
    <s v="611,2023,20,2,00001/4252"/>
    <s v="CONSO"/>
    <n v="4252"/>
    <d v="2022-03-13T00:00:00"/>
    <n v="2022"/>
    <d v="2022-03-13T00:00:00"/>
    <d v="2027-03-12T00:00:00"/>
    <d v="2023-12-16T00:00:00"/>
    <x v="6"/>
    <d v="2024-01-02T00:00:00"/>
    <x v="3"/>
    <n v="304599.78082191781"/>
    <n v="1"/>
  </r>
  <r>
    <s v="611,2023,20,2,00001/7721"/>
    <s v="CONSO"/>
    <n v="7721"/>
    <d v="2023-01-24T00:00:00"/>
    <n v="2023"/>
    <d v="2023-01-24T00:00:00"/>
    <d v="2026-01-23T00:00:00"/>
    <d v="2023-11-21T00:00:00"/>
    <x v="6"/>
    <d v="2023-12-18T00:00:00"/>
    <x v="6"/>
    <n v="547287.15981735161"/>
    <n v="0"/>
  </r>
  <r>
    <s v="611.2023.20.2.00064"/>
    <s v="CONSO"/>
    <n v="8473"/>
    <d v="2023-04-26T00:00:00"/>
    <n v="2023"/>
    <d v="2023-04-25T00:00:00"/>
    <d v="2023-04-25T00:00:00"/>
    <d v="2023-06-02T00:00:00"/>
    <x v="6"/>
    <d v="2023-08-06T00:00:00"/>
    <x v="6"/>
    <n v="400000"/>
    <n v="0"/>
  </r>
  <r>
    <s v="611,2023,20,2,00001/3685"/>
    <s v="CONSO"/>
    <n v="3685"/>
    <d v="2022-01-05T00:00:00"/>
    <n v="2022"/>
    <d v="2022-01-05T00:00:00"/>
    <d v="2027-01-04T00:00:00"/>
    <d v="2023-02-09T00:00:00"/>
    <x v="6"/>
    <d v="2025-08-05T00:00:00"/>
    <x v="7"/>
    <n v="351369.86301369866"/>
    <n v="2"/>
  </r>
  <r>
    <s v="611.2023.20.2.00063"/>
    <s v="CONSO"/>
    <n v="8285"/>
    <d v="2023-04-05T00:00:00"/>
    <n v="2023"/>
    <d v="2023-04-05T00:00:00"/>
    <d v="2028-04-04T00:00:00"/>
    <d v="2023-08-19T00:00:00"/>
    <x v="6"/>
    <d v="2023-09-21T00:00:00"/>
    <x v="6"/>
    <n v="464102.13581599126"/>
    <n v="0"/>
  </r>
  <r>
    <s v="611,2023,20,2,00001/2635"/>
    <s v="CONSO"/>
    <n v="2635"/>
    <d v="2021-10-20T00:00:00"/>
    <n v="2021"/>
    <d v="2021-10-20T00:00:00"/>
    <d v="2026-10-19T00:00:00"/>
    <d v="2023-01-27T00:00:00"/>
    <x v="6"/>
    <d v="2023-01-31T00:00:00"/>
    <x v="6"/>
    <n v="374003.54575342464"/>
    <n v="0"/>
  </r>
  <r>
    <s v="611.2023.20.2.00071"/>
    <s v="CONSO"/>
    <n v="2833"/>
    <d v="2021-11-07T00:00:00"/>
    <n v="2021"/>
    <d v="2021-11-07T00:00:00"/>
    <d v="2026-11-06T00:00:00"/>
    <d v="2023-09-07T00:00:00"/>
    <x v="6"/>
    <d v="2023-10-08T00:00:00"/>
    <x v="6"/>
    <n v="597468"/>
    <n v="0"/>
  </r>
  <r>
    <s v="611,2023,20,2,00001/6418"/>
    <s v="CONSO"/>
    <n v="6418"/>
    <d v="2022-09-13T00:00:00"/>
    <n v="2022"/>
    <d v="2022-09-13T00:00:00"/>
    <d v="2027-09-12T00:00:00"/>
    <d v="2023-07-29T00:00:00"/>
    <x v="6"/>
    <d v="2023-10-23T00:00:00"/>
    <x v="6"/>
    <n v="511908.83358904114"/>
    <n v="0"/>
  </r>
  <r>
    <s v="611,2023,20,2,00001/149"/>
    <s v="CONSO"/>
    <n v="149"/>
    <d v="2021-03-28T00:00:00"/>
    <n v="2021"/>
    <d v="2021-03-28T00:00:00"/>
    <d v="2026-03-26T00:00:00"/>
    <d v="2023-08-23T00:00:00"/>
    <x v="6"/>
    <d v="2023-12-20T00:00:00"/>
    <x v="6"/>
    <n v="320001.09649122803"/>
    <n v="0"/>
  </r>
  <r>
    <s v="611.2023.20.2.00025"/>
    <s v="CONSO"/>
    <n v="4213"/>
    <d v="2022-03-10T00:00:00"/>
    <n v="2022"/>
    <d v="2022-03-10T00:00:00"/>
    <d v="2027-03-09T00:00:00"/>
    <d v="2022-12-17T00:00:00"/>
    <x v="5"/>
    <d v="2022-12-17T00:00:00"/>
    <x v="5"/>
    <n v="605566.61"/>
    <n v="0"/>
  </r>
  <r>
    <s v="611.2023.20.2.00061"/>
    <s v="CONSO"/>
    <n v="2258"/>
    <d v="2021-09-12T00:00:00"/>
    <n v="2021"/>
    <d v="2021-09-12T00:00:00"/>
    <d v="2026-09-11T00:00:00"/>
    <d v="2023-06-23T00:00:00"/>
    <x v="6"/>
    <d v="2023-09-17T00:00:00"/>
    <x v="6"/>
    <n v="457636.05041095888"/>
    <n v="0"/>
  </r>
  <r>
    <s v="611,2023,20,2,00001/3621"/>
    <s v="CONSO"/>
    <n v="3621"/>
    <d v="2021-12-30T00:00:00"/>
    <n v="2021"/>
    <d v="2021-12-30T00:00:00"/>
    <d v="2026-12-29T00:00:00"/>
    <d v="2023-03-20T00:00:00"/>
    <x v="6"/>
    <d v="2023-04-04T00:00:00"/>
    <x v="6"/>
    <n v="385643.83561643836"/>
    <n v="0"/>
  </r>
  <r>
    <s v="611.2023.20.2.00062"/>
    <s v="CONSO"/>
    <n v="6837"/>
    <d v="2022-10-25T00:00:00"/>
    <n v="2022"/>
    <d v="2022-10-25T00:00:00"/>
    <d v="2027-10-24T00:00:00"/>
    <d v="2023-07-31T00:00:00"/>
    <x v="6"/>
    <d v="2024-05-29T00:00:00"/>
    <x v="3"/>
    <n v="379426.52054794523"/>
    <n v="1"/>
  </r>
  <r>
    <s v="611.2023.20.2.00080"/>
    <s v="CONSO"/>
    <n v="4595"/>
    <d v="2022-04-06T00:00:00"/>
    <n v="2022"/>
    <d v="2022-04-06T00:00:00"/>
    <d v="2027-04-05T00:00:00"/>
    <d v="2023-10-20T00:00:00"/>
    <x v="6"/>
    <d v="2023-12-07T00:00:00"/>
    <x v="6"/>
    <n v="579693.47013698635"/>
    <n v="0"/>
  </r>
  <r>
    <s v="611,2022,20,2,00001/1979"/>
    <s v="CONSO"/>
    <n v="1979"/>
    <d v="2021-08-24T00:00:00"/>
    <n v="2021"/>
    <d v="2021-08-24T00:00:00"/>
    <d v="2026-08-23T00:00:00"/>
    <d v="2022-05-24T00:00:00"/>
    <x v="5"/>
    <d v="2023-11-28T00:00:00"/>
    <x v="6"/>
    <n v="1138184.0745205479"/>
    <n v="1"/>
  </r>
  <r>
    <s v="611.2023.20.2.00067"/>
    <s v="CONSO"/>
    <n v="3792"/>
    <d v="2022-02-01T00:00:00"/>
    <n v="2022"/>
    <d v="2022-02-01T00:00:00"/>
    <d v="2027-01-31T00:00:00"/>
    <d v="2023-05-29T00:00:00"/>
    <x v="6"/>
    <d v="2023-12-05T00:00:00"/>
    <x v="6"/>
    <n v="367724.43835616444"/>
    <n v="0"/>
  </r>
  <r>
    <s v="611,2023,20,2,00001/544"/>
    <s v="CONSO"/>
    <n v="544"/>
    <d v="2021-05-02T00:00:00"/>
    <n v="2021"/>
    <d v="2021-05-02T00:00:00"/>
    <d v="2026-05-01T00:00:00"/>
    <d v="2023-04-23T00:00:00"/>
    <x v="6"/>
    <d v="2023-04-23T00:00:00"/>
    <x v="6"/>
    <n v="260520.40767123288"/>
    <n v="0"/>
  </r>
  <r>
    <s v="611.2023.20.2.00066"/>
    <s v="CONSO"/>
    <n v="6870"/>
    <d v="2022-10-27T00:00:00"/>
    <n v="2022"/>
    <d v="2022-10-27T00:00:00"/>
    <d v="2026-10-26T00:00:00"/>
    <d v="2023-10-03T00:00:00"/>
    <x v="6"/>
    <d v="2024-11-11T00:00:00"/>
    <x v="3"/>
    <n v="228015.4109589041"/>
    <n v="1"/>
  </r>
  <r>
    <s v="611,2024,20,2,00016"/>
    <s v="CONSO"/>
    <n v="8772"/>
    <d v="2023-06-11T00:00:00"/>
    <n v="2023"/>
    <d v="2023-06-11T00:00:00"/>
    <d v="2028-06-10T00:00:00"/>
    <d v="2023-12-14T00:00:00"/>
    <x v="6"/>
    <d v="2023-12-14T00:00:00"/>
    <x v="6"/>
    <n v="694068.47754654975"/>
    <n v="0"/>
  </r>
  <r>
    <s v="611,2024,20,2,00020"/>
    <s v="CONSO"/>
    <n v="555"/>
    <d v="2021-05-03T00:00:00"/>
    <n v="2021"/>
    <d v="2021-05-03T00:00:00"/>
    <d v="2026-05-02T00:00:00"/>
    <d v="2021-09-11T00:00:00"/>
    <x v="4"/>
    <d v="2024-10-17T00:00:00"/>
    <x v="3"/>
    <n v="1182343.311780822"/>
    <n v="3"/>
  </r>
  <r>
    <s v="611,2024,20,2,00015"/>
    <s v="CONSO"/>
    <n v="3429"/>
    <d v="2021-12-19T00:00:00"/>
    <n v="2021"/>
    <d v="2021-12-19T00:00:00"/>
    <d v="2026-12-18T00:00:00"/>
    <d v="2022-08-01T00:00:00"/>
    <x v="5"/>
    <d v="2022-08-01T00:00:00"/>
    <x v="5"/>
    <n v="455729.81"/>
    <n v="0"/>
  </r>
  <r>
    <s v="611,2024,20,2,00025"/>
    <s v="CONSO"/>
    <n v="7587"/>
    <d v="2023-01-05T00:00:00"/>
    <n v="2023"/>
    <d v="2023-01-05T00:00:00"/>
    <d v="2028-01-04T00:00:00"/>
    <d v="2023-04-06T00:00:00"/>
    <x v="6"/>
    <d v="2023-04-06T00:00:00"/>
    <x v="6"/>
    <n v="382411.13424657536"/>
    <n v="0"/>
  </r>
  <r>
    <s v="611,2024,20,2,00027"/>
    <s v="CONSO"/>
    <n v="4019"/>
    <d v="2022-02-22T00:00:00"/>
    <n v="2022"/>
    <d v="2022-02-22T00:00:00"/>
    <d v="2027-02-21T00:00:00"/>
    <d v="2023-12-16T00:00:00"/>
    <x v="6"/>
    <d v="2024-03-13T00:00:00"/>
    <x v="3"/>
    <n v="478582.46575342468"/>
    <n v="1"/>
  </r>
  <r>
    <s v="611,2024,20,2,00021"/>
    <s v="CONSO"/>
    <n v="2984"/>
    <d v="2021-11-16T00:00:00"/>
    <n v="2021"/>
    <d v="2021-11-16T00:00:00"/>
    <d v="2026-11-15T00:00:00"/>
    <d v="2023-08-05T00:00:00"/>
    <x v="6"/>
    <d v="2024-03-07T00:00:00"/>
    <x v="3"/>
    <n v="525478.90410958906"/>
    <n v="1"/>
  </r>
  <r>
    <s v="611,2024,20,2,00006"/>
    <s v="CONSO"/>
    <n v="919"/>
    <d v="2021-05-31T00:00:00"/>
    <n v="2021"/>
    <d v="2021-05-31T00:00:00"/>
    <d v="2026-05-30T00:00:00"/>
    <d v="2023-11-15T00:00:00"/>
    <x v="6"/>
    <d v="2025-06-11T00:00:00"/>
    <x v="7"/>
    <n v="227711.83561643833"/>
    <n v="2"/>
  </r>
  <r>
    <s v="611,2024,20,2,00001/3977"/>
    <s v="CONSO"/>
    <n v="3977"/>
    <d v="2022-02-21T00:00:00"/>
    <n v="2022"/>
    <d v="2022-02-21T00:00:00"/>
    <d v="2026-02-20T00:00:00"/>
    <d v="2024-02-13T00:00:00"/>
    <x v="3"/>
    <d v="2024-03-24T00:00:00"/>
    <x v="3"/>
    <n v="240608.21917808219"/>
    <n v="0"/>
  </r>
  <r>
    <s v="611,2024,20,2,00036"/>
    <s v="CONSO"/>
    <n v="8597"/>
    <d v="2023-05-21T00:00:00"/>
    <n v="2023"/>
    <d v="2023-05-21T00:00:00"/>
    <d v="2028-05-20T00:00:00"/>
    <d v="2024-03-28T00:00:00"/>
    <x v="3"/>
    <d v="2024-10-15T00:00:00"/>
    <x v="3"/>
    <n v="642579.40854326403"/>
    <n v="0"/>
  </r>
  <r>
    <s v="611,2024,20,2,00001/1074"/>
    <s v="CONSO"/>
    <n v="1074"/>
    <d v="2021-06-10T00:00:00"/>
    <n v="2021"/>
    <d v="2021-06-10T00:00:00"/>
    <d v="2026-06-09T00:00:00"/>
    <d v="2024-03-03T00:00:00"/>
    <x v="3"/>
    <d v="2024-11-05T00:00:00"/>
    <x v="3"/>
    <n v="354288.67791780824"/>
    <n v="0"/>
  </r>
  <r>
    <s v="611,2024,20,2,00001/10416"/>
    <s v="CONSO"/>
    <n v="10416"/>
    <d v="2023-11-19T00:00:00"/>
    <n v="2023"/>
    <d v="2023-11-19T00:00:00"/>
    <d v="2028-11-18T00:00:00"/>
    <d v="2024-04-05T00:00:00"/>
    <x v="3"/>
    <d v="2024-04-18T00:00:00"/>
    <x v="3"/>
    <n v="684240.87623220158"/>
    <n v="0"/>
  </r>
  <r>
    <s v="611,2023,20,2,00001/471"/>
    <s v="CONSO"/>
    <n v="471"/>
    <d v="2021-04-27T00:00:00"/>
    <n v="2021"/>
    <d v="2021-04-27T00:00:00"/>
    <d v="2026-04-26T00:00:00"/>
    <d v="2023-04-22T00:00:00"/>
    <x v="6"/>
    <d v="2024-04-18T00:00:00"/>
    <x v="3"/>
    <n v="422158.904109589"/>
    <n v="1"/>
  </r>
  <r>
    <s v="611,2024,20,2,00046"/>
    <s v="CONSO"/>
    <n v="6787"/>
    <d v="2022-10-19T00:00:00"/>
    <n v="2022"/>
    <d v="2022-10-19T00:00:00"/>
    <d v="2027-10-18T00:00:00"/>
    <d v="2023-07-29T00:00:00"/>
    <x v="6"/>
    <d v="2024-04-18T00:00:00"/>
    <x v="3"/>
    <n v="1097566.0273972603"/>
    <n v="1"/>
  </r>
  <r>
    <s v="611,2024,20,2,00050"/>
    <s v="CONSO"/>
    <n v="9506"/>
    <d v="2023-08-30T00:00:00"/>
    <n v="2023"/>
    <d v="2023-08-30T00:00:00"/>
    <d v="2028-08-29T00:00:00"/>
    <d v="2024-04-25T00:00:00"/>
    <x v="3"/>
    <d v="2024-05-21T00:00:00"/>
    <x v="3"/>
    <n v="154702.08105147866"/>
    <n v="0"/>
  </r>
  <r>
    <s v="611,2024,20,2,00001/8286"/>
    <s v="CONSO"/>
    <n v="8286"/>
    <d v="2023-04-05T00:00:00"/>
    <n v="2023"/>
    <d v="2023-04-05T00:00:00"/>
    <d v="2028-04-04T00:00:00"/>
    <d v="2024-04-26T00:00:00"/>
    <x v="3"/>
    <d v="2024-05-21T00:00:00"/>
    <x v="3"/>
    <n v="552058.1018510405"/>
    <n v="0"/>
  </r>
  <r>
    <s v="611,2024,20,2,00055"/>
    <s v="CONSO"/>
    <n v="6958"/>
    <d v="2022-11-09T00:00:00"/>
    <n v="2022"/>
    <d v="2022-11-09T00:00:00"/>
    <d v="2027-11-08T00:00:00"/>
    <d v="2024-04-07T00:00:00"/>
    <x v="3"/>
    <d v="2024-05-21T00:00:00"/>
    <x v="3"/>
    <n v="357253.15068493149"/>
    <n v="0"/>
  </r>
  <r>
    <s v="611,2024,20,2,00072"/>
    <s v="CONSO"/>
    <n v="130"/>
    <d v="2021-03-25T00:00:00"/>
    <n v="2021"/>
    <d v="2021-03-25T00:00:00"/>
    <d v="2026-03-23T00:00:00"/>
    <d v="2023-01-14T00:00:00"/>
    <x v="6"/>
    <d v="2024-05-21T00:00:00"/>
    <x v="3"/>
    <n v="573777.29723684199"/>
    <n v="1"/>
  </r>
  <r>
    <s v="611,2024,20,2,00058"/>
    <s v="CONSO"/>
    <n v="1389"/>
    <d v="2021-07-04T00:00:00"/>
    <n v="2021"/>
    <d v="2021-07-04T00:00:00"/>
    <d v="2026-07-03T00:00:00"/>
    <d v="2024-03-10T00:00:00"/>
    <x v="3"/>
    <d v="2024-12-16T00:00:00"/>
    <x v="3"/>
    <n v="278039.72602739726"/>
    <n v="0"/>
  </r>
  <r>
    <s v="611,2024,20,2,00059"/>
    <s v="CONSO"/>
    <n v="1169"/>
    <d v="2021-06-17T00:00:00"/>
    <n v="2021"/>
    <d v="2021-06-17T00:00:00"/>
    <d v="2026-06-16T00:00:00"/>
    <d v="2023-10-08T00:00:00"/>
    <x v="6"/>
    <d v="2024-05-21T00:00:00"/>
    <x v="3"/>
    <n v="538082.19178082189"/>
    <n v="1"/>
  </r>
  <r>
    <s v="611,2024,20,2,00067"/>
    <s v="CONSO"/>
    <n v="3240"/>
    <d v="2021-12-07T00:00:00"/>
    <n v="2021"/>
    <d v="2021-12-07T00:00:00"/>
    <d v="2026-12-06T00:00:00"/>
    <d v="2024-06-02T00:00:00"/>
    <x v="3"/>
    <d v="2024-09-09T00:00:00"/>
    <x v="3"/>
    <n v="175712.27397260274"/>
    <n v="0"/>
  </r>
  <r>
    <s v="611,2024,20,2,00080"/>
    <s v="CONSO"/>
    <n v="9090"/>
    <d v="2023-07-25T00:00:00"/>
    <n v="2023"/>
    <d v="2023-07-25T00:00:00"/>
    <d v="2028-07-24T00:00:00"/>
    <d v="2024-07-29T00:00:00"/>
    <x v="3"/>
    <d v="2024-09-09T00:00:00"/>
    <x v="3"/>
    <n v="484004.38116100762"/>
    <n v="0"/>
  </r>
  <r>
    <s v="611,2024,20,2,00082"/>
    <s v="CONSO"/>
    <n v="8839"/>
    <d v="2023-06-20T00:00:00"/>
    <n v="2023"/>
    <d v="2023-06-20T00:00:00"/>
    <d v="2028-06-19T00:00:00"/>
    <d v="2024-08-08T00:00:00"/>
    <x v="3"/>
    <d v="2024-09-09T00:00:00"/>
    <x v="3"/>
    <n v="384277.27272727271"/>
    <n v="0"/>
  </r>
  <r>
    <s v="611,2023,20,2,00001/4836"/>
    <s v="CONSO"/>
    <n v="4836"/>
    <d v="2022-04-20T00:00:00"/>
    <n v="2022"/>
    <d v="2022-04-20T00:00:00"/>
    <d v="2027-04-19T00:00:00"/>
    <d v="2023-08-29T00:00:00"/>
    <x v="6"/>
    <d v="2024-09-09T00:00:00"/>
    <x v="3"/>
    <n v="292744.10958904109"/>
    <n v="1"/>
  </r>
  <r>
    <s v="611,2024,20,2,00098"/>
    <s v="CONSO"/>
    <n v="9537"/>
    <d v="2023-09-04T00:00:00"/>
    <n v="2023"/>
    <d v="2023-09-04T00:00:00"/>
    <d v="2028-09-03T00:00:00"/>
    <d v="2023-12-22T00:00:00"/>
    <x v="6"/>
    <d v="2024-09-09T00:00:00"/>
    <x v="3"/>
    <n v="917775.0525739321"/>
    <n v="1"/>
  </r>
  <r>
    <s v="900,2020,20,2,00001/74"/>
    <s v="IMMO"/>
    <n v="74"/>
    <d v="2018-12-31T00:00:00"/>
    <n v="2018"/>
    <d v="2018-02-08T00:00:00"/>
    <d v="2023-01-08T00:00:00"/>
    <d v="2020-11-03T00:00:00"/>
    <x v="2"/>
    <d v="2020-11-03T00:00:00"/>
    <x v="2"/>
    <n v="576490.25069637876"/>
    <n v="0"/>
  </r>
  <r>
    <s v="900,2020,20,2,00001/7"/>
    <s v="IMMO"/>
    <n v="7"/>
    <d v="2020-05-05T00:00:00"/>
    <n v="2020"/>
    <d v="2020-06-04T00:00:00"/>
    <d v="2023-05-04T00:00:00"/>
    <d v="2020-07-20T00:00:00"/>
    <x v="2"/>
    <d v="2020-07-20T00:00:00"/>
    <x v="2"/>
    <n v="741058.23"/>
    <n v="0"/>
  </r>
  <r>
    <s v="900.2020.20.2.00005"/>
    <s v="IMMO"/>
    <n v="2114"/>
    <d v="2020-01-01T00:00:00"/>
    <n v="2020"/>
    <m/>
    <m/>
    <d v="2020-10-05T00:00:00"/>
    <x v="2"/>
    <d v="2020-10-05T00:00:00"/>
    <x v="2"/>
    <n v="779865.36"/>
    <n v="0"/>
  </r>
  <r>
    <s v="900.2020.20.2.00004"/>
    <s v="CONSO"/>
    <m/>
    <d v="2020-01-01T00:00:00"/>
    <n v="2020"/>
    <m/>
    <m/>
    <d v="2020-08-12T00:00:00"/>
    <x v="2"/>
    <d v="2020-08-12T00:00:00"/>
    <x v="2"/>
    <n v="549948.97"/>
    <n v="0"/>
  </r>
  <r>
    <s v="900.2020.20.2.00007"/>
    <s v="IMMO"/>
    <n v="8"/>
    <d v="2019-05-16T00:00:00"/>
    <n v="2019"/>
    <d v="2019-04-03T00:00:00"/>
    <d v="2024-04-02T00:00:00"/>
    <d v="2020-11-06T00:00:00"/>
    <x v="2"/>
    <d v="2020-11-06T00:00:00"/>
    <x v="2"/>
    <n v="884163.44"/>
    <n v="0"/>
  </r>
  <r>
    <s v="900,2021,20,2,00001/74"/>
    <s v="IMMO"/>
    <n v="74"/>
    <d v="2019-09-23T00:00:00"/>
    <n v="2019"/>
    <d v="2019-08-26T00:00:00"/>
    <d v="2022-08-25T00:00:00"/>
    <d v="2021-04-24T00:00:00"/>
    <x v="4"/>
    <d v="2021-04-24T00:00:00"/>
    <x v="4"/>
    <n v="349420.46"/>
    <n v="0"/>
  </r>
  <r>
    <s v="900.2022.20.2.00001"/>
    <s v="IMMO"/>
    <m/>
    <d v="2020-01-01T00:00:00"/>
    <n v="2020"/>
    <m/>
    <m/>
    <d v="2022-01-01T00:00:00"/>
    <x v="5"/>
    <d v="2022-01-01T00:00:00"/>
    <x v="5"/>
    <n v="2390035.9"/>
    <n v="0"/>
  </r>
  <r>
    <s v="900.2022.20.2.00001"/>
    <s v="IMMO"/>
    <n v="86"/>
    <d v="2018-12-31T00:00:00"/>
    <n v="2018"/>
    <d v="2018-07-25T00:00:00"/>
    <d v="2022-07-24T00:00:00"/>
    <d v="2021-12-19T00:00:00"/>
    <x v="4"/>
    <d v="2021-12-19T00:00:00"/>
    <x v="4"/>
    <n v="168095.89"/>
    <n v="0"/>
  </r>
  <r>
    <s v="900,2022,20,2,00001/23"/>
    <s v="IMMO"/>
    <n v="23"/>
    <d v="2019-05-15T00:00:00"/>
    <n v="2019"/>
    <d v="2019-06-06T00:00:00"/>
    <d v="2026-05-05T00:00:00"/>
    <d v="2022-05-04T00:00:00"/>
    <x v="5"/>
    <d v="2022-11-11T00:00:00"/>
    <x v="5"/>
    <n v="810613.86138613871"/>
    <n v="0"/>
  </r>
  <r>
    <s v="900,2022,20,2,00001/7"/>
    <s v="IMMO"/>
    <n v="7"/>
    <d v="2021-12-23T00:00:00"/>
    <n v="2021"/>
    <d v="2019-07-07T00:00:00"/>
    <d v="2016-07-06T00:00:00"/>
    <d v="2022-09-04T00:00:00"/>
    <x v="5"/>
    <d v="2022-09-04T00:00:00"/>
    <x v="5"/>
    <n v="900000"/>
    <n v="0"/>
  </r>
  <r>
    <s v="900,2023,20,2,00001/198"/>
    <s v="IMMO"/>
    <n v="198"/>
    <d v="2022-11-02T00:00:00"/>
    <n v="2022"/>
    <d v="2022-11-18T00:00:00"/>
    <d v="2040-11-12T00:00:00"/>
    <d v="2023-02-03T00:00:00"/>
    <x v="6"/>
    <d v="2023-02-03T00:00:00"/>
    <x v="6"/>
    <n v="8721703.4510153756"/>
    <n v="0"/>
  </r>
  <r>
    <s v="900.2023.20.2.00003"/>
    <s v="IMMO"/>
    <n v="98"/>
    <d v="2018-12-31T00:00:00"/>
    <n v="2018"/>
    <d v="2018-06-24T00:00:00"/>
    <d v="2023-06-23T00:00:00"/>
    <d v="2023-04-24T00:00:00"/>
    <x v="6"/>
    <d v="2023-04-24T00:00:00"/>
    <x v="6"/>
    <n v="35764.120000000003"/>
    <n v="0"/>
  </r>
  <r>
    <s v="900.2023.20.2.00004"/>
    <s v="IMMO"/>
    <n v="45"/>
    <d v="2019-09-23T00:00:00"/>
    <n v="2019"/>
    <d v="2019-05-27T00:00:00"/>
    <d v="2026-05-26T00:00:00"/>
    <d v="2023-04-01T00:00:00"/>
    <x v="6"/>
    <d v="2024-09-09T00:00:00"/>
    <x v="3"/>
    <n v="360250.39123630675"/>
    <n v="1"/>
  </r>
  <r>
    <s v="900.2023.20.2.00004"/>
    <s v="IMMO"/>
    <n v="6"/>
    <d v="2020-04-30T00:00:00"/>
    <n v="2020"/>
    <d v="2020-04-20T00:00:00"/>
    <d v="2028-04-19T00:00:00"/>
    <d v="2023-04-01T00:00:00"/>
    <x v="6"/>
    <d v="2024-09-09T00:00:00"/>
    <x v="3"/>
    <n v="378979.80143786379"/>
    <n v="1"/>
  </r>
  <r>
    <s v="900.2023.20.2.00006"/>
    <s v="IMMO"/>
    <n v="122"/>
    <d v="2018-12-31T00:00:00"/>
    <n v="2018"/>
    <d v="2018-03-11T00:00:00"/>
    <d v="2025-03-10T00:00:00"/>
    <d v="2023-08-18T00:00:00"/>
    <x v="6"/>
    <d v="2024-09-09T00:00:00"/>
    <x v="3"/>
    <n v="334507.0422535211"/>
    <n v="1"/>
  </r>
  <r>
    <s v="900.2023.20.2.00007"/>
    <s v="IMMO"/>
    <n v="79"/>
    <d v="2021-10-05T00:00:00"/>
    <n v="2021"/>
    <d v="2021-10-15T00:00:00"/>
    <d v="2040-10-13T00:00:00"/>
    <d v="2023-11-18T00:00:00"/>
    <x v="6"/>
    <d v="2024-09-09T00:00:00"/>
    <x v="3"/>
    <n v="9124556.8336033449"/>
    <n v="1"/>
  </r>
  <r>
    <s v="611.2022.20.2.00063"/>
    <s v="CONSO"/>
    <n v="600010"/>
    <d v="2022-02-21T00:00:00"/>
    <n v="2022"/>
    <d v="2022-04-03T00:00:00"/>
    <d v="2025-04-01T00:00:00"/>
    <d v="2022-10-23T00:00:00"/>
    <x v="5"/>
    <d v="2022-10-23T00:00:00"/>
    <x v="5"/>
    <n v="437797.97"/>
    <n v="0"/>
  </r>
  <r>
    <s v="611,2024,20,2,00044"/>
    <s v="CONSO"/>
    <n v="600341"/>
    <d v="2023-03-30T00:00:00"/>
    <n v="2023"/>
    <d v="2023-04-01T00:00:00"/>
    <d v="2028-03-30T00:00:00"/>
    <d v="2024-04-16T00:00:00"/>
    <x v="3"/>
    <d v="2024-04-16T00:00:00"/>
    <x v="3"/>
    <n v="666122.05000000005"/>
    <n v="0"/>
  </r>
  <r>
    <s v="611,2024,20,2,00077"/>
    <s v="CONSO"/>
    <n v="600623"/>
    <d v="2023-06-16T00:00:00"/>
    <n v="2023"/>
    <d v="2023-06-20T00:00:00"/>
    <d v="2028-06-18T00:00:00"/>
    <d v="2024-06-27T00:00:00"/>
    <x v="3"/>
    <d v="2024-09-09T00:00:00"/>
    <x v="3"/>
    <n v="716054.79452054796"/>
    <n v="0"/>
  </r>
  <r>
    <s v="611,2024,20,2,00001/601241"/>
    <s v="CONSO"/>
    <n v="601241"/>
    <d v="2023-10-29T00:00:00"/>
    <n v="2023"/>
    <d v="2023-11-06T00:00:00"/>
    <d v="2028-11-03T00:00:00"/>
    <d v="2024-04-08T00:00:00"/>
    <x v="3"/>
    <d v="2024-09-09T00:00:00"/>
    <x v="3"/>
    <n v="520358.81578947371"/>
    <n v="0"/>
  </r>
  <r>
    <s v="611,2024,20,2,00086"/>
    <s v="CONSO"/>
    <n v="600584"/>
    <d v="2023-06-08T00:00:00"/>
    <n v="2023"/>
    <d v="2023-06-13T00:00:00"/>
    <d v="2028-06-10T00:00:00"/>
    <d v="2024-07-23T00:00:00"/>
    <x v="3"/>
    <d v="2024-09-11T00:00:00"/>
    <x v="3"/>
    <n v="481995.6140350877"/>
    <n v="0"/>
  </r>
  <r>
    <s v="611,2024,20,2,00090"/>
    <s v="CONSO"/>
    <n v="4836"/>
    <d v="2022-04-20T00:00:00"/>
    <n v="2022"/>
    <d v="2022-04-20T00:00:00"/>
    <d v="2027-04-19T00:00:00"/>
    <d v="2023-08-29T00:00:00"/>
    <x v="6"/>
    <d v="2024-09-29T00:00:00"/>
    <x v="3"/>
    <n v="316878.55"/>
    <n v="1"/>
  </r>
  <r>
    <s v="611,2024,20,2,00106"/>
    <s v="CONSO"/>
    <n v="9341"/>
    <d v="2023-08-15T00:00:00"/>
    <n v="2023"/>
    <d v="2023-08-15T00:00:00"/>
    <d v="2028-08-14T00:00:00"/>
    <d v="2024-10-22T00:00:00"/>
    <x v="3"/>
    <d v="2024-11-04T00:00:00"/>
    <x v="3"/>
    <n v="343044.90690032858"/>
    <n v="0"/>
  </r>
  <r>
    <s v="611,2024,20,2,00107"/>
    <s v="CONSO"/>
    <n v="6008"/>
    <d v="2022-07-28T00:00:00"/>
    <n v="2022"/>
    <d v="2022-07-28T00:00:00"/>
    <d v="2027-07-27T00:00:00"/>
    <d v="2024-09-24T00:00:00"/>
    <x v="3"/>
    <d v="2024-11-06T00:00:00"/>
    <x v="3"/>
    <n v="220006.66301369865"/>
    <n v="0"/>
  </r>
  <r>
    <s v="611,2024,20,2,00109"/>
    <s v="CONSO"/>
    <n v="1037"/>
    <d v="2021-06-08T00:00:00"/>
    <n v="2021"/>
    <d v="2021-06-08T00:00:00"/>
    <d v="2026-06-07T00:00:00"/>
    <d v="2024-06-05T00:00:00"/>
    <x v="3"/>
    <d v="2024-11-10T00:00:00"/>
    <x v="3"/>
    <n v="138769.15068493152"/>
    <n v="0"/>
  </r>
  <r>
    <s v="611,2024,20,2,00111"/>
    <s v="CONSO"/>
    <n v="3971"/>
    <d v="2022-02-21T00:00:00"/>
    <n v="2022"/>
    <d v="2022-02-21T00:00:00"/>
    <d v="2027-02-20T00:00:00"/>
    <d v="2023-06-18T00:00:00"/>
    <x v="6"/>
    <d v="2024-11-14T00:00:00"/>
    <x v="3"/>
    <n v="493900.20821917814"/>
    <n v="1"/>
  </r>
  <r>
    <s v="611,2024,20,2,00113"/>
    <s v="CONSO"/>
    <n v="2238"/>
    <d v="2021-09-12T00:00:00"/>
    <n v="2021"/>
    <d v="2021-09-12T00:00:00"/>
    <d v="2026-09-11T00:00:00"/>
    <d v="2024-02-05T00:00:00"/>
    <x v="3"/>
    <d v="2024-11-19T00:00:00"/>
    <x v="3"/>
    <n v="338000"/>
    <n v="0"/>
  </r>
  <r>
    <s v="611,2024,20,2,00114"/>
    <s v="CONSO"/>
    <n v="3756"/>
    <d v="2022-01-25T00:00:00"/>
    <n v="2022"/>
    <d v="2022-01-25T00:00:00"/>
    <d v="2025-01-24T00:00:00"/>
    <d v="2024-06-29T00:00:00"/>
    <x v="3"/>
    <d v="2024-11-21T00:00:00"/>
    <x v="3"/>
    <n v="47637.683022831035"/>
    <n v="0"/>
  </r>
  <r>
    <s v="611,2024,20,2,00116"/>
    <s v="CONSO"/>
    <n v="5730"/>
    <d v="2022-06-30T00:00:00"/>
    <n v="2022"/>
    <d v="2022-06-30T00:00:00"/>
    <d v="2027-06-29T00:00:00"/>
    <d v="2024-10-20T00:00:00"/>
    <x v="3"/>
    <d v="2024-11-27T00:00:00"/>
    <x v="3"/>
    <n v="404099.72602739721"/>
    <n v="0"/>
  </r>
  <r>
    <s v="611,2024,20,2,00122"/>
    <s v="CONSO"/>
    <n v="3258"/>
    <d v="2021-12-07T00:00:00"/>
    <n v="2021"/>
    <d v="2021-12-07T00:00:00"/>
    <d v="2026-12-06T00:00:00"/>
    <d v="2024-12-07T00:00:00"/>
    <x v="3"/>
    <d v="2024-12-10T00:00:00"/>
    <x v="3"/>
    <n v="311685.64767123281"/>
    <n v="0"/>
  </r>
  <r>
    <s v="611,2024,20,2,00127"/>
    <s v="CONSO"/>
    <n v="1262"/>
    <d v="2021-06-24T00:00:00"/>
    <n v="2021"/>
    <d v="2024-06-24T00:00:00"/>
    <d v="2026-06-23T00:00:00"/>
    <d v="2024-12-05T00:00:00"/>
    <x v="3"/>
    <d v="2024-12-16T00:00:00"/>
    <x v="3"/>
    <n v="275119.34842249658"/>
    <n v="0"/>
  </r>
  <r>
    <s v="611,2024,20,2,00132"/>
    <s v="CONSO"/>
    <n v="10520"/>
    <d v="2023-11-26T00:00:00"/>
    <n v="2023"/>
    <d v="2023-11-26T00:00:00"/>
    <d v="2028-11-25T00:00:00"/>
    <d v="2024-08-11T00:00:00"/>
    <x v="3"/>
    <d v="2024-12-24T00:00:00"/>
    <x v="3"/>
    <n v="602556.98247535597"/>
    <n v="0"/>
  </r>
  <r>
    <s v="611,2024,20,2,00101"/>
    <s v="CONSO"/>
    <n v="26797"/>
    <d v="2023-06-19T00:00:00"/>
    <n v="2023"/>
    <d v="2023-06-19T00:00:00"/>
    <d v="2025-06-18T00:00:00"/>
    <d v="2023-12-07T00:00:00"/>
    <x v="6"/>
    <d v="2024-10-27T00:00:00"/>
    <x v="3"/>
    <n v="350009.80958904111"/>
    <n v="1"/>
  </r>
  <r>
    <s v="611,2024,20,2,00102"/>
    <s v="IMMO"/>
    <n v="9374"/>
    <d v="2020-08-06T00:00:00"/>
    <n v="2020"/>
    <d v="2020-08-31T00:00:00"/>
    <d v="2060-08-29T00:00:00"/>
    <d v="2024-08-29T00:00:00"/>
    <x v="3"/>
    <d v="2024-10-28T00:00:00"/>
    <x v="3"/>
    <n v="1236713.4608461116"/>
    <n v="0"/>
  </r>
  <r>
    <s v="611,2024,20,2,00104"/>
    <s v="IMMO"/>
    <n v="26386"/>
    <d v="2023-07-17T00:00:00"/>
    <n v="2023"/>
    <d v="2023-07-17T00:00:00"/>
    <d v="2063-07-16T00:00:00"/>
    <d v="2024-10-23T00:00:00"/>
    <x v="3"/>
    <d v="2024-10-31T00:00:00"/>
    <x v="3"/>
    <n v="6777671.2985146148"/>
    <n v="0"/>
  </r>
  <r>
    <s v="611,2024,20,2,00105"/>
    <s v="IMMO"/>
    <n v="28600"/>
    <d v="2023-10-31T00:00:00"/>
    <n v="2023"/>
    <d v="2023-10-31T00:00:00"/>
    <d v="2033-10-30T00:00:00"/>
    <d v="2024-10-31T00:00:00"/>
    <x v="3"/>
    <d v="2024-10-31T00:00:00"/>
    <x v="3"/>
    <n v="2316052.0167141296"/>
    <n v="0"/>
  </r>
  <r>
    <s v="611,2024,20,2,00108"/>
    <s v="IMMO"/>
    <n v="15988"/>
    <d v="2021-12-06T00:00:00"/>
    <n v="2021"/>
    <d v="2021-12-06T00:00:00"/>
    <d v="2036-12-05T00:00:00"/>
    <d v="2024-08-30T00:00:00"/>
    <x v="3"/>
    <d v="2024-11-07T00:00:00"/>
    <x v="3"/>
    <n v="75703458.722161368"/>
    <n v="0"/>
  </r>
  <r>
    <s v="611,2024,20,2,00110"/>
    <s v="IMMO"/>
    <n v="18512"/>
    <d v="2022-05-19T00:00:00"/>
    <n v="2022"/>
    <d v="2022-05-19T00:00:00"/>
    <d v="2038-05-18T00:00:00"/>
    <d v="2024-11-03T00:00:00"/>
    <x v="3"/>
    <d v="2024-11-11T00:00:00"/>
    <x v="3"/>
    <n v="5330686.2912887214"/>
    <n v="0"/>
  </r>
  <r>
    <s v="611,2024,20,2,00112"/>
    <s v="IMMO"/>
    <n v="5077"/>
    <d v="2019-03-28T00:00:00"/>
    <n v="2019"/>
    <d v="2019-03-29T00:00:00"/>
    <d v="2045-03-21T00:00:00"/>
    <d v="2024-10-21T00:00:00"/>
    <x v="3"/>
    <d v="2024-11-17T00:00:00"/>
    <x v="3"/>
    <n v="1284437.254623248"/>
    <n v="0"/>
  </r>
  <r>
    <s v="611,2024,20,2,00115"/>
    <s v="IMMO"/>
    <n v="1155"/>
    <d v="2017-11-20T00:00:00"/>
    <n v="2017"/>
    <d v="2017-08-07T00:00:00"/>
    <d v="2030-08-06T00:00:00"/>
    <d v="2024-09-09T00:00:00"/>
    <x v="3"/>
    <d v="2024-11-21T00:00:00"/>
    <x v="3"/>
    <n v="451713.74175268598"/>
    <n v="0"/>
  </r>
  <r>
    <s v="611,2024,20,2,00117"/>
    <s v="IMMO"/>
    <n v="4002"/>
    <d v="2018-12-19T00:00:00"/>
    <n v="2018"/>
    <d v="2018-11-20T00:00:00"/>
    <d v="2056-11-19T00:00:00"/>
    <d v="2024-09-11T00:00:00"/>
    <x v="3"/>
    <d v="2024-12-01T00:00:00"/>
    <x v="3"/>
    <n v="866067.86316521361"/>
    <n v="0"/>
  </r>
  <r>
    <s v="611,2024,20,2,00118"/>
    <s v="CONSO"/>
    <n v="23810"/>
    <d v="2023-03-30T00:00:00"/>
    <n v="2023"/>
    <d v="2023-03-30T00:00:00"/>
    <d v="2026-03-29T00:00:00"/>
    <d v="2024-11-28T00:00:00"/>
    <x v="3"/>
    <d v="2024-12-04T00:00:00"/>
    <x v="3"/>
    <n v="115397.26027397258"/>
    <n v="0"/>
  </r>
  <r>
    <s v="611,2024,20,2,00119"/>
    <s v="CONSO"/>
    <n v="24996"/>
    <d v="2023-05-04T00:00:00"/>
    <n v="2023"/>
    <d v="2023-07-05T00:00:00"/>
    <d v="2026-07-04T00:00:00"/>
    <d v="2024-11-24T00:00:00"/>
    <x v="3"/>
    <d v="2024-12-05T00:00:00"/>
    <x v="3"/>
    <n v="310922.37442922371"/>
    <n v="0"/>
  </r>
  <r>
    <s v="611,2024,20,2,00120"/>
    <s v="CONSO"/>
    <n v="16458"/>
    <d v="2022-04-25T00:00:00"/>
    <n v="2022"/>
    <d v="2022-04-25T00:00:00"/>
    <d v="2025-04-24T00:00:00"/>
    <d v="2024-10-06T00:00:00"/>
    <x v="3"/>
    <d v="2024-12-05T00:00:00"/>
    <x v="3"/>
    <n v="42374.429223744293"/>
    <n v="0"/>
  </r>
  <r>
    <s v="611,2024,20,2,00121"/>
    <s v="CONSO"/>
    <n v="17332"/>
    <d v="2022-06-22T00:00:00"/>
    <n v="2022"/>
    <d v="2022-06-22T00:00:00"/>
    <d v="2025-06-21T00:00:00"/>
    <d v="2024-07-28T00:00:00"/>
    <x v="3"/>
    <d v="2024-12-08T00:00:00"/>
    <x v="3"/>
    <n v="76084.018264840197"/>
    <n v="0"/>
  </r>
  <r>
    <s v="611,2024,20,2,00123"/>
    <s v="IMMO"/>
    <n v="22274"/>
    <d v="2022-12-19T00:00:00"/>
    <n v="2022"/>
    <d v="2022-12-19T00:00:00"/>
    <d v="2049-12-18T00:00:00"/>
    <d v="2024-11-26T00:00:00"/>
    <x v="3"/>
    <d v="2024-12-11T00:00:00"/>
    <x v="3"/>
    <n v="10024581.68542744"/>
    <n v="0"/>
  </r>
  <r>
    <s v="611,2024,20,2,00125"/>
    <s v="CONSO"/>
    <n v="29337"/>
    <d v="2023-09-14T00:00:00"/>
    <n v="2023"/>
    <d v="2023-09-30T00:00:00"/>
    <d v="2026-09-29T00:00:00"/>
    <d v="2024-11-13T00:00:00"/>
    <x v="3"/>
    <d v="2024-12-15T00:00:00"/>
    <x v="3"/>
    <n v="185076.99086757991"/>
    <n v="0"/>
  </r>
  <r>
    <s v="611,2024,20,2,00126"/>
    <s v="IMMO"/>
    <n v="14223"/>
    <d v="2021-07-27T00:00:00"/>
    <n v="2021"/>
    <d v="2021-07-02T00:00:00"/>
    <d v="2051-07-26T00:00:00"/>
    <d v="2024-06-14T00:00:00"/>
    <x v="3"/>
    <d v="2024-12-16T00:00:00"/>
    <x v="3"/>
    <n v="3361803.5241817688"/>
    <n v="0"/>
  </r>
  <r>
    <s v="611,2024,20,2,00128"/>
    <s v="IMMO"/>
    <n v="17132"/>
    <d v="2022-02-17T00:00:00"/>
    <n v="2022"/>
    <d v="2022-02-20T00:00:00"/>
    <d v="2042-02-19T00:00:00"/>
    <d v="2024-03-25T00:00:00"/>
    <x v="3"/>
    <d v="2024-12-16T00:00:00"/>
    <x v="3"/>
    <n v="7252738.2256297916"/>
    <n v="0"/>
  </r>
  <r>
    <s v="611,2024,20,2,00129"/>
    <s v="WARDA"/>
    <m/>
    <d v="2023-10-12T00:00:00"/>
    <n v="2023"/>
    <d v="2023-10-12T00:00:00"/>
    <d v="2024-10-11T00:00:00"/>
    <d v="2024-12-19T00:00:00"/>
    <x v="3"/>
    <d v="2024-12-19T00:00:00"/>
    <x v="3"/>
    <n v="500000"/>
    <n v="0"/>
  </r>
  <r>
    <s v="611,2024,20,2,00130"/>
    <s v="IMMO"/>
    <n v="30569"/>
    <d v="2024-01-31T00:00:00"/>
    <n v="2024"/>
    <d v="2024-01-31T00:00:00"/>
    <d v="2058-01-30T00:00:00"/>
    <d v="2024-05-01T00:00:00"/>
    <x v="3"/>
    <d v="2024-12-23T00:00:00"/>
    <x v="3"/>
    <n v="4875900.3286640355"/>
    <n v="0"/>
  </r>
  <r>
    <s v="611,2024,20,2,00133"/>
    <s v="IMMO"/>
    <n v="1463"/>
    <d v="2017-12-31T00:00:00"/>
    <n v="2017"/>
    <d v="2017-12-28T00:00:00"/>
    <d v="2033-12-27T00:00:00"/>
    <d v="2024-12-10T00:00:00"/>
    <x v="3"/>
    <d v="2024-12-26T00:00:00"/>
    <x v="3"/>
    <n v="3167643.0265685432"/>
    <n v="0"/>
  </r>
  <r>
    <s v="611,2024,20,2,00134"/>
    <s v="CONSO"/>
    <n v="29703"/>
    <d v="2023-09-27T00:00:00"/>
    <n v="2023"/>
    <d v="2023-09-27T00:00:00"/>
    <d v="2026-09-26T00:00:00"/>
    <d v="2024-10-08T00:00:00"/>
    <x v="3"/>
    <d v="2024-12-29T00:00:00"/>
    <x v="3"/>
    <n v="485223.74429223745"/>
    <n v="0"/>
  </r>
  <r>
    <s v="611,2024,20,2,00135"/>
    <s v="CONSO"/>
    <n v="982"/>
    <d v="2017-10-25T00:00:00"/>
    <n v="2017"/>
    <d v="2017-10-26T00:00:00"/>
    <d v="2033-10-25T00:00:00"/>
    <d v="2024-09-03T00:00:00"/>
    <x v="3"/>
    <d v="2024-12-30T00:00:00"/>
    <x v="3"/>
    <n v="2571538.5931884311"/>
    <n v="0"/>
  </r>
  <r>
    <s v="611,2024,20,2,00136"/>
    <s v="IMMO"/>
    <n v="6765"/>
    <d v="2019-10-13T00:00:00"/>
    <n v="2019"/>
    <d v="2019-10-13T00:00:00"/>
    <d v="2028-10-11T00:00:00"/>
    <d v="2024-12-12T00:00:00"/>
    <x v="3"/>
    <d v="2024-12-30T00:00:00"/>
    <x v="3"/>
    <n v="374573.74360316491"/>
    <n v="0"/>
  </r>
  <r>
    <s v="611,2024,20,2,00137"/>
    <s v="IMMO"/>
    <n v="24632"/>
    <d v="2023-04-10T00:00:00"/>
    <n v="2023"/>
    <d v="2023-04-10T00:00:00"/>
    <d v="2026-04-09T00:00:00"/>
    <d v="2023-07-02T00:00:00"/>
    <x v="6"/>
    <d v="2024-12-30T00:00:00"/>
    <x v="3"/>
    <n v="1848401.8264840182"/>
    <n v="1"/>
  </r>
  <r>
    <s v="611,2024,20,2,00138"/>
    <s v="CONSO"/>
    <n v="22183"/>
    <d v="2023-02-12T00:00:00"/>
    <n v="2023"/>
    <d v="2023-02-12T00:00:00"/>
    <s v="11-022026"/>
    <d v="2024-12-02T00:00:00"/>
    <x v="3"/>
    <d v="2024-12-30T00:00:00"/>
    <x v="3"/>
    <n v="850000"/>
    <n v="0"/>
  </r>
  <r>
    <s v="611,2024,20,2,00139"/>
    <s v="CONSO"/>
    <n v="2759"/>
    <d v="2018-07-10T00:00:00"/>
    <n v="2018"/>
    <d v="2018-07-11T00:00:00"/>
    <d v="2026-07-10T00:00:00"/>
    <d v="2024-12-18T00:00:00"/>
    <x v="3"/>
    <d v="2024-12-30T00:00:00"/>
    <x v="3"/>
    <n v="188368.02464909275"/>
    <n v="0"/>
  </r>
  <r>
    <s v="611,2024,20,2,00140"/>
    <s v="CONSO"/>
    <n v="22694"/>
    <d v="2023-02-27T00:00:00"/>
    <n v="2023"/>
    <d v="2023-03-30T00:00:00"/>
    <d v="2026-03-29T00:00:00"/>
    <d v="2023-08-01T00:00:00"/>
    <x v="6"/>
    <d v="2024-12-31T00:00:00"/>
    <x v="3"/>
    <n v="221689.49771689498"/>
    <n v="1"/>
  </r>
  <r>
    <s v="611,2024,20,2,00079"/>
    <s v="CONSO"/>
    <n v="601241"/>
    <d v="2023-10-29T00:00:00"/>
    <n v="2023"/>
    <d v="2023-11-06T00:00:00"/>
    <d v="2028-11-03T00:00:00"/>
    <d v="2024-04-08T00:00:00"/>
    <x v="3"/>
    <d v="2024-08-05T00:00:00"/>
    <x v="3"/>
    <n v="520358.81578947371"/>
    <n v="0"/>
  </r>
  <r>
    <s v="611,2024,20,2,00103"/>
    <s v="CONSO"/>
    <n v="600786"/>
    <d v="2023-07-25T00:00:00"/>
    <n v="2023"/>
    <d v="2023-07-27T00:00:00"/>
    <d v="2028-07-25T00:00:00"/>
    <d v="2024-10-09T00:00:00"/>
    <x v="3"/>
    <d v="2024-10-31T00:00:00"/>
    <x v="3"/>
    <n v="533889.04868493148"/>
    <n v="0"/>
  </r>
  <r>
    <s v="611,2024,20,2,00124"/>
    <s v="CONSO"/>
    <n v="602011"/>
    <d v="2024-05-16T00:00:00"/>
    <n v="2024"/>
    <d v="2024-05-19T00:00:00"/>
    <d v="2029-05-17T00:00:00"/>
    <d v="2024-10-22T00:00:00"/>
    <x v="3"/>
    <d v="2024-12-11T00:00:00"/>
    <x v="3"/>
    <n v="395569.30921052635"/>
    <n v="0"/>
  </r>
  <r>
    <s v="611,2024,20,2,00131"/>
    <s v="CONSO"/>
    <n v="600277"/>
    <d v="2023-03-08T00:00:00"/>
    <n v="2023"/>
    <d v="2023-03-09T00:00:00"/>
    <d v="2028-03-06T00:00:00"/>
    <d v="2024-11-05T00:00:00"/>
    <x v="3"/>
    <d v="2024-12-23T00:00:00"/>
    <x v="3"/>
    <n v="733936.40350877191"/>
    <n v="0"/>
  </r>
  <r>
    <s v="900,2024,20,2,00001"/>
    <s v="CONSO"/>
    <n v="18102"/>
    <d v="2022-08-14T00:00:00"/>
    <n v="2022"/>
    <d v="2022-08-15T00:00:00"/>
    <d v="2025-08-14T00:00:00"/>
    <d v="2024-01-01T00:00:00"/>
    <x v="3"/>
    <d v="2024-01-15T00:00:00"/>
    <x v="3"/>
    <n v="452830.1369863014"/>
    <n v="0"/>
  </r>
  <r>
    <s v="611,2025,20,2,00001"/>
    <s v="IMMO"/>
    <n v="22470"/>
    <d v="2022-12-27T00:00:00"/>
    <n v="2022"/>
    <d v="2022-12-27T00:00:00"/>
    <d v="2055-12-26T00:00:00"/>
    <d v="2024-11-18T00:00:00"/>
    <x v="3"/>
    <d v="2025-01-05T00:00:00"/>
    <x v="7"/>
    <n v="7871150"/>
    <n v="1"/>
  </r>
  <r>
    <s v="611,2025,20,2,00002"/>
    <s v="IMMO"/>
    <n v="24812"/>
    <d v="2023-04-20T00:00:00"/>
    <n v="2023"/>
    <d v="2023-04-20T00:00:00"/>
    <d v="2031-04-19T00:00:00"/>
    <d v="2024-04-29T00:00:00"/>
    <x v="3"/>
    <d v="2025-01-14T00:00:00"/>
    <x v="7"/>
    <n v="3383274.31"/>
    <n v="1"/>
  </r>
  <r>
    <s v="611,2025,20,2,00003"/>
    <s v="CONSO"/>
    <n v="18277"/>
    <d v="2022-08-29T00:00:00"/>
    <n v="2022"/>
    <d v="2022-09-29T00:00:00"/>
    <d v="2025-08-28T00:00:00"/>
    <d v="2025-01-19T00:00:00"/>
    <x v="7"/>
    <d v="2025-01-19T00:00:00"/>
    <x v="7"/>
    <n v="101745.25"/>
    <n v="0"/>
  </r>
  <r>
    <s v="611,2025,20,2,00004"/>
    <s v="CONSO"/>
    <n v="14679"/>
    <d v="2024-10-22T00:00:00"/>
    <n v="2024"/>
    <d v="2024-10-22T00:00:00"/>
    <d v="2029-10-21T00:00:00"/>
    <d v="2025-01-01T00:00:00"/>
    <x v="7"/>
    <d v="2025-01-07T00:00:00"/>
    <x v="7"/>
    <n v="965570.45"/>
    <n v="0"/>
  </r>
  <r>
    <s v="611,2025,20,2,00005"/>
    <s v="IMMO"/>
    <n v="2469"/>
    <d v="2018-02-16T00:00:00"/>
    <n v="2018"/>
    <d v="2018-02-16T00:00:00"/>
    <d v="2041-02-15T00:00:00"/>
    <d v="2024-07-29T00:00:00"/>
    <x v="3"/>
    <d v="2025-01-13T00:00:00"/>
    <x v="7"/>
    <n v="810000"/>
    <n v="1"/>
  </r>
  <r>
    <s v="611,2025,20,2,00006"/>
    <s v="IMMO"/>
    <n v="5687"/>
    <d v="2019-05-23T00:00:00"/>
    <n v="2019"/>
    <d v="2019-05-23T00:00:00"/>
    <d v="2039-05-17T00:00:00"/>
    <d v="2024-07-09T00:00:00"/>
    <x v="3"/>
    <d v="2025-01-16T00:00:00"/>
    <x v="7"/>
    <n v="1596233.68"/>
    <n v="1"/>
  </r>
  <r>
    <s v="611,2025,20,2,00007"/>
    <s v="IMMO"/>
    <n v="10103"/>
    <d v="2020-12-15T00:00:00"/>
    <n v="2020"/>
    <d v="2020-12-15T00:00:00"/>
    <d v="2036-12-13T00:00:00"/>
    <d v="2025-01-01T00:00:00"/>
    <x v="7"/>
    <d v="2025-01-16T00:00:00"/>
    <x v="7"/>
    <n v="1032075.67"/>
    <n v="0"/>
  </r>
  <r>
    <s v="611,2025,20,2,00008"/>
    <s v="IMMO"/>
    <n v="6263"/>
    <d v="2019-07-25T00:00:00"/>
    <n v="2019"/>
    <d v="2019-07-25T00:00:00"/>
    <d v="2029-07-23T00:00:00"/>
    <d v="2024-11-15T00:00:00"/>
    <x v="3"/>
    <d v="2025-01-21T00:00:00"/>
    <x v="7"/>
    <n v="1416028.63"/>
    <n v="1"/>
  </r>
  <r>
    <s v="611,2025,20,2,00009"/>
    <s v="CONSO"/>
    <n v="16283"/>
    <d v="2022-04-11T00:00:00"/>
    <n v="2022"/>
    <d v="2025-04-10T00:00:00"/>
    <d v="2025-04-10T00:00:00"/>
    <d v="2024-12-22T00:00:00"/>
    <x v="3"/>
    <d v="2025-01-23T00:00:00"/>
    <x v="7"/>
    <n v="43302.96"/>
    <n v="1"/>
  </r>
  <r>
    <s v="611,2025,20,2,00010"/>
    <s v="CONSO"/>
    <n v="3693"/>
    <d v="2022-01-05T00:00:00"/>
    <n v="2022"/>
    <d v="2022-01-05T00:00:00"/>
    <d v="2027-01-04T00:00:00"/>
    <d v="2024-10-18T00:00:00"/>
    <x v="3"/>
    <d v="2025-01-28T00:00:00"/>
    <x v="7"/>
    <n v="333754.59999999998"/>
    <n v="1"/>
  </r>
  <r>
    <s v="611,2025,20,2,00011"/>
    <s v="IMMO"/>
    <n v="9298"/>
    <d v="2020-07-27T00:00:00"/>
    <n v="2020"/>
    <d v="2020-07-27T00:00:00"/>
    <d v="2037-07-22T00:00:00"/>
    <d v="2025-02-02T00:00:00"/>
    <x v="7"/>
    <d v="2025-02-04T00:00:00"/>
    <x v="7"/>
    <n v="4624786.3"/>
    <n v="0"/>
  </r>
  <r>
    <s v="611,2025,20,2,00012"/>
    <s v="CONSO"/>
    <n v="600290"/>
    <d v="2023-03-14T00:00:00"/>
    <n v="2023"/>
    <d v="2023-03-16T00:00:00"/>
    <d v="2028-03-13T00:00:00"/>
    <d v="2025-01-21T00:00:00"/>
    <x v="7"/>
    <d v="2025-02-04T00:00:00"/>
    <x v="7"/>
    <n v="387495.19"/>
    <n v="0"/>
  </r>
  <r>
    <s v="611,2025,20,2,00013"/>
    <s v="IMMO"/>
    <n v="16749"/>
    <d v="2022-01-23T00:00:00"/>
    <n v="2022"/>
    <d v="2022-01-23T00:00:00"/>
    <d v="2032-01-22T00:00:00"/>
    <d v="2023-02-25T00:00:00"/>
    <x v="6"/>
    <d v="2025-02-10T00:00:00"/>
    <x v="7"/>
    <n v="1150000"/>
    <n v="2"/>
  </r>
  <r>
    <s v="611,2025,20,2,00014"/>
    <s v="CONSO"/>
    <n v="24898"/>
    <d v="2023-05-02T00:00:00"/>
    <n v="2023"/>
    <d v="2023-05-02T00:00:00"/>
    <d v="2026-05-01T00:00:00"/>
    <d v="2024-10-06T00:00:00"/>
    <x v="3"/>
    <d v="2025-02-13T00:00:00"/>
    <x v="7"/>
    <n v="200555.48"/>
    <n v="1"/>
  </r>
  <r>
    <s v="611,2025,20,2,00015"/>
    <s v="CONSO"/>
    <n v="33072"/>
    <d v="2024-04-02T00:00:00"/>
    <n v="2024"/>
    <d v="2024-04-03T00:00:00"/>
    <d v="2027-04-02T00:00:00"/>
    <d v="2025-01-16T00:00:00"/>
    <x v="7"/>
    <d v="2025-02-13T00:00:00"/>
    <x v="7"/>
    <n v="653086.28"/>
    <n v="0"/>
  </r>
  <r>
    <s v="611,2025,20,2,00016"/>
    <s v="CONSO"/>
    <n v="6814"/>
    <d v="2022-10-23T00:00:00"/>
    <n v="2022"/>
    <d v="2022-10-23T00:00:00"/>
    <d v="2027-10-22T00:00:00"/>
    <d v="2024-11-06T00:00:00"/>
    <x v="3"/>
    <d v="2025-02-18T00:00:00"/>
    <x v="7"/>
    <n v="704800"/>
    <n v="1"/>
  </r>
  <r>
    <s v="611,2025,20,2,00017"/>
    <s v="CONSO"/>
    <n v="17475"/>
    <d v="2022-03-09T00:00:00"/>
    <n v="2022"/>
    <d v="2022-03-14T00:00:00"/>
    <d v="2037-03-13T00:00:00"/>
    <d v="2024-12-05T00:00:00"/>
    <x v="3"/>
    <d v="2025-02-19T00:00:00"/>
    <x v="7"/>
    <n v="1208918.75"/>
    <n v="1"/>
  </r>
  <r>
    <s v="611,2025,20,2,00018"/>
    <s v="CONSO"/>
    <n v="5651"/>
    <d v="2022-06-26T00:00:00"/>
    <n v="2022"/>
    <d v="2022-06-26T00:00:00"/>
    <d v="2027-06-25T00:00:00"/>
    <d v="2025-02-05T00:00:00"/>
    <x v="7"/>
    <d v="2025-02-23T00:00:00"/>
    <x v="7"/>
    <n v="544779.59"/>
    <n v="0"/>
  </r>
  <r>
    <s v="611,2025,20,2,00019"/>
    <s v="CONSO"/>
    <n v="837"/>
    <d v="2021-05-23T00:00:00"/>
    <n v="2021"/>
    <d v="2021-05-23T00:00:00"/>
    <d v="2026-05-22T00:00:00"/>
    <d v="2023-07-26T00:00:00"/>
    <x v="6"/>
    <d v="2025-02-25T00:00:00"/>
    <x v="7"/>
    <n v="650653.77"/>
    <n v="2"/>
  </r>
  <r>
    <s v="611,2025,20,2,00020"/>
    <s v="CONSO"/>
    <n v="17600"/>
    <d v="2022-07-07T00:00:00"/>
    <n v="2022"/>
    <d v="2022-07-07T00:00:00"/>
    <d v="2025-07-06T00:00:00"/>
    <d v="2024-11-12T00:00:00"/>
    <x v="3"/>
    <d v="2025-03-03T00:00:00"/>
    <x v="7"/>
    <n v="199217.56"/>
    <n v="1"/>
  </r>
  <r>
    <s v="611,2025,20,2,00021"/>
    <s v="CONSO"/>
    <n v="487"/>
    <d v="2021-04-28T00:00:00"/>
    <n v="2021"/>
    <d v="2021-04-28T00:00:00"/>
    <d v="2026-04-27T00:00:00"/>
    <d v="2024-10-27T00:00:00"/>
    <x v="3"/>
    <d v="2025-03-03T00:00:00"/>
    <x v="7"/>
    <n v="387998"/>
    <n v="1"/>
  </r>
  <r>
    <s v="611,2025,20,2,00022"/>
    <s v="CONSO"/>
    <n v="601192"/>
    <d v="2023-10-17T00:00:00"/>
    <n v="2023"/>
    <d v="2023-10-22T00:00:00"/>
    <d v="2028-10-19T00:00:00"/>
    <d v="2025-02-27T00:00:00"/>
    <x v="7"/>
    <d v="2025-03-04T00:00:00"/>
    <x v="7"/>
    <n v="573922.63"/>
    <n v="0"/>
  </r>
  <r>
    <s v="611,2025,20,2,00023"/>
    <s v="IMMO"/>
    <n v="30776"/>
    <d v="2024-02-14T00:00:00"/>
    <n v="2024"/>
    <d v="2024-02-14T00:00:00"/>
    <d v="2039-02-13T00:00:00"/>
    <d v="2025-01-26T00:00:00"/>
    <x v="7"/>
    <d v="2025-03-04T00:00:00"/>
    <x v="7"/>
    <n v="3002515.8"/>
    <n v="0"/>
  </r>
  <r>
    <s v="611,2025,20,2,00024"/>
    <s v="CONSO"/>
    <n v="20347"/>
    <d v="2022-12-12T00:00:00"/>
    <n v="2022"/>
    <d v="2022-12-12T00:00:00"/>
    <d v="2025-12-11T00:00:00"/>
    <d v="2025-02-18T00:00:00"/>
    <x v="7"/>
    <d v="2025-03-04T00:00:00"/>
    <x v="7"/>
    <n v="105555.44"/>
    <n v="0"/>
  </r>
  <r>
    <s v="611,2025,20,2,00025"/>
    <s v="IMMO"/>
    <n v="3310"/>
    <d v="2018-10-01T00:00:00"/>
    <n v="2018"/>
    <d v="2022-10-04T00:00:00"/>
    <d v="2030-09-30T00:00:00"/>
    <d v="2024-10-02T00:00:00"/>
    <x v="3"/>
    <d v="2025-03-09T00:00:00"/>
    <x v="7"/>
    <n v="2352336.87"/>
    <n v="1"/>
  </r>
  <r>
    <s v="611,2025,20,2,00026"/>
    <s v="CONSO"/>
    <n v="2984"/>
    <d v="2021-11-16T00:00:00"/>
    <n v="2021"/>
    <d v="2021-11-16T00:00:00"/>
    <d v="2026-11-15T00:00:00"/>
    <d v="2023-08-05T00:00:00"/>
    <x v="6"/>
    <d v="2025-03-11T00:00:00"/>
    <x v="7"/>
    <n v="527301.27"/>
    <n v="2"/>
  </r>
  <r>
    <s v="611,2025,20,2,00027"/>
    <s v="IMMO"/>
    <n v="19892"/>
    <d v="2022-07-31T00:00:00"/>
    <n v="2022"/>
    <d v="2022-08-01T00:00:00"/>
    <d v="2040-07-31T00:00:00"/>
    <d v="2025-02-16T00:00:00"/>
    <x v="7"/>
    <d v="2025-03-12T00:00:00"/>
    <x v="7"/>
    <n v="4869542.0199999996"/>
    <n v="0"/>
  </r>
  <r>
    <s v="611,2025,20,2,00028"/>
    <s v="CONSO"/>
    <n v="22429"/>
    <d v="2023-02-20T00:00:00"/>
    <n v="2023"/>
    <d v="2023-02-20T00:00:00"/>
    <d v="2026-02-19T00:00:00"/>
    <d v="2025-04-13T00:00:00"/>
    <x v="7"/>
    <d v="2025-04-13T00:00:00"/>
    <x v="7"/>
    <n v="115000"/>
    <n v="0"/>
  </r>
  <r>
    <s v="611,2025,20,2,00029"/>
    <s v="CONSO"/>
    <n v="17118"/>
    <d v="2022-06-09T00:00:00"/>
    <n v="2022"/>
    <d v="2022-06-09T00:00:00"/>
    <d v="2025-06-08T00:00:00"/>
    <d v="2025-02-24T00:00:00"/>
    <x v="7"/>
    <d v="2025-03-17T00:00:00"/>
    <x v="7"/>
    <n v="125455.24"/>
    <n v="0"/>
  </r>
  <r>
    <s v="611,2025,20,2,00030"/>
    <s v="CONSO"/>
    <n v="14309"/>
    <d v="2024-09-24T00:00:00"/>
    <n v="2024"/>
    <d v="2024-09-24T00:00:00"/>
    <d v="2029-09-23T00:00:00"/>
    <d v="2025-03-05T00:00:00"/>
    <x v="7"/>
    <d v="2025-03-18T00:00:00"/>
    <x v="7"/>
    <n v="635827.54"/>
    <n v="0"/>
  </r>
  <r>
    <s v="611,2025,20,2,00031"/>
    <s v="CONSO"/>
    <n v="9568"/>
    <d v="2023-09-07T00:00:00"/>
    <n v="2023"/>
    <d v="2023-09-07T00:00:00"/>
    <d v="2028-09-06T00:00:00"/>
    <d v="2024-05-24T00:00:00"/>
    <x v="3"/>
    <d v="2025-03-20T00:00:00"/>
    <x v="7"/>
    <n v="721212.23"/>
    <n v="1"/>
  </r>
  <r>
    <s v="611,2025,20,2,00032"/>
    <s v="CONSO"/>
    <n v="600067"/>
    <d v="2022-08-04T00:00:00"/>
    <n v="2022"/>
    <d v="2022-08-30T00:00:00"/>
    <d v="2027-08-28T00:00:00"/>
    <d v="2025-02-21T00:00:00"/>
    <x v="7"/>
    <d v="2025-03-26T00:00:00"/>
    <x v="7"/>
    <n v="636170.68000000005"/>
    <n v="0"/>
  </r>
  <r>
    <s v="611,2025,20,2,00033"/>
    <s v="CONSO"/>
    <n v="23530"/>
    <d v="2023-03-22T00:00:00"/>
    <n v="2023"/>
    <d v="2023-03-22T00:00:00"/>
    <d v="2026-03-21T00:00:00"/>
    <d v="2025-03-12T00:00:00"/>
    <x v="7"/>
    <d v="2025-03-26T00:00:00"/>
    <x v="7"/>
    <n v="259003.96"/>
    <n v="0"/>
  </r>
  <r>
    <s v="611,2025,20,2,00034"/>
    <s v="CONSO"/>
    <n v="13572"/>
    <d v="2024-07-28T00:00:00"/>
    <n v="2024"/>
    <d v="2024-07-28T00:00:00"/>
    <d v="2029-07-27T00:00:00"/>
    <d v="2025-02-17T00:00:00"/>
    <x v="7"/>
    <d v="2025-03-26T00:00:00"/>
    <x v="7"/>
    <n v="669980.24"/>
    <n v="0"/>
  </r>
  <r>
    <s v="611,2025,20,2,00035"/>
    <s v="CONSO"/>
    <n v="7808"/>
    <d v="2023-02-06T00:00:00"/>
    <n v="2023"/>
    <d v="2023-02-06T00:00:00"/>
    <d v="2027-02-05T00:00:00"/>
    <d v="2024-08-29T00:00:00"/>
    <x v="3"/>
    <d v="2025-04-03T00:00:00"/>
    <x v="7"/>
    <n v="474113.03"/>
    <n v="1"/>
  </r>
  <r>
    <s v="611,2025,20,2,00036"/>
    <s v="CONSO"/>
    <n v="10644"/>
    <d v="2023-12-06T00:00:00"/>
    <n v="2023"/>
    <d v="2023-12-06T00:00:00"/>
    <d v="2028-12-05T00:00:00"/>
    <d v="2024-06-09T00:00:00"/>
    <x v="3"/>
    <d v="2025-04-03T00:00:00"/>
    <x v="7"/>
    <n v="462586.04"/>
    <n v="1"/>
  </r>
  <r>
    <s v="611,2025,20,2,00037"/>
    <s v="IMMO"/>
    <n v="10324"/>
    <d v="2020-11-11T00:00:00"/>
    <n v="2020"/>
    <d v="2020-11-11T00:00:00"/>
    <s v="10/11/20235"/>
    <d v="2024-11-27T00:00:00"/>
    <x v="3"/>
    <d v="2025-04-06T00:00:00"/>
    <x v="7"/>
    <n v="3563836.69"/>
    <n v="1"/>
  </r>
  <r>
    <s v="611,2025,20,2,00038"/>
    <s v="CONSO"/>
    <n v="10406"/>
    <d v="2023-11-19T00:00:00"/>
    <n v="2023"/>
    <d v="2023-11-19T00:00:00"/>
    <d v="2028-11-18T00:00:00"/>
    <d v="2024-04-30T00:00:00"/>
    <x v="3"/>
    <d v="2025-04-07T00:00:00"/>
    <x v="7"/>
    <n v="917951.22"/>
    <n v="1"/>
  </r>
  <r>
    <s v="611,2025,20,2,00039"/>
    <s v="CONSO"/>
    <n v="30976"/>
    <d v="2023-11-29T00:00:00"/>
    <n v="2023"/>
    <d v="2023-11-30T00:00:00"/>
    <d v="2026-11-29T00:00:00"/>
    <d v="2025-03-07T00:00:00"/>
    <x v="7"/>
    <d v="2025-04-07T00:00:00"/>
    <x v="7"/>
    <n v="559035.06000000006"/>
    <n v="0"/>
  </r>
  <r>
    <s v="611,2025,20,2,00040"/>
    <s v="CONSO"/>
    <n v="17041"/>
    <d v="2022-02-13T00:00:00"/>
    <n v="2022"/>
    <d v="2022-02-13T00:00:00"/>
    <d v="2031-02-12T00:00:00"/>
    <d v="2022-12-22T00:00:00"/>
    <x v="5"/>
    <d v="2025-04-09T00:00:00"/>
    <x v="7"/>
    <n v="900000"/>
    <n v="3"/>
  </r>
  <r>
    <s v="611,2025,20,2,00041"/>
    <s v="CONSO"/>
    <n v="33746"/>
    <d v="2024-05-19T00:00:00"/>
    <n v="2024"/>
    <d v="2024-05-19T00:00:00"/>
    <s v="18/05/027"/>
    <d v="2025-02-21T00:00:00"/>
    <x v="7"/>
    <d v="2025-04-10T00:00:00"/>
    <x v="7"/>
    <n v="458849.95"/>
    <n v="0"/>
  </r>
  <r>
    <s v="611,2025,20,2,00042"/>
    <s v="CONSO"/>
    <n v="31550"/>
    <d v="2024-03-26T00:00:00"/>
    <n v="2024"/>
    <d v="2024-03-26T00:00:00"/>
    <d v="2031-03-25T00:00:00"/>
    <d v="2025-03-29T00:00:00"/>
    <x v="7"/>
    <d v="2025-04-13T00:00:00"/>
    <x v="7"/>
    <n v="3106353.43"/>
    <n v="0"/>
  </r>
  <r>
    <s v="611,2025,20,2,00043"/>
    <s v="CONSO"/>
    <n v="11003"/>
    <d v="2023-12-31T00:00:00"/>
    <n v="2023"/>
    <d v="2023-12-31T00:00:00"/>
    <d v="2028-12-30T00:00:00"/>
    <d v="2025-04-03T00:00:00"/>
    <x v="7"/>
    <d v="2025-04-14T00:00:00"/>
    <x v="7"/>
    <n v="481494.61"/>
    <n v="0"/>
  </r>
  <r>
    <s v="611,2025,20,2,00044"/>
    <s v="CONSO"/>
    <n v="32386"/>
    <d v="2024-05-15T00:00:00"/>
    <n v="2024"/>
    <d v="2024-05-15T00:00:00"/>
    <d v="2057-05-14T00:00:00"/>
    <d v="2025-04-04T00:00:00"/>
    <x v="7"/>
    <d v="2025-04-20T00:00:00"/>
    <x v="7"/>
    <n v="7615746.2686567167"/>
    <n v="0"/>
  </r>
  <r>
    <s v="611,2025,20,2,00045"/>
    <s v="CONSO"/>
    <n v="21911"/>
    <d v="2023-02-02T00:00:00"/>
    <n v="2023"/>
    <d v="2023-02-02T00:00:00"/>
    <d v="2026-02-01T00:00:00"/>
    <d v="2025-04-19T00:00:00"/>
    <x v="7"/>
    <d v="2025-04-20T00:00:00"/>
    <x v="7"/>
    <n v="322231.2"/>
    <n v="0"/>
  </r>
  <r>
    <s v="611,2025,20,2,00046"/>
    <s v="CONSO"/>
    <n v="16057"/>
    <d v="2021-12-09T00:00:00"/>
    <n v="2021"/>
    <d v="2021-12-09T00:00:00"/>
    <d v="2051-12-08T00:00:00"/>
    <d v="2025-03-23T00:00:00"/>
    <x v="7"/>
    <d v="2025-04-23T00:00:00"/>
    <x v="7"/>
    <n v="9782109.4600000009"/>
    <n v="0"/>
  </r>
  <r>
    <s v="611,2025,20,2,00047"/>
    <s v="CONSO"/>
    <n v="11072"/>
    <d v="2024-01-08T00:00:00"/>
    <n v="2024"/>
    <d v="2024-01-08T00:00:00"/>
    <d v="2027-01-07T00:00:00"/>
    <d v="2024-10-08T00:00:00"/>
    <x v="3"/>
    <d v="2025-04-29T00:00:00"/>
    <x v="7"/>
    <n v="313011.81"/>
    <n v="1"/>
  </r>
  <r>
    <s v="611,2025,20,2,00048"/>
    <s v="CONSO"/>
    <n v="18750"/>
    <d v="2022-10-04T00:00:00"/>
    <n v="2022"/>
    <d v="2022-10-04T00:00:00"/>
    <d v="2025-10-03T00:00:00"/>
    <d v="2025-04-21T00:00:00"/>
    <x v="7"/>
    <d v="2025-04-30T00:00:00"/>
    <x v="7"/>
    <n v="142004.19"/>
    <n v="0"/>
  </r>
  <r>
    <s v="611,2025,20,2,00049"/>
    <s v="CONSO"/>
    <n v="3169"/>
    <d v="2021-12-01T00:00:00"/>
    <n v="2021"/>
    <d v="2021-12-01T00:00:00"/>
    <d v="2025-11-30T00:00:00"/>
    <d v="2025-03-15T00:00:00"/>
    <x v="7"/>
    <d v="2025-04-30T00:00:00"/>
    <x v="7"/>
    <n v="77142.857142857159"/>
    <n v="0"/>
  </r>
  <r>
    <s v="611,2025,20,2,00050"/>
    <s v="CONSO"/>
    <n v="864"/>
    <d v="2021-05-25T00:00:00"/>
    <n v="2021"/>
    <d v="2021-05-25T00:00:00"/>
    <d v="2026-05-24T00:00:00"/>
    <d v="2022-06-29T00:00:00"/>
    <x v="5"/>
    <d v="2025-04-30T00:00:00"/>
    <x v="7"/>
    <n v="590932.66"/>
    <n v="3"/>
  </r>
  <r>
    <s v="611,2025,20,2,00051"/>
    <s v="IMMO"/>
    <n v="10793"/>
    <d v="2020-12-23T00:00:00"/>
    <n v="2020"/>
    <d v="2020-12-23T00:00:00"/>
    <d v="2035-12-26T00:00:00"/>
    <d v="2025-04-24T00:00:00"/>
    <x v="7"/>
    <d v="2025-05-04T00:00:00"/>
    <x v="7"/>
    <n v="2739513.83"/>
    <n v="0"/>
  </r>
  <r>
    <s v="611,2025,20,2,00052"/>
    <s v="IMMO"/>
    <n v="4068"/>
    <d v="2018-12-25T00:00:00"/>
    <n v="2018"/>
    <d v="2018-02-26T00:00:00"/>
    <d v="2054-12-16T00:00:00"/>
    <d v="2025-03-27T00:00:00"/>
    <x v="7"/>
    <d v="2025-05-06T00:00:00"/>
    <x v="7"/>
    <n v="8891826.2300000004"/>
    <n v="0"/>
  </r>
  <r>
    <s v="611,2025,20,2,00053"/>
    <s v="CONSO"/>
    <n v="28861"/>
    <d v="2023-08-13T00:00:00"/>
    <n v="2023"/>
    <d v="2023-08-14T00:00:00"/>
    <d v="2026-08-13T00:00:00"/>
    <d v="2025-04-09T00:00:00"/>
    <x v="7"/>
    <d v="2025-05-07T00:00:00"/>
    <x v="7"/>
    <n v="503972.81"/>
    <n v="0"/>
  </r>
  <r>
    <s v="611,2025,20,2,00054"/>
    <s v="IMMO"/>
    <n v="6273"/>
    <d v="2019-07-25T00:00:00"/>
    <n v="2019"/>
    <d v="2019-04-17T00:00:00"/>
    <d v="2031-04-13T00:00:00"/>
    <d v="2025-04-26T00:00:00"/>
    <x v="7"/>
    <d v="2025-05-14T00:00:00"/>
    <x v="7"/>
    <n v="1349064.96"/>
    <n v="0"/>
  </r>
  <r>
    <s v="611,2025,20,2,00055"/>
    <s v="CONSO"/>
    <n v="17571"/>
    <d v="2022-07-04T00:00:00"/>
    <n v="2022"/>
    <d v="2022-07-05T00:00:00"/>
    <d v="2025-07-04T00:00:00"/>
    <d v="2025-03-25T00:00:00"/>
    <x v="7"/>
    <d v="2025-05-15T00:00:00"/>
    <x v="7"/>
    <n v="125306.9"/>
    <n v="0"/>
  </r>
  <r>
    <s v="611,2025,20,2,00056"/>
    <s v="CONSO"/>
    <n v="22665"/>
    <d v="2023-02-26T00:00:00"/>
    <n v="2023"/>
    <d v="2023-03-05T00:00:00"/>
    <d v="2025-03-04T00:00:00"/>
    <d v="2025-04-16T00:00:00"/>
    <x v="7"/>
    <d v="2025-05-19T00:00:00"/>
    <x v="7"/>
    <n v="168966.17"/>
    <n v="0"/>
  </r>
  <r>
    <s v="611,2025,20,2,00057"/>
    <s v="CONSO"/>
    <n v="12231"/>
    <d v="2024-04-07T00:00:00"/>
    <n v="2024"/>
    <d v="2024-04-07T00:00:00"/>
    <d v="2029-04-06T00:00:00"/>
    <d v="2025-05-01T00:00:00"/>
    <x v="7"/>
    <d v="2025-05-20T00:00:00"/>
    <x v="7"/>
    <n v="595666.77"/>
    <n v="0"/>
  </r>
  <r>
    <s v="611,2025,20,2,00058"/>
    <s v="CONSO"/>
    <n v="4579"/>
    <d v="2022-04-05T00:00:00"/>
    <n v="2022"/>
    <d v="2022-04-05T00:00:00"/>
    <d v="2027-04-04T00:00:00"/>
    <d v="2024-10-18T00:00:00"/>
    <x v="3"/>
    <d v="2025-05-21T00:00:00"/>
    <x v="7"/>
    <n v="455242"/>
    <n v="1"/>
  </r>
  <r>
    <s v="611,2025,20,2,00059"/>
    <s v="CONSO"/>
    <n v="11162"/>
    <d v="2024-01-15T00:00:00"/>
    <n v="2024"/>
    <d v="2024-01-15T00:00:00"/>
    <d v="2028-01-14T00:00:00"/>
    <d v="2025-04-16T00:00:00"/>
    <x v="7"/>
    <d v="2025-05-21T00:00:00"/>
    <x v="7"/>
    <n v="185643.51"/>
    <n v="0"/>
  </r>
  <r>
    <s v="611,2025,20,2,00060"/>
    <s v="CONSO"/>
    <n v="36728"/>
    <d v="2024-12-05T00:00:00"/>
    <n v="2024"/>
    <d v="2024-12-05T00:00:00"/>
    <d v="2027-12-04T00:00:00"/>
    <d v="2025-05-01T00:00:00"/>
    <x v="7"/>
    <d v="2025-05-22T00:00:00"/>
    <x v="7"/>
    <n v="649942.26"/>
    <n v="0"/>
  </r>
  <r>
    <s v="611,2025,20,2,00061"/>
    <s v="CONSO"/>
    <n v="30234"/>
    <d v="2023-10-24T00:00:00"/>
    <n v="2023"/>
    <d v="2023-10-24T00:00:00"/>
    <d v="2026-10-23T00:00:00"/>
    <d v="2025-04-02T00:00:00"/>
    <x v="7"/>
    <d v="2025-05-25T00:00:00"/>
    <x v="7"/>
    <n v="148918.91891891893"/>
    <n v="0"/>
  </r>
  <r>
    <s v="611,2025,20,2,00062"/>
    <s v="CONSO"/>
    <n v="17023"/>
    <d v="2022-02-10T00:00:00"/>
    <n v="2022"/>
    <d v="2022-02-10T00:00:00"/>
    <d v="1952-02-09T00:00:00"/>
    <d v="2025-04-24T00:00:00"/>
    <x v="7"/>
    <d v="2025-05-26T00:00:00"/>
    <x v="7"/>
    <n v="5571750"/>
    <n v="0"/>
  </r>
  <r>
    <s v="611,2025,20,2,00063"/>
    <s v="CONSO"/>
    <n v="33134"/>
    <d v="2024-04-07T00:00:00"/>
    <n v="2024"/>
    <d v="2024-04-07T00:00:00"/>
    <d v="2027-04-06T00:00:00"/>
    <d v="2024-06-16T00:00:00"/>
    <x v="3"/>
    <d v="2025-05-28T00:00:00"/>
    <x v="7"/>
    <n v="282388.88888888888"/>
    <n v="1"/>
  </r>
  <r>
    <s v="611,2025,20,2,00064"/>
    <s v="CONSO"/>
    <n v="27531"/>
    <d v="2023-07-06T00:00:00"/>
    <n v="2023"/>
    <d v="2023-07-07T00:00:00"/>
    <d v="2026-07-06T00:00:00"/>
    <d v="2025-05-03T00:00:00"/>
    <x v="7"/>
    <d v="2025-06-03T00:00:00"/>
    <x v="7"/>
    <n v="259459.45945945947"/>
    <n v="0"/>
  </r>
  <r>
    <s v="611,2025,20,2,00065"/>
    <s v="IMMO"/>
    <n v="24160"/>
    <d v="2023-03-16T00:00:00"/>
    <n v="2023"/>
    <d v="2023-03-16T00:00:00"/>
    <d v="2047-03-15T00:00:00"/>
    <d v="2024-11-25T00:00:00"/>
    <x v="3"/>
    <d v="2025-06-04T00:00:00"/>
    <x v="7"/>
    <n v="4459185"/>
    <n v="1"/>
  </r>
  <r>
    <s v="611,2025,20,2,00066"/>
    <s v="CONSO"/>
    <n v="4612"/>
    <d v="2022-04-07T00:00:00"/>
    <n v="2022"/>
    <d v="2022-04-07T00:00:00"/>
    <d v="2027-04-06T00:00:00"/>
    <d v="2024-12-26T00:00:00"/>
    <x v="3"/>
    <d v="2025-06-10T00:00:00"/>
    <x v="7"/>
    <n v="326203.19"/>
    <n v="1"/>
  </r>
  <r>
    <s v="611,2025,20,2,00067"/>
    <s v="CONSO"/>
    <n v="2962"/>
    <d v="2018-08-06T00:00:00"/>
    <n v="2018"/>
    <d v="2018-08-06T00:00:00"/>
    <d v="2049-08-05T00:00:00"/>
    <d v="2022-06-08T00:00:00"/>
    <x v="5"/>
    <d v="2025-06-10T00:00:00"/>
    <x v="7"/>
    <n v="3919713.95"/>
    <n v="3"/>
  </r>
  <r>
    <s v="611,2025,20,2,00068"/>
    <s v="IMMO"/>
    <n v="32464"/>
    <d v="2024-05-20T00:00:00"/>
    <n v="2024"/>
    <d v="2024-05-20T00:00:00"/>
    <d v="2034-05-19T00:00:00"/>
    <d v="2025-05-27T00:00:00"/>
    <x v="7"/>
    <d v="2025-06-12T00:00:00"/>
    <x v="7"/>
    <n v="1980000"/>
    <n v="0"/>
  </r>
  <r>
    <s v="611,2025,20,2,00069"/>
    <s v="IMMO"/>
    <n v="9927"/>
    <d v="2020-10-05T00:00:00"/>
    <n v="2020"/>
    <d v="2020-10-05T00:00:00"/>
    <d v="2057-10-03T00:00:00"/>
    <d v="2025-02-03T00:00:00"/>
    <x v="7"/>
    <d v="2025-06-17T00:00:00"/>
    <x v="7"/>
    <n v="7498888.888888889"/>
    <n v="0"/>
  </r>
  <r>
    <s v="611,2025,20,2,00070"/>
    <s v="IMMO"/>
    <n v="25794"/>
    <d v="2023-06-08T00:00:00"/>
    <n v="2023"/>
    <d v="2023-06-11T00:00:00"/>
    <d v="2041-06-10T00:00:00"/>
    <d v="2025-01-29T00:00:00"/>
    <x v="7"/>
    <d v="2025-06-17T00:00:00"/>
    <x v="7"/>
    <n v="855290.64"/>
    <n v="0"/>
  </r>
  <r>
    <s v="611,2025,20,2,00071"/>
    <s v="CONSO"/>
    <n v="23318"/>
    <d v="2023-07-26T00:00:00"/>
    <n v="2023"/>
    <d v="2023-07-26T00:00:00"/>
    <d v="2026-07-25T00:00:00"/>
    <d v="2025-05-08T00:00:00"/>
    <x v="7"/>
    <d v="2025-06-18T00:00:00"/>
    <x v="7"/>
    <n v="113108.10810810811"/>
    <n v="0"/>
  </r>
  <r>
    <s v="611,2025,20,2,00072"/>
    <s v="CONSO"/>
    <n v="12626"/>
    <d v="2021-05-16T00:00:00"/>
    <n v="2021"/>
    <d v="2021-05-16T00:00:00"/>
    <d v="2024-05-14T00:00:00"/>
    <d v="2023-03-20T00:00:00"/>
    <x v="6"/>
    <d v="2025-06-24T00:00:00"/>
    <x v="7"/>
    <n v="147999.93"/>
    <n v="2"/>
  </r>
  <r>
    <s v="611,2025,20,2,00073"/>
    <s v="CONSO"/>
    <n v="13818"/>
    <d v="2021-09-23T00:00:00"/>
    <n v="2021"/>
    <d v="2021-09-23T00:00:00"/>
    <d v="2024-09-22T00:00:00"/>
    <d v="2023-03-20T00:00:00"/>
    <x v="6"/>
    <d v="2025-06-24T00:00:00"/>
    <x v="7"/>
    <n v="171000"/>
    <n v="2"/>
  </r>
  <r>
    <s v="611,2025,20,2,00074"/>
    <s v="IMMO"/>
    <n v="84301106"/>
    <d v="2018-06-04T00:00:00"/>
    <n v="2018"/>
    <d v="2018-06-05T00:00:00"/>
    <d v="2033-06-04T00:00:00"/>
    <d v="2025-06-08T00:00:00"/>
    <x v="7"/>
    <d v="2025-06-25T00:00:00"/>
    <x v="7"/>
    <n v="283874.57"/>
    <n v="0"/>
  </r>
  <r>
    <s v="611,2025,20,2,00075"/>
    <s v="IMMO"/>
    <n v="21370"/>
    <d v="2022-11-02T00:00:00"/>
    <n v="2022"/>
    <d v="2022-11-02T00:00:00"/>
    <d v="2037-11-01T00:00:00"/>
    <d v="2025-05-30T00:00:00"/>
    <x v="7"/>
    <d v="2025-06-25T00:00:00"/>
    <x v="7"/>
    <n v="7787111.9000000004"/>
    <n v="0"/>
  </r>
  <r>
    <s v="611,2025,20,2,00076"/>
    <s v="CONSO"/>
    <n v="402"/>
    <d v="2024-09-15T00:00:00"/>
    <n v="2024"/>
    <d v="2024-09-15T00:00:00"/>
    <d v="2031-09-13T00:00:00"/>
    <d v="2025-06-11T00:00:00"/>
    <x v="7"/>
    <d v="2025-06-26T00:00:00"/>
    <x v="7"/>
    <n v="2285073.37"/>
    <n v="0"/>
  </r>
  <r>
    <s v="611,2025,20,2,00077"/>
    <s v="IMMO"/>
    <n v="19757"/>
    <d v="2022-07-21T00:00:00"/>
    <n v="2022"/>
    <d v="2022-07-26T00:00:00"/>
    <d v="2053-07-27T00:00:00"/>
    <d v="2025-04-27T00:00:00"/>
    <x v="7"/>
    <d v="2025-07-26T00:00:00"/>
    <x v="7"/>
    <n v="10185580.610079575"/>
    <n v="0"/>
  </r>
  <r>
    <s v="611,2025,20,2,00078"/>
    <s v="IMMO"/>
    <n v="28624"/>
    <d v="2024-10-31T00:00:00"/>
    <n v="2024"/>
    <d v="2024-10-31T00:00:00"/>
    <d v="2051-10-30T00:00:00"/>
    <d v="2025-05-16T00:00:00"/>
    <x v="7"/>
    <d v="2025-06-29T00:00:00"/>
    <x v="7"/>
    <n v="4303783.8099999996"/>
    <n v="0"/>
  </r>
  <r>
    <s v="611,2025,20,2,00079"/>
    <s v="CONSO"/>
    <n v="17466"/>
    <d v="2022-06-29T00:00:00"/>
    <n v="2022"/>
    <d v="2022-06-29T00:00:00"/>
    <d v="2025-06-28T00:00:00"/>
    <d v="2025-05-02T00:00:00"/>
    <x v="7"/>
    <d v="2025-06-29T00:00:00"/>
    <x v="7"/>
    <n v="26398.9"/>
    <n v="0"/>
  </r>
  <r>
    <s v="611,2025,20,2,00080"/>
    <s v="CONSO"/>
    <n v="22032"/>
    <d v="2023-02-07T00:00:00"/>
    <n v="2023"/>
    <d v="2023-02-07T00:00:00"/>
    <d v="2026-02-06T00:00:00"/>
    <d v="2025-05-02T00:00:00"/>
    <x v="7"/>
    <d v="2025-06-29T00:00:00"/>
    <x v="7"/>
    <n v="55826.33"/>
    <n v="0"/>
  </r>
  <r>
    <s v="611,2025,20,2,00081"/>
    <s v="CONSO"/>
    <n v="14941"/>
    <d v="2024-11-12T00:00:00"/>
    <n v="2024"/>
    <d v="2024-11-12T00:00:00"/>
    <d v="2029-11-11T00:00:00"/>
    <d v="2025-02-23T00:00:00"/>
    <x v="7"/>
    <d v="2025-07-01T00:00:00"/>
    <x v="7"/>
    <n v="851745.08"/>
    <n v="0"/>
  </r>
  <r>
    <s v="611,2025,20,2,00082"/>
    <s v="IMMO"/>
    <n v="35980"/>
    <d v="2024-11-28T00:00:00"/>
    <n v="2024"/>
    <d v="2024-11-28T00:00:00"/>
    <d v="2052-11-27T00:00:00"/>
    <d v="2025-06-15T00:00:00"/>
    <x v="7"/>
    <d v="2025-07-03T00:00:00"/>
    <x v="7"/>
    <n v="1250000"/>
    <n v="0"/>
  </r>
  <r>
    <s v="611,2025,20,2,00083"/>
    <s v="CONSO"/>
    <n v="601429"/>
    <d v="2024-12-13T00:00:00"/>
    <n v="2024"/>
    <d v="2023-12-20T00:00:00"/>
    <d v="2027-12-18T00:00:00"/>
    <d v="2025-05-11T00:00:00"/>
    <x v="7"/>
    <d v="2025-07-03T00:00:00"/>
    <x v="7"/>
    <n v="245029.89"/>
    <n v="0"/>
  </r>
  <r>
    <s v="611,2025,20,2,00084"/>
    <s v="CONSO"/>
    <n v="7510"/>
    <d v="2022-12-28T00:00:00"/>
    <n v="2022"/>
    <d v="2022-12-28T00:00:00"/>
    <d v="2027-12-27T00:00:00"/>
    <d v="2025-05-30T00:00:00"/>
    <x v="7"/>
    <d v="2025-07-08T00:00:00"/>
    <x v="7"/>
    <n v="388984.82"/>
    <n v="0"/>
  </r>
  <r>
    <s v="611,2025,20,2,00085"/>
    <s v="CONSO"/>
    <n v="4750"/>
    <d v="2022-04-17T00:00:00"/>
    <n v="2022"/>
    <d v="2022-04-17T00:00:00"/>
    <d v="2027-04-16T00:00:00"/>
    <d v="2025-06-12T00:00:00"/>
    <x v="7"/>
    <d v="2025-07-13T00:00:00"/>
    <x v="7"/>
    <n v="295260.59000000003"/>
    <n v="0"/>
  </r>
  <r>
    <s v="611,2025,20,2,00086"/>
    <s v="CONSO"/>
    <n v="9902"/>
    <d v="2023-10-09T00:00:00"/>
    <n v="2023"/>
    <d v="2023-10-09T00:00:00"/>
    <d v="2026-10-08T00:00:00"/>
    <d v="2025-04-19T00:00:00"/>
    <x v="7"/>
    <d v="2025-07-14T00:00:00"/>
    <x v="7"/>
    <n v="335737.86"/>
    <n v="0"/>
  </r>
  <r>
    <s v="611,2025,20,2,00087"/>
    <s v="CONSO"/>
    <n v="29167"/>
    <d v="2023-08-31T00:00:00"/>
    <n v="2023"/>
    <d v="2023-09-01T00:00:00"/>
    <d v="2026-08-31T00:00:00"/>
    <d v="2025-06-08T00:00:00"/>
    <x v="7"/>
    <d v="2025-07-20T00:00:00"/>
    <x v="7"/>
    <n v="285537.81"/>
    <n v="0"/>
  </r>
  <r>
    <s v="611,2025,20,2,00088"/>
    <s v="CONSO"/>
    <n v="4251"/>
    <d v="2022-03-13T00:00:00"/>
    <n v="2022"/>
    <d v="2022-03-13T00:00:00"/>
    <d v="2027-03-12T00:00:00"/>
    <d v="2025-07-08T00:00:00"/>
    <x v="7"/>
    <d v="2025-07-23T00:00:00"/>
    <x v="7"/>
    <n v="216500"/>
    <n v="0"/>
  </r>
  <r>
    <s v="611,2025,20,2,00089"/>
    <s v="CONSO"/>
    <n v="12043"/>
    <d v="2024-03-26T00:00:00"/>
    <n v="2024"/>
    <d v="2024-03-26T00:00:00"/>
    <d v="2029-03-25T00:00:00"/>
    <d v="2025-06-26T00:00:00"/>
    <x v="7"/>
    <d v="2025-07-13T00:00:00"/>
    <x v="7"/>
    <n v="278849.58"/>
    <n v="0"/>
  </r>
  <r>
    <s v="611,2025,20,2,00090"/>
    <s v="CONSO"/>
    <n v="3685"/>
    <d v="2022-01-05T00:00:00"/>
    <n v="2022"/>
    <d v="2022-01-05T00:00:00"/>
    <d v="2027-01-04T00:00:00"/>
    <d v="2023-02-09T00:00:00"/>
    <x v="6"/>
    <d v="2025-07-31T00:00:00"/>
    <x v="7"/>
    <n v="373745.13"/>
    <n v="2"/>
  </r>
  <r>
    <s v="611,2025,20,2,00091"/>
    <s v="CONSO"/>
    <n v="37821"/>
    <d v="2025-03-02T00:00:00"/>
    <n v="2025"/>
    <d v="2025-03-02T00:00:00"/>
    <d v="2028-03-01T00:00:00"/>
    <d v="2025-03-08T00:00:00"/>
    <x v="7"/>
    <d v="2025-08-03T00:00:00"/>
    <x v="7"/>
    <n v="497222.22222222225"/>
    <n v="0"/>
  </r>
  <r>
    <s v="611,2025,20,2,00092"/>
    <s v="IMMO"/>
    <n v="32418"/>
    <d v="2024-05-16T00:00:00"/>
    <n v="2024"/>
    <d v="2024-05-16T00:00:00"/>
    <d v="2044-05-15T00:00:00"/>
    <d v="2025-07-15T00:00:00"/>
    <x v="7"/>
    <d v="2025-08-03T00:00:00"/>
    <x v="7"/>
    <n v="1687685.47"/>
    <n v="0"/>
  </r>
  <r>
    <s v="611,2025,20,2,00093"/>
    <s v="CONSO"/>
    <n v="3754"/>
    <d v="2022-01-25T00:00:00"/>
    <n v="2022"/>
    <d v="2022-01-25T00:00:00"/>
    <d v="2027-01-24T00:00:00"/>
    <d v="2025-05-04T00:00:00"/>
    <x v="7"/>
    <d v="2025-08-06T00:00:00"/>
    <x v="7"/>
    <n v="711200"/>
    <n v="0"/>
  </r>
  <r>
    <s v="611,2025,20,2,00094"/>
    <s v="CONSO"/>
    <n v="15421"/>
    <d v="2022-02-10T00:00:00"/>
    <n v="2022"/>
    <d v="2022-02-13T00:00:00"/>
    <d v="2025-02-12T00:00:00"/>
    <d v="2024-04-11T00:00:00"/>
    <x v="3"/>
    <d v="2025-08-10T00:00:00"/>
    <x v="7"/>
    <n v="137500"/>
    <n v="1"/>
  </r>
  <r>
    <s v="611,2025,20,2,00095"/>
    <s v="CONSO"/>
    <n v="24932"/>
    <d v="2023-05-03T00:00:00"/>
    <n v="2023"/>
    <d v="2023-05-03T00:00:00"/>
    <d v="2026-05-02T00:00:00"/>
    <d v="2025-07-06T00:00:00"/>
    <x v="7"/>
    <d v="2025-08-10T00:00:00"/>
    <x v="7"/>
    <n v="150000"/>
    <n v="0"/>
  </r>
  <r>
    <s v="611,2025,20,2,00096"/>
    <s v="IMMO"/>
    <n v="2797"/>
    <d v="2018-07-16T00:00:00"/>
    <n v="2018"/>
    <d v="2018-07-17T00:00:00"/>
    <d v="2033-07-16T00:00:00"/>
    <d v="2025-07-30T00:00:00"/>
    <x v="7"/>
    <d v="2025-08-10T00:00:00"/>
    <x v="7"/>
    <n v="1795439.15"/>
    <n v="0"/>
  </r>
  <r>
    <s v="611,2025,20,2,00097"/>
    <s v="CONSO"/>
    <n v="1843"/>
    <d v="2021-08-12T00:00:00"/>
    <n v="2021"/>
    <d v="2021-08-12T00:00:00"/>
    <d v="2026-08-11T00:00:00"/>
    <d v="2024-02-12T00:00:00"/>
    <x v="3"/>
    <d v="2025-08-14T00:00:00"/>
    <x v="7"/>
    <n v="302710.94"/>
    <n v="1"/>
  </r>
  <r>
    <s v="611,2025,20,2,00098"/>
    <s v="IMMO"/>
    <n v="2797"/>
    <d v="2018-07-16T00:00:00"/>
    <n v="2018"/>
    <d v="2018-07-17T00:00:00"/>
    <d v="2033-07-16T00:00:00"/>
    <d v="2025-07-30T00:00:00"/>
    <x v="7"/>
    <d v="2025-08-14T00:00:00"/>
    <x v="7"/>
    <n v="1035624.98"/>
    <n v="0"/>
  </r>
  <r>
    <s v="611,2025,20,2,00099"/>
    <s v="CONSO"/>
    <n v="604130"/>
    <d v="2025-07-21T00:00:00"/>
    <n v="2025"/>
    <d v="2025-07-25T00:00:00"/>
    <d v="2030-07-23T00:00:00"/>
    <d v="2025-08-03T00:00:00"/>
    <x v="7"/>
    <d v="2025-08-18T00:00:00"/>
    <x v="7"/>
    <n v="445665.99"/>
    <n v="0"/>
  </r>
  <r>
    <s v="611,2025,20,2,00100"/>
    <s v="CONSO"/>
    <n v="6446"/>
    <d v="2019-08-25T00:00:00"/>
    <n v="2019"/>
    <d v="2019-08-22T00:00:00"/>
    <d v="2034-08-20T00:00:00"/>
    <d v="2025-07-23T00:00:00"/>
    <x v="7"/>
    <d v="2025-08-20T00:00:00"/>
    <x v="7"/>
    <n v="1780098.42"/>
    <n v="0"/>
  </r>
  <r>
    <s v="611,2025,20,2,00101"/>
    <s v="CONSO"/>
    <n v="603020"/>
    <d v="2024-12-05T00:00:00"/>
    <n v="2024"/>
    <d v="2024-12-08T00:00:00"/>
    <d v="2029-12-06T00:00:00"/>
    <d v="2025-07-03T00:00:00"/>
    <x v="7"/>
    <d v="2025-08-21T00:00:00"/>
    <x v="7"/>
    <n v="618333.33333333337"/>
    <n v="0"/>
  </r>
  <r>
    <s v="611,2025,20,2,00102"/>
    <s v="CONSO"/>
    <n v="27914"/>
    <d v="2023-07-17T00:00:00"/>
    <n v="2023"/>
    <d v="2023-07-17T00:00:00"/>
    <d v="2026-07-16T00:00:00"/>
    <d v="2025-08-11T00:00:00"/>
    <x v="7"/>
    <d v="2025-08-25T00:00:00"/>
    <x v="7"/>
    <n v="131694.44444444444"/>
    <n v="0"/>
  </r>
  <r>
    <s v="611,2025,20,2,00103"/>
    <s v="CONSO"/>
    <n v="4471"/>
    <d v="2019-02-03T00:00:00"/>
    <n v="2019"/>
    <d v="2019-02-03T00:00:00"/>
    <d v="2035-01-29T00:00:00"/>
    <d v="2025-08-10T00:00:00"/>
    <x v="7"/>
    <d v="2025-08-26T00:00:00"/>
    <x v="7"/>
    <n v="2291310.5814583334"/>
    <n v="0"/>
  </r>
  <r>
    <s v="611,2025,20,2,00104"/>
    <s v="IMMO"/>
    <n v="19722"/>
    <d v="2022-07-20T00:00:00"/>
    <n v="2022"/>
    <d v="2022-07-21T00:00:00"/>
    <d v="2037-07-20T00:00:00"/>
    <d v="2024-10-03T00:00:00"/>
    <x v="3"/>
    <d v="2025-08-26T00:00:00"/>
    <x v="7"/>
    <n v="967519.67"/>
    <n v="1"/>
  </r>
  <r>
    <s v="611,2025,20,2,00105"/>
    <s v="IMMO"/>
    <n v="18884"/>
    <d v="2022-06-08T00:00:00"/>
    <n v="2022"/>
    <d v="2022-06-08T00:00:00"/>
    <d v="2032-06-07T00:00:00"/>
    <d v="2024-01-14T00:00:00"/>
    <x v="3"/>
    <d v="2025-09-02T00:00:00"/>
    <x v="7"/>
    <n v="880776.7416666667"/>
    <n v="1"/>
  </r>
  <r>
    <s v="611,2025,20,2,00106"/>
    <s v="IMMO"/>
    <n v="22732"/>
    <d v="2023-01-10T00:00:00"/>
    <n v="2023"/>
    <d v="2023-01-10T00:00:00"/>
    <d v="2057-01-09T00:00:00"/>
    <d v="2025-06-25T00:00:00"/>
    <x v="7"/>
    <d v="2025-09-02T00:00:00"/>
    <x v="7"/>
    <n v="6745000"/>
    <n v="0"/>
  </r>
  <r>
    <s v="611,2025,20,2,00107"/>
    <s v="CONSO"/>
    <n v="23735"/>
    <d v="2023-03-28T00:00:00"/>
    <n v="2023"/>
    <d v="2023-03-28T00:00:00"/>
    <d v="2026-03-27T00:00:00"/>
    <d v="2025-06-19T00:00:00"/>
    <x v="7"/>
    <d v="2025-09-15T00:00:00"/>
    <x v="7"/>
    <n v="89519.8"/>
    <n v="0"/>
  </r>
  <r>
    <s v="611,2025,20,2,00108"/>
    <s v="CONSO"/>
    <n v="24932"/>
    <d v="2023-05-03T00:00:00"/>
    <n v="2023"/>
    <d v="2023-05-03T00:00:00"/>
    <d v="2026-05-03T00:00:00"/>
    <d v="2025-07-06T00:00:00"/>
    <x v="7"/>
    <d v="2025-09-18T00:00:00"/>
    <x v="7"/>
    <n v="41666.666666666657"/>
    <n v="0"/>
  </r>
  <r>
    <s v="611,2025,20,2,00109"/>
    <s v="CONSO"/>
    <n v="11685"/>
    <d v="2021-02-15T00:00:00"/>
    <n v="2021"/>
    <d v="2021-02-15T00:00:00"/>
    <d v="2042-02-14T00:00:00"/>
    <d v="2025-05-25T00:00:00"/>
    <x v="7"/>
    <d v="2025-09-24T00:00:00"/>
    <x v="7"/>
    <n v="856706.34920634911"/>
    <n v="0"/>
  </r>
  <r>
    <s v="611,2025,20,2,00110"/>
    <s v="CONSO"/>
    <n v="27722"/>
    <d v="2023-07-11T00:00:00"/>
    <n v="2023"/>
    <d v="2023-07-11T00:00:00"/>
    <d v="2026-07-10T00:00:00"/>
    <d v="2025-09-03T00:00:00"/>
    <x v="7"/>
    <d v="2025-09-30T00:00:00"/>
    <x v="7"/>
    <n v="67325.929999999993"/>
    <n v="0"/>
  </r>
  <r>
    <s v="611,2025,20,2,00111"/>
    <s v="CONSO"/>
    <n v="34800"/>
    <d v="2024-07-22T00:00:00"/>
    <n v="2024"/>
    <d v="2024-07-22T00:00:00"/>
    <d v="2027-07-21T00:00:00"/>
    <d v="2025-08-22T00:00:00"/>
    <x v="7"/>
    <d v="2025-10-02T00:00:00"/>
    <x v="7"/>
    <n v="433442.73"/>
    <n v="0"/>
  </r>
  <r>
    <s v="611,2025,20,2,00112"/>
    <s v="CONSO"/>
    <n v="7910"/>
    <d v="2023-02-20T00:00:00"/>
    <n v="2023"/>
    <d v="2023-02-20T00:00:00"/>
    <d v="2028-02-19T00:00:00"/>
    <d v="2025-09-14T00:00:00"/>
    <x v="7"/>
    <d v="2025-10-07T00:00:00"/>
    <x v="7"/>
    <n v="304132.27"/>
    <n v="0"/>
  </r>
  <r>
    <s v="611,2025,20,2,00113"/>
    <s v="CONSO"/>
    <n v="18810"/>
    <d v="2025-07-30T00:00:00"/>
    <n v="2025"/>
    <d v="2025-07-30T00:00:00"/>
    <d v="2030-07-29T00:00:00"/>
    <d v="2025-09-03T00:00:00"/>
    <x v="7"/>
    <d v="2025-10-09T00:00:00"/>
    <x v="7"/>
    <n v="912467.2"/>
    <n v="0"/>
  </r>
  <r>
    <s v="611,2025,20,2,00114"/>
    <s v="CONSO"/>
    <n v="9248"/>
    <d v="2023-08-09T00:00:00"/>
    <n v="2023"/>
    <d v="2023-08-09T00:00:00"/>
    <d v="2028-08-08T00:00:00"/>
    <d v="2025-04-11T00:00:00"/>
    <x v="7"/>
    <d v="2025-10-12T00:00:00"/>
    <x v="7"/>
    <n v="687070.57"/>
    <n v="0"/>
  </r>
  <r>
    <s v="611,2025,20,2,00115"/>
    <s v="CONSO"/>
    <n v="11820"/>
    <d v="2024-03-14T00:00:00"/>
    <n v="2024"/>
    <d v="2024-03-14T00:00:00"/>
    <d v="2029-03-13T00:00:00"/>
    <d v="2024-05-14T00:00:00"/>
    <x v="3"/>
    <d v="2025-10-15T00:00:00"/>
    <x v="7"/>
    <n v="739113.02"/>
    <n v="1"/>
  </r>
  <r>
    <s v="611,2025,20,2,00116"/>
    <s v="CONSO"/>
    <n v="10598"/>
    <d v="2023-12-03T00:00:00"/>
    <n v="2023"/>
    <d v="2023-12-03T00:00:00"/>
    <d v="2028-12-02T00:00:00"/>
    <d v="2025-09-19T00:00:00"/>
    <x v="7"/>
    <d v="2025-10-19T00:00:00"/>
    <x v="7"/>
    <n v="468883.1"/>
    <n v="0"/>
  </r>
  <r>
    <s v="611,2025,20,2,00117"/>
    <s v="CONSO"/>
    <n v="22909"/>
    <d v="2023-03-05T00:00:00"/>
    <n v="2023"/>
    <d v="2023-03-05T00:00:00"/>
    <d v="2026-03-04T00:00:00"/>
    <d v="2025-06-09T00:00:00"/>
    <x v="7"/>
    <d v="2025-10-20T00:00:00"/>
    <x v="7"/>
    <n v="125247.47"/>
    <n v="0"/>
  </r>
  <r>
    <s v="611,2025,20,2,00118"/>
    <s v="IMMO"/>
    <n v="22936"/>
    <d v="2023-01-18T00:00:00"/>
    <n v="2023"/>
    <d v="2023-01-18T00:00:00"/>
    <d v="2058-01-17T00:00:00"/>
    <d v="2025-06-22T00:00:00"/>
    <x v="7"/>
    <d v="2025-10-21T00:00:00"/>
    <x v="7"/>
    <n v="9894272.0800000001"/>
    <n v="0"/>
  </r>
  <r>
    <s v="611,2025,20,2,00119"/>
    <s v="IMMO"/>
    <n v="38022"/>
    <d v="2025-03-09T00:00:00"/>
    <n v="2025"/>
    <d v="2025-03-09T00:00:00"/>
    <d v="2049-03-08T00:00:00"/>
    <d v="2025-07-21T00:00:00"/>
    <x v="7"/>
    <d v="2025-10-26T00:00:00"/>
    <x v="7"/>
    <n v="1981323.27"/>
    <n v="0"/>
  </r>
  <r>
    <s v="611,2025,20,2,00120"/>
    <s v="IMMO"/>
    <n v="14576"/>
    <d v="2021-08-30T00:00:00"/>
    <n v="2021"/>
    <d v="2021-10-01T00:00:00"/>
    <s v="30/19/2043"/>
    <d v="2025-04-24T00:00:00"/>
    <x v="7"/>
    <d v="2025-10-26T00:00:00"/>
    <x v="7"/>
    <n v="3199741.67"/>
    <n v="0"/>
  </r>
  <r>
    <s v="611,2025,20,2,00121"/>
    <s v="CONSO"/>
    <n v="602840"/>
    <d v="2024-11-04T00:00:00"/>
    <n v="2024"/>
    <d v="2024-11-07T00:00:00"/>
    <d v="2029-11-05T00:00:00"/>
    <d v="2025-09-05T00:00:00"/>
    <x v="7"/>
    <d v="2025-10-29T00:00:00"/>
    <x v="7"/>
    <n v="449152.54"/>
    <n v="0"/>
  </r>
  <r>
    <s v="611,2025,20,2,00122"/>
    <s v="IMMO"/>
    <n v="20372"/>
    <d v="2022-08-30T00:00:00"/>
    <n v="2022"/>
    <d v="2022-09-15T00:00:00"/>
    <d v="2044-09-14T00:00:00"/>
    <d v="2025-10-10T00:00:00"/>
    <x v="7"/>
    <d v="2025-11-02T00:00:00"/>
    <x v="7"/>
    <n v="9367350.3200000003"/>
    <n v="0"/>
  </r>
  <r>
    <s v="611,2025,20,2,00123"/>
    <s v="IMMO"/>
    <n v="18580"/>
    <d v="2022-05-23T00:00:00"/>
    <n v="2022"/>
    <d v="2022-05-23T00:00:00"/>
    <d v="2047-05-22T00:00:00"/>
    <d v="2025-10-11T00:00:00"/>
    <x v="7"/>
    <d v="2025-11-02T00:00:00"/>
    <x v="7"/>
    <n v="10645509.58"/>
    <n v="0"/>
  </r>
  <r>
    <s v="611,2025,20,2,00124"/>
    <s v="IMMO"/>
    <n v="16373"/>
    <d v="2022-01-23T00:00:00"/>
    <n v="2022"/>
    <d v="2022-01-23T00:00:00"/>
    <d v="2042-01-22T00:00:00"/>
    <d v="2025-10-25T00:00:00"/>
    <x v="7"/>
    <d v="2025-11-02T00:00:00"/>
    <x v="7"/>
    <n v="7746200.8399999999"/>
    <n v="0"/>
  </r>
  <r>
    <s v="611,2025,20,2,00125"/>
    <s v="CONSO"/>
    <n v="23701"/>
    <d v="2023-03-27T00:00:00"/>
    <n v="2023"/>
    <d v="2023-03-27T00:00:00"/>
    <d v="2026-03-26T00:00:00"/>
    <d v="2025-10-19T00:00:00"/>
    <x v="7"/>
    <d v="2025-11-11T00:00:00"/>
    <x v="7"/>
    <n v="176944.38"/>
    <n v="0"/>
  </r>
  <r>
    <s v="611,2025,20,2,00126"/>
    <s v="CONSO"/>
    <n v="32051"/>
    <d v="2024-02-08T00:00:00"/>
    <n v="2024"/>
    <d v="2024-02-08T00:00:00"/>
    <d v="2027-02-07T00:00:00"/>
    <d v="2025-09-17T00:00:00"/>
    <x v="7"/>
    <d v="2025-11-10T00:00:00"/>
    <x v="7"/>
    <n v="532094.16"/>
    <n v="0"/>
  </r>
  <r>
    <s v="611,2025,20,2,00127"/>
    <s v="CONSO"/>
    <n v="30169"/>
    <d v="2023-10-22T00:00:00"/>
    <n v="2023"/>
    <d v="2023-10-22T00:00:00"/>
    <d v="2026-10-21T00:00:00"/>
    <d v="2025-11-04T00:00:00"/>
    <x v="7"/>
    <d v="2025-11-11T00:00:00"/>
    <x v="7"/>
    <n v="135839.20000000001"/>
    <n v="0"/>
  </r>
  <r>
    <s v="611,2025,20,2,00128"/>
    <s v="CONSO"/>
    <n v="26933"/>
    <d v="2023-06-21T00:00:00"/>
    <n v="2023"/>
    <d v="2023-06-22T00:00:00"/>
    <d v="2026-06-21T00:00:00"/>
    <d v="2025-11-03T00:00:00"/>
    <x v="7"/>
    <d v="2025-11-12T00:00:00"/>
    <x v="7"/>
    <n v="155546.16"/>
    <n v="0"/>
  </r>
  <r>
    <s v="611,2025,20,2,00129"/>
    <s v="IMMO"/>
    <n v="33675"/>
    <d v="2024-07-22T00:00:00"/>
    <n v="2024"/>
    <d v="2024-07-22T00:00:00"/>
    <d v="2031-07-21T00:00:00"/>
    <d v="2025-11-08T00:00:00"/>
    <x v="7"/>
    <d v="2025-11-17T00:00:00"/>
    <x v="7"/>
    <n v="889141.7"/>
    <n v="0"/>
  </r>
  <r>
    <s v="611,2025,20,2,00130"/>
    <s v="CONSO"/>
    <n v="25285"/>
    <d v="2023-05-15T00:00:00"/>
    <n v="2023"/>
    <d v="2023-05-15T00:00:00"/>
    <d v="2026-05-14T00:00:00"/>
    <d v="2025-09-06T00:00:00"/>
    <x v="7"/>
    <d v="2025-11-17T00:00:00"/>
    <x v="7"/>
    <n v="130206.39999999999"/>
    <n v="0"/>
  </r>
  <r>
    <s v="611,2025,20,2,00131"/>
    <s v="IMMO"/>
    <n v="14161"/>
    <d v="2021-07-18T00:00:00"/>
    <n v="2021"/>
    <d v="2021-07-18T00:00:00"/>
    <d v="2040-07-16T00:00:00"/>
    <d v="2025-10-06T00:00:00"/>
    <x v="7"/>
    <d v="2025-11-18T00:00:00"/>
    <x v="7"/>
    <n v="1692037.44"/>
    <n v="0"/>
  </r>
  <r>
    <s v="611,2025,20,2,00132"/>
    <s v="CONSO"/>
    <n v="19005"/>
    <d v="2022-10-18T00:00:00"/>
    <n v="2022"/>
    <d v="2022-11-30T00:00:00"/>
    <d v="2025-11-29T00:00:00"/>
    <d v="2025-09-03T00:00:00"/>
    <x v="7"/>
    <d v="2025-11-18T00:00:00"/>
    <x v="7"/>
    <n v="55555.519999999997"/>
    <n v="0"/>
  </r>
  <r>
    <s v="611,2025,20,2,00133"/>
    <s v="CONSO"/>
    <n v="5984"/>
    <d v="2022-07-26T00:00:00"/>
    <n v="2022"/>
    <d v="2022-07-26T00:00:00"/>
    <d v="2027-07-25T00:00:00"/>
    <d v="2025-01-29T00:00:00"/>
    <x v="7"/>
    <d v="2025-11-18T00:00:00"/>
    <x v="7"/>
    <n v="275559.44"/>
    <n v="0"/>
  </r>
  <r>
    <s v="611,2025,20,2,00134"/>
    <s v="IMMO"/>
    <n v="8925"/>
    <d v="2020-06-24T00:00:00"/>
    <n v="2020"/>
    <d v="2020-06-26T00:00:00"/>
    <d v="2026-06-25T00:00:00"/>
    <d v="2025-11-16T00:00:00"/>
    <x v="7"/>
    <d v="2025-11-19T00:00:00"/>
    <x v="7"/>
    <n v="158201.31"/>
    <n v="0"/>
  </r>
  <r>
    <s v="611,2025,20,2,00135"/>
    <s v="CONSO"/>
    <n v="32444"/>
    <d v="2024-02-29T00:00:00"/>
    <n v="2024"/>
    <d v="2024-02-29T00:00:00"/>
    <d v="2027-02-28T00:00:00"/>
    <d v="2025-11-06T00:00:00"/>
    <x v="7"/>
    <d v="2025-11-25T00:00:00"/>
    <x v="7"/>
    <n v="222857.14285714284"/>
    <n v="0"/>
  </r>
  <r>
    <s v="611,2025,20,2,00136"/>
    <s v="CONSO"/>
    <n v="858"/>
    <d v="2021-05-24T00:00:00"/>
    <n v="2021"/>
    <d v="2021-05-24T00:00:00"/>
    <d v="2026-05-23T00:00:00"/>
    <d v="2025-11-11T00:00:00"/>
    <x v="7"/>
    <d v="2025-11-26T00:00:00"/>
    <x v="7"/>
    <n v="85174.576271186466"/>
    <n v="0"/>
  </r>
  <r>
    <s v="611,2025,20,2,00137"/>
    <s v="CONSO"/>
    <n v="17652"/>
    <d v="2025-05-14T00:00:00"/>
    <n v="2025"/>
    <d v="2025-05-14T00:00:00"/>
    <d v="2030-05-13T00:00:00"/>
    <d v="2025-10-28T00:00:00"/>
    <x v="7"/>
    <d v="2025-11-26T00:00:00"/>
    <x v="7"/>
    <n v="901837.85"/>
    <n v="0"/>
  </r>
  <r>
    <s v="611,2025,20,2,00138"/>
    <s v="CONSO"/>
    <n v="30628"/>
    <d v="2023-11-09T00:00:00"/>
    <n v="2023"/>
    <d v="2023-11-10T00:00:00"/>
    <d v="2026-11-09T00:00:00"/>
    <d v="2025-11-21T00:00:00"/>
    <x v="7"/>
    <d v="2025-11-27T00:00:00"/>
    <x v="7"/>
    <n v="153749.78"/>
    <n v="0"/>
  </r>
  <r>
    <s v="611,2025,20,2,00139"/>
    <s v="CONSO"/>
    <n v="12436"/>
    <d v="2024-04-25T00:00:00"/>
    <n v="2024"/>
    <d v="2024-04-25T00:00:00"/>
    <d v="2029-04-24T00:00:00"/>
    <d v="2025-11-22T00:00:00"/>
    <x v="7"/>
    <d v="2025-12-01T00:00:00"/>
    <x v="7"/>
    <n v="626258.31999999995"/>
    <n v="0"/>
  </r>
  <r>
    <s v="611,2025,20,2,00140"/>
    <s v="CONSO"/>
    <n v="137747"/>
    <d v="2023-06-14T00:00:00"/>
    <n v="2023"/>
    <d v="2023-06-14T00:00:00"/>
    <d v="2028-06-13T00:00:00"/>
    <d v="2025-11-26T00:00:00"/>
    <x v="7"/>
    <d v="2025-12-02T00:00:00"/>
    <x v="7"/>
    <n v="545401.98"/>
    <n v="0"/>
  </r>
  <r>
    <s v="611,2025,20,2,00141"/>
    <s v="IMMO"/>
    <n v="19813"/>
    <d v="2022-07-26T00:00:00"/>
    <n v="2022"/>
    <d v="2022-07-26T00:00:00"/>
    <d v="2037-07-25T00:00:00"/>
    <d v="2025-11-24T00:00:00"/>
    <x v="7"/>
    <d v="2025-12-02T00:00:00"/>
    <x v="7"/>
    <n v="625774.17000000004"/>
    <n v="0"/>
  </r>
  <r>
    <s v="611,2025,20,2,00142"/>
    <s v="CONSO"/>
    <n v="19454"/>
    <d v="2025-09-23T00:00:00"/>
    <n v="2025"/>
    <d v="2025-09-23T00:00:00"/>
    <d v="2030-09-22T00:00:00"/>
    <d v="2025-11-22T00:00:00"/>
    <x v="7"/>
    <d v="2025-12-02T00:00:00"/>
    <x v="7"/>
    <n v="313593.22033898305"/>
    <n v="0"/>
  </r>
  <r>
    <s v="611,2025,20,2,00143"/>
    <s v="CONSO"/>
    <n v="6690"/>
    <d v="2022-10-11T00:00:00"/>
    <n v="2022"/>
    <d v="2022-10-11T00:00:00"/>
    <d v="2027-10-10T00:00:00"/>
    <d v="2025-11-20T00:00:00"/>
    <x v="7"/>
    <d v="2025-12-03T00:00:00"/>
    <x v="7"/>
    <n v="295191.96000000002"/>
    <n v="0"/>
  </r>
  <r>
    <s v="611,2025,20,2,00144"/>
    <s v="CONSO"/>
    <n v="5858"/>
    <d v="2022-07-14T00:00:00"/>
    <n v="2022"/>
    <d v="2022-07-14T00:00:00"/>
    <d v="2027-07-13T00:00:00"/>
    <d v="2025-11-19T00:00:00"/>
    <x v="7"/>
    <d v="2025-12-04T00:00:00"/>
    <x v="7"/>
    <n v="353601.01"/>
    <n v="0"/>
  </r>
  <r>
    <s v="611,2025,20,2,00145"/>
    <s v="CONSO"/>
    <n v="32509"/>
    <d v="2024-03-04T00:00:00"/>
    <n v="2024"/>
    <d v="2024-03-04T00:00:00"/>
    <d v="2027-03-03T00:00:00"/>
    <d v="2025-10-12T00:00:00"/>
    <x v="7"/>
    <d v="2025-12-08T00:00:00"/>
    <x v="7"/>
    <n v="136685.71428571429"/>
    <n v="0"/>
  </r>
  <r>
    <s v="611,2025,20,2,00146"/>
    <s v="CONSO"/>
    <n v="18108"/>
    <d v="2025-06-12T00:00:00"/>
    <n v="2025"/>
    <d v="2025-06-12T00:00:00"/>
    <d v="2030-06-11T00:00:00"/>
    <d v="2025-11-17T00:00:00"/>
    <x v="7"/>
    <d v="2025-12-10T00:00:00"/>
    <x v="7"/>
    <n v="766082.1"/>
    <n v="0"/>
  </r>
  <r>
    <s v="611,2025,20,2,00147"/>
    <s v="CONSO"/>
    <n v="33935"/>
    <d v="2024-05-27T00:00:00"/>
    <n v="2024"/>
    <d v="2024-05-27T00:00:00"/>
    <d v="2027-05-26T00:00:00"/>
    <d v="2025-07-27T00:00:00"/>
    <x v="7"/>
    <d v="2025-12-18T00:00:00"/>
    <x v="7"/>
    <n v="179400"/>
    <n v="0"/>
  </r>
  <r>
    <s v="611,2025,20,2,00148"/>
    <s v="IMMO"/>
    <n v="31"/>
    <d v="2017-04-10T00:00:00"/>
    <n v="2017"/>
    <d v="2017-04-11T00:00:00"/>
    <d v="2036-04-10T00:00:00"/>
    <d v="2025-10-21T00:00:00"/>
    <x v="7"/>
    <d v="2025-12-18T00:00:00"/>
    <x v="7"/>
    <n v="4919075.9911894277"/>
    <n v="0"/>
  </r>
  <r>
    <s v="611,2025,20,2,00149"/>
    <s v="CONSO"/>
    <n v="600607"/>
    <d v="2023-06-12T00:00:00"/>
    <n v="2023"/>
    <d v="2023-06-12T00:00:00"/>
    <d v="2028-06-10T00:00:00"/>
    <d v="2025-07-19T00:00:00"/>
    <x v="7"/>
    <d v="2025-12-22T00:00:00"/>
    <x v="7"/>
    <n v="698355.06"/>
    <n v="0"/>
  </r>
  <r>
    <s v="611,2025,20,2,00150"/>
    <s v="CONSO"/>
    <n v="39157"/>
    <d v="2025-06-30T00:00:00"/>
    <n v="2025"/>
    <d v="2025-06-30T00:00:00"/>
    <d v="2028-06-29T00:00:00"/>
    <d v="2025-12-06T00:00:00"/>
    <x v="7"/>
    <d v="2025-12-22T00:00:00"/>
    <x v="7"/>
    <n v="390920.9"/>
    <n v="0"/>
  </r>
  <r>
    <s v="611,2025,20,2,00151"/>
    <s v="CONSO"/>
    <n v="602968"/>
    <d v="2024-11-27T00:00:00"/>
    <n v="2024"/>
    <d v="2024-11-27T00:00:00"/>
    <d v="2029-12-25T00:00:00"/>
    <d v="2025-05-15T00:00:00"/>
    <x v="7"/>
    <d v="2025-12-23T00:00:00"/>
    <x v="7"/>
    <n v="473916.66666666669"/>
    <n v="0"/>
  </r>
  <r>
    <s v="611,2025,20,2,00152"/>
    <s v="CONSO"/>
    <n v="16234"/>
    <d v="2025-02-04T00:00:00"/>
    <n v="2025"/>
    <d v="2025-02-04T00:00:00"/>
    <d v="2030-02-03T00:00:00"/>
    <d v="2025-09-27T00:00:00"/>
    <x v="7"/>
    <d v="2025-12-28T00:00:00"/>
    <x v="7"/>
    <n v="932526.3"/>
    <n v="0"/>
  </r>
  <r>
    <s v="611,2025,20,2,00153"/>
    <s v="IMMO"/>
    <n v="34136"/>
    <d v="2024-08-19T00:00:00"/>
    <n v="2024"/>
    <d v="2024-08-28T00:00:00"/>
    <d v="2063-08-27T00:00:00"/>
    <d v="2025-12-23T00:00:00"/>
    <x v="7"/>
    <d v="2025-12-30T00:00:00"/>
    <x v="7"/>
    <n v="10646680.942184154"/>
    <n v="0"/>
  </r>
  <r>
    <s v="611,2025,20,2,00154"/>
    <s v="CONSO"/>
    <n v="33914"/>
    <d v="2024-05-26T00:00:00"/>
    <n v="2024"/>
    <d v="2024-05-26T00:00:00"/>
    <d v="2027-05-25T00:00:00"/>
    <d v="2025-09-09T00:00:00"/>
    <x v="7"/>
    <d v="2025-12-30T00:00:00"/>
    <x v="7"/>
    <n v="268600"/>
    <n v="0"/>
  </r>
  <r>
    <s v="611,2025,20,2,00155"/>
    <s v="IMMO"/>
    <n v="23485"/>
    <d v="2023-02-14T00:00:00"/>
    <n v="2023"/>
    <d v="2023-02-15T00:00:00"/>
    <d v="2055-02-14T00:00:00"/>
    <d v="2025-12-24T00:00:00"/>
    <x v="7"/>
    <d v="2025-12-31T00:00:00"/>
    <x v="7"/>
    <n v="8723378.0156657957"/>
    <n v="0"/>
  </r>
  <r>
    <s v="611,2025,20,2,00156"/>
    <s v="CONSO"/>
    <n v="600427"/>
    <d v="2023-04-26T00:00:00"/>
    <n v="2023"/>
    <d v="2023-04-27T00:00:00"/>
    <d v="2028-04-24T00:00:00"/>
    <d v="2025-12-02T00:00:00"/>
    <x v="7"/>
    <d v="2025-12-31T00:00:00"/>
    <x v="7"/>
    <n v="362714.5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7C1D7-44FB-4A7A-B46F-EED97B904FB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J13" firstHeaderRow="1" firstDataRow="2" firstDataCol="1"/>
  <pivotFields count="13"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axis="axisRow" showAll="0">
      <items count="9">
        <item x="0"/>
        <item x="1"/>
        <item x="2"/>
        <item x="4"/>
        <item x="5"/>
        <item x="6"/>
        <item x="3"/>
        <item x="7"/>
        <item t="default"/>
      </items>
    </pivotField>
    <pivotField numFmtId="14" showAll="0"/>
    <pivotField axis="axisCol" showAll="0">
      <items count="9">
        <item x="0"/>
        <item x="1"/>
        <item x="2"/>
        <item x="4"/>
        <item x="5"/>
        <item x="6"/>
        <item x="3"/>
        <item x="7"/>
        <item t="default"/>
      </items>
    </pivotField>
    <pivotField dataField="1" showAll="0"/>
    <pivotField numFmtId="164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me de le montant de sinistre" fld="11" baseField="0" baseItem="0" numFmtId="164"/>
  </dataFields>
  <formats count="38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0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0" count="0"/>
        </references>
      </pivotArea>
    </format>
    <format dxfId="43">
      <pivotArea dataOnly="0" labelOnly="1" grandCol="1" outline="0" fieldPosition="0"/>
    </format>
    <format dxfId="42">
      <pivotArea outline="0" collapsedLevelsAreSubtotals="1" fieldPosition="0"/>
    </format>
    <format dxfId="41">
      <pivotArea collapsedLevelsAreSubtotals="1" fieldPosition="0">
        <references count="2">
          <reference field="8" count="1">
            <x v="0"/>
          </reference>
          <reference field="10" count="1" selected="0">
            <x v="0"/>
          </reference>
        </references>
      </pivotArea>
    </format>
    <format dxfId="40">
      <pivotArea collapsedLevelsAreSubtotals="1" fieldPosition="0">
        <references count="2">
          <reference field="8" count="1">
            <x v="1"/>
          </reference>
          <reference field="10" count="1" selected="0">
            <x v="1"/>
          </reference>
        </references>
      </pivotArea>
    </format>
    <format dxfId="39">
      <pivotArea collapsedLevelsAreSubtotals="1" fieldPosition="0">
        <references count="2">
          <reference field="8" count="1">
            <x v="2"/>
          </reference>
          <reference field="10" count="1" selected="0">
            <x v="2"/>
          </reference>
        </references>
      </pivotArea>
    </format>
    <format dxfId="38">
      <pivotArea collapsedLevelsAreSubtotals="1" fieldPosition="0">
        <references count="2">
          <reference field="8" count="1">
            <x v="3"/>
          </reference>
          <reference field="10" count="1" selected="0">
            <x v="3"/>
          </reference>
        </references>
      </pivotArea>
    </format>
    <format dxfId="37">
      <pivotArea collapsedLevelsAreSubtotals="1" fieldPosition="0">
        <references count="2">
          <reference field="8" count="1">
            <x v="4"/>
          </reference>
          <reference field="10" count="1" selected="0">
            <x v="4"/>
          </reference>
        </references>
      </pivotArea>
    </format>
    <format dxfId="36">
      <pivotArea collapsedLevelsAreSubtotals="1" fieldPosition="0">
        <references count="2">
          <reference field="8" count="1">
            <x v="5"/>
          </reference>
          <reference field="10" count="1" selected="0">
            <x v="5"/>
          </reference>
        </references>
      </pivotArea>
    </format>
    <format dxfId="35">
      <pivotArea collapsedLevelsAreSubtotals="1" fieldPosition="0">
        <references count="2">
          <reference field="8" count="1">
            <x v="6"/>
          </reference>
          <reference field="10" count="1" selected="0">
            <x v="6"/>
          </reference>
        </references>
      </pivotArea>
    </format>
    <format dxfId="34">
      <pivotArea collapsedLevelsAreSubtotals="1" fieldPosition="0">
        <references count="2">
          <reference field="8" count="1">
            <x v="7"/>
          </reference>
          <reference field="10" count="1" selected="0">
            <x v="7"/>
          </reference>
        </references>
      </pivotArea>
    </format>
    <format dxfId="33">
      <pivotArea collapsedLevelsAreSubtotals="1" fieldPosition="0">
        <references count="2">
          <reference field="8" count="1">
            <x v="0"/>
          </reference>
          <reference field="10" count="1" selected="0">
            <x v="1"/>
          </reference>
        </references>
      </pivotArea>
    </format>
    <format dxfId="32">
      <pivotArea collapsedLevelsAreSubtotals="1" fieldPosition="0">
        <references count="2">
          <reference field="8" count="1">
            <x v="0"/>
          </reference>
          <reference field="10" count="1" selected="0">
            <x v="1"/>
          </reference>
        </references>
      </pivotArea>
    </format>
    <format dxfId="31">
      <pivotArea collapsedLevelsAreSubtotals="1" fieldPosition="0">
        <references count="2">
          <reference field="8" count="1">
            <x v="1"/>
          </reference>
          <reference field="10" count="1" selected="0">
            <x v="2"/>
          </reference>
        </references>
      </pivotArea>
    </format>
    <format dxfId="30">
      <pivotArea collapsedLevelsAreSubtotals="1" fieldPosition="0">
        <references count="2">
          <reference field="8" count="1">
            <x v="2"/>
          </reference>
          <reference field="10" count="1" selected="0">
            <x v="3"/>
          </reference>
        </references>
      </pivotArea>
    </format>
    <format dxfId="29">
      <pivotArea collapsedLevelsAreSubtotals="1" fieldPosition="0">
        <references count="2">
          <reference field="8" count="1">
            <x v="3"/>
          </reference>
          <reference field="10" count="1" selected="0">
            <x v="4"/>
          </reference>
        </references>
      </pivotArea>
    </format>
    <format dxfId="28">
      <pivotArea collapsedLevelsAreSubtotals="1" fieldPosition="0">
        <references count="2">
          <reference field="8" count="1">
            <x v="4"/>
          </reference>
          <reference field="10" count="1" selected="0">
            <x v="5"/>
          </reference>
        </references>
      </pivotArea>
    </format>
    <format dxfId="27">
      <pivotArea collapsedLevelsAreSubtotals="1" fieldPosition="0">
        <references count="2">
          <reference field="8" count="1">
            <x v="5"/>
          </reference>
          <reference field="10" count="1" selected="0">
            <x v="6"/>
          </reference>
        </references>
      </pivotArea>
    </format>
    <format dxfId="26">
      <pivotArea collapsedLevelsAreSubtotals="1" fieldPosition="0">
        <references count="2">
          <reference field="8" count="1">
            <x v="6"/>
          </reference>
          <reference field="10" count="1" selected="0">
            <x v="7"/>
          </reference>
        </references>
      </pivotArea>
    </format>
    <format dxfId="25">
      <pivotArea collapsedLevelsAreSubtotals="1" fieldPosition="0">
        <references count="2">
          <reference field="8" count="1">
            <x v="0"/>
          </reference>
          <reference field="10" count="1" selected="0">
            <x v="2"/>
          </reference>
        </references>
      </pivotArea>
    </format>
    <format dxfId="24">
      <pivotArea collapsedLevelsAreSubtotals="1" fieldPosition="0">
        <references count="2">
          <reference field="8" count="1">
            <x v="1"/>
          </reference>
          <reference field="10" count="1" selected="0">
            <x v="3"/>
          </reference>
        </references>
      </pivotArea>
    </format>
    <format dxfId="23">
      <pivotArea collapsedLevelsAreSubtotals="1" fieldPosition="0">
        <references count="2">
          <reference field="8" count="1">
            <x v="2"/>
          </reference>
          <reference field="10" count="1" selected="0">
            <x v="4"/>
          </reference>
        </references>
      </pivotArea>
    </format>
    <format dxfId="22">
      <pivotArea collapsedLevelsAreSubtotals="1" fieldPosition="0">
        <references count="2">
          <reference field="8" count="1">
            <x v="3"/>
          </reference>
          <reference field="10" count="1" selected="0">
            <x v="5"/>
          </reference>
        </references>
      </pivotArea>
    </format>
    <format dxfId="21">
      <pivotArea collapsedLevelsAreSubtotals="1" fieldPosition="0">
        <references count="2">
          <reference field="8" count="1">
            <x v="4"/>
          </reference>
          <reference field="10" count="1" selected="0">
            <x v="6"/>
          </reference>
        </references>
      </pivotArea>
    </format>
    <format dxfId="20">
      <pivotArea collapsedLevelsAreSubtotals="1" fieldPosition="0">
        <references count="2">
          <reference field="8" count="1">
            <x v="5"/>
          </reference>
          <reference field="10" count="1" selected="0">
            <x v="7"/>
          </reference>
        </references>
      </pivotArea>
    </format>
    <format dxfId="19">
      <pivotArea collapsedLevelsAreSubtotals="1" fieldPosition="0">
        <references count="2">
          <reference field="8" count="1">
            <x v="0"/>
          </reference>
          <reference field="10" count="1" selected="0">
            <x v="3"/>
          </reference>
        </references>
      </pivotArea>
    </format>
    <format dxfId="18">
      <pivotArea collapsedLevelsAreSubtotals="1" fieldPosition="0">
        <references count="2">
          <reference field="8" count="1">
            <x v="1"/>
          </reference>
          <reference field="10" count="1" selected="0">
            <x v="4"/>
          </reference>
        </references>
      </pivotArea>
    </format>
    <format dxfId="17">
      <pivotArea collapsedLevelsAreSubtotals="1" fieldPosition="0">
        <references count="2">
          <reference field="8" count="1">
            <x v="2"/>
          </reference>
          <reference field="10" count="1" selected="0">
            <x v="5"/>
          </reference>
        </references>
      </pivotArea>
    </format>
    <format dxfId="16">
      <pivotArea collapsedLevelsAreSubtotals="1" fieldPosition="0">
        <references count="2">
          <reference field="8" count="1">
            <x v="3"/>
          </reference>
          <reference field="10" count="1" selected="0">
            <x v="6"/>
          </reference>
        </references>
      </pivotArea>
    </format>
    <format dxfId="15">
      <pivotArea collapsedLevelsAreSubtotals="1" fieldPosition="0">
        <references count="2">
          <reference field="8" count="1">
            <x v="4"/>
          </reference>
          <reference field="10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5115B-624F-4EB6-9574-91A48FA503CC}" name="Tableau13" displayName="Tableau13" ref="A1:M597" totalsRowShown="0" headerRowDxfId="14" dataDxfId="13">
  <autoFilter ref="A1:M597" xr:uid="{00000000-0009-0000-0100-000001000000}"/>
  <tableColumns count="13">
    <tableColumn id="2" xr3:uid="{28D74937-D9CA-4D48-8877-71B6A563F471}" name="N° SINISTRE" dataDxfId="12"/>
    <tableColumn id="6" xr3:uid="{D51C2FFF-F3B5-480B-9241-BE1DDF1B9753}" name="Produit " dataDxfId="11"/>
    <tableColumn id="7" xr3:uid="{57C98A2E-57DD-4BAC-8E11-EE477AE2B0A6}" name="N°Adhesion " dataDxfId="10"/>
    <tableColumn id="9" xr3:uid="{A192311E-D217-4C19-BD8D-838E4D99665A}" name="Date de sous" dataDxfId="9"/>
    <tableColumn id="20" xr3:uid="{A1CCC0F9-DA4C-46A9-8B7A-4FDEB1212009}" name="Année de souscription" dataDxfId="8"/>
    <tableColumn id="10" xr3:uid="{851F1FA0-B3A7-4418-9C58-055F4ED5D41C}" name="Date effet " dataDxfId="7"/>
    <tableColumn id="11" xr3:uid="{09DE6806-2E15-4E28-8512-7D010F856068}" name="Date Échéance" dataDxfId="6"/>
    <tableColumn id="12" xr3:uid="{54FCE983-B189-49C2-A657-B6519F8ED960}" name="Date du Sinistre" dataDxfId="5"/>
    <tableColumn id="21" xr3:uid="{736DD71C-9CF7-41A8-B6A3-1C1E6B93EB4E}" name="Année de sinistre" dataDxfId="4"/>
    <tableColumn id="13" xr3:uid="{AF10F702-366E-46A7-9937-E8C669153254}" name="Date de déclaration" dataDxfId="3"/>
    <tableColumn id="22" xr3:uid="{3FDB4B76-866C-4405-8859-BAA2DB37ADD5}" name="Année de déclaration" dataDxfId="2">
      <calculatedColumnFormula>YEAR(Tableau13[[#This Row],[Date de déclaration]])</calculatedColumnFormula>
    </tableColumn>
    <tableColumn id="19" xr3:uid="{B0E824E3-1810-4FB3-ACC6-F2F57838250D}" name="le montant de sinistre" dataDxfId="1" dataCellStyle="Milliers"/>
    <tableColumn id="1" xr3:uid="{0893C103-D9DE-435A-89BA-994A8607BA61}" name="colonne  mois IBNR" dataDxfId="0">
      <calculatedColumnFormula>Tableau13[[#This Row],[Année de déclaration]]-Tableau13[[#This Row],[Année de sinistre]]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D125-9C42-4FC9-8822-AA70A9740325}">
  <dimension ref="A2:K37"/>
  <sheetViews>
    <sheetView tabSelected="1" topLeftCell="A11" workbookViewId="0">
      <selection activeCell="B34" sqref="B34"/>
    </sheetView>
  </sheetViews>
  <sheetFormatPr baseColWidth="10" defaultRowHeight="14.4" x14ac:dyDescent="0.3"/>
  <cols>
    <col min="1" max="1" width="29" bestFit="1" customWidth="1"/>
    <col min="2" max="2" width="22.5546875" bestFit="1" customWidth="1"/>
    <col min="3" max="4" width="17.5546875" bestFit="1" customWidth="1"/>
    <col min="5" max="5" width="17.88671875" bestFit="1" customWidth="1"/>
    <col min="6" max="6" width="17.77734375" bestFit="1" customWidth="1"/>
    <col min="7" max="7" width="19.21875" bestFit="1" customWidth="1"/>
    <col min="8" max="9" width="17.77734375" bestFit="1" customWidth="1"/>
    <col min="10" max="10" width="19.21875" bestFit="1" customWidth="1"/>
  </cols>
  <sheetData>
    <row r="2" spans="1:1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8" t="s">
        <v>618</v>
      </c>
      <c r="B3" s="18" t="s">
        <v>617</v>
      </c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3">
      <c r="A4" s="18" t="s">
        <v>615</v>
      </c>
      <c r="B4" s="17">
        <v>2018</v>
      </c>
      <c r="C4" s="17">
        <v>2019</v>
      </c>
      <c r="D4" s="17">
        <v>2020</v>
      </c>
      <c r="E4" s="17">
        <v>2021</v>
      </c>
      <c r="F4" s="17">
        <v>2022</v>
      </c>
      <c r="G4" s="17">
        <v>2023</v>
      </c>
      <c r="H4" s="17">
        <v>2024</v>
      </c>
      <c r="I4" s="17">
        <v>2025</v>
      </c>
      <c r="J4" s="17" t="s">
        <v>616</v>
      </c>
      <c r="K4" s="17"/>
    </row>
    <row r="5" spans="1:11" x14ac:dyDescent="0.3">
      <c r="A5" s="19">
        <v>2018</v>
      </c>
      <c r="B5" s="21">
        <v>15798067.050000001</v>
      </c>
      <c r="C5" s="23">
        <v>1298054.8</v>
      </c>
      <c r="D5" s="25"/>
      <c r="E5" s="27">
        <v>964906.42369927815</v>
      </c>
      <c r="F5" s="20"/>
      <c r="G5" s="20"/>
      <c r="H5" s="20"/>
      <c r="I5" s="20"/>
      <c r="J5" s="20">
        <v>18061028.27369928</v>
      </c>
      <c r="K5" s="17"/>
    </row>
    <row r="6" spans="1:11" x14ac:dyDescent="0.3">
      <c r="A6" s="19">
        <v>2019</v>
      </c>
      <c r="B6" s="20"/>
      <c r="C6" s="21">
        <v>31931007.819999997</v>
      </c>
      <c r="D6" s="23">
        <v>757000</v>
      </c>
      <c r="E6" s="25"/>
      <c r="F6" s="27"/>
      <c r="G6" s="20"/>
      <c r="H6" s="20"/>
      <c r="I6" s="20"/>
      <c r="J6" s="20">
        <v>32688007.819999997</v>
      </c>
      <c r="K6" s="17"/>
    </row>
    <row r="7" spans="1:11" x14ac:dyDescent="0.3">
      <c r="A7" s="19">
        <v>2020</v>
      </c>
      <c r="B7" s="20"/>
      <c r="C7" s="20"/>
      <c r="D7" s="21">
        <v>73828390.853068963</v>
      </c>
      <c r="E7" s="23">
        <v>13387703.191425959</v>
      </c>
      <c r="F7" s="25"/>
      <c r="G7" s="27"/>
      <c r="H7" s="20"/>
      <c r="I7" s="20"/>
      <c r="J7" s="20">
        <v>87216094.044494927</v>
      </c>
      <c r="K7" s="17"/>
    </row>
    <row r="8" spans="1:11" x14ac:dyDescent="0.3">
      <c r="A8" s="19">
        <v>2021</v>
      </c>
      <c r="B8" s="20"/>
      <c r="C8" s="20"/>
      <c r="D8" s="20"/>
      <c r="E8" s="21">
        <v>117373347.53416367</v>
      </c>
      <c r="F8" s="23">
        <v>32039597.976457771</v>
      </c>
      <c r="G8" s="25">
        <v>578802.55941499083</v>
      </c>
      <c r="H8" s="27">
        <v>9618568.9927146733</v>
      </c>
      <c r="I8" s="20"/>
      <c r="J8" s="20">
        <v>159610317.06275108</v>
      </c>
      <c r="K8" s="17"/>
    </row>
    <row r="9" spans="1:11" x14ac:dyDescent="0.3">
      <c r="A9" s="19">
        <v>2022</v>
      </c>
      <c r="B9" s="20"/>
      <c r="C9" s="20"/>
      <c r="D9" s="20"/>
      <c r="E9" s="20"/>
      <c r="F9" s="21">
        <v>83890676.96619156</v>
      </c>
      <c r="G9" s="23">
        <v>23472792.130733073</v>
      </c>
      <c r="H9" s="25">
        <v>1186148.1899213644</v>
      </c>
      <c r="I9" s="27">
        <v>7317345.096634048</v>
      </c>
      <c r="J9" s="20">
        <v>115866962.38348004</v>
      </c>
      <c r="K9" s="17"/>
    </row>
    <row r="10" spans="1:11" x14ac:dyDescent="0.3">
      <c r="A10" s="19">
        <v>2023</v>
      </c>
      <c r="B10" s="20"/>
      <c r="C10" s="20"/>
      <c r="D10" s="20"/>
      <c r="E10" s="20"/>
      <c r="F10" s="20"/>
      <c r="G10" s="21">
        <v>134801938.09489977</v>
      </c>
      <c r="H10" s="23">
        <v>36629768.667294778</v>
      </c>
      <c r="I10" s="25">
        <v>4497797.9807686359</v>
      </c>
      <c r="J10" s="20">
        <v>175929504.74296319</v>
      </c>
      <c r="K10" s="17"/>
    </row>
    <row r="11" spans="1:11" x14ac:dyDescent="0.3">
      <c r="A11" s="19">
        <v>2024</v>
      </c>
      <c r="B11" s="20"/>
      <c r="C11" s="20"/>
      <c r="D11" s="20"/>
      <c r="E11" s="20"/>
      <c r="F11" s="20"/>
      <c r="G11" s="20"/>
      <c r="H11" s="21">
        <v>246452070.417068</v>
      </c>
      <c r="I11" s="23">
        <v>95654441.011027768</v>
      </c>
      <c r="J11" s="20">
        <v>342106511.42809576</v>
      </c>
      <c r="K11" s="17"/>
    </row>
    <row r="12" spans="1:11" x14ac:dyDescent="0.3">
      <c r="A12" s="19">
        <v>2025</v>
      </c>
      <c r="B12" s="20"/>
      <c r="C12" s="20"/>
      <c r="D12" s="20"/>
      <c r="E12" s="20"/>
      <c r="F12" s="20"/>
      <c r="G12" s="20"/>
      <c r="H12" s="20"/>
      <c r="I12" s="21">
        <v>204542282.77804482</v>
      </c>
      <c r="J12" s="20">
        <v>204542282.77804482</v>
      </c>
      <c r="K12" s="17"/>
    </row>
    <row r="13" spans="1:11" x14ac:dyDescent="0.3">
      <c r="A13" s="19" t="s">
        <v>616</v>
      </c>
      <c r="B13" s="20">
        <v>15798067.050000001</v>
      </c>
      <c r="C13" s="20">
        <v>33229062.619999997</v>
      </c>
      <c r="D13" s="20">
        <v>74585390.853068963</v>
      </c>
      <c r="E13" s="20">
        <v>131725957.14928891</v>
      </c>
      <c r="F13" s="20">
        <v>115930274.94264933</v>
      </c>
      <c r="G13" s="20">
        <v>158853532.78504783</v>
      </c>
      <c r="H13" s="20">
        <v>293886556.26699883</v>
      </c>
      <c r="I13" s="20">
        <v>312011866.86647528</v>
      </c>
      <c r="J13" s="20">
        <v>1136020708.5335293</v>
      </c>
      <c r="K13" s="17"/>
    </row>
    <row r="15" spans="1:11" x14ac:dyDescent="0.3">
      <c r="B15">
        <v>2022</v>
      </c>
      <c r="C15">
        <v>2023</v>
      </c>
      <c r="D15">
        <v>2024</v>
      </c>
      <c r="E15">
        <v>2025</v>
      </c>
    </row>
    <row r="16" spans="1:11" x14ac:dyDescent="0.3">
      <c r="A16" t="s">
        <v>613</v>
      </c>
      <c r="B16" s="16">
        <v>0</v>
      </c>
      <c r="C16" s="16">
        <v>1</v>
      </c>
      <c r="D16" s="16">
        <v>2</v>
      </c>
      <c r="E16" s="16">
        <v>3</v>
      </c>
      <c r="F16" t="s">
        <v>621</v>
      </c>
    </row>
    <row r="17" spans="1:9" x14ac:dyDescent="0.3">
      <c r="A17" s="16">
        <v>2022</v>
      </c>
      <c r="B17" s="22">
        <f>GETPIVOTDATA("le montant de sinistre",$A$3,"Année de sinistre",2022,"Année de déclaration",2022)</f>
        <v>83890676.96619156</v>
      </c>
      <c r="C17" s="24">
        <f>GETPIVOTDATA("le montant de sinistre",$A$3,"Année de sinistre",2022,"Année de déclaration",2023)</f>
        <v>23472792.130733073</v>
      </c>
      <c r="D17" s="26">
        <f>+GETPIVOTDATA("le montant de sinistre",$A$3,"Année de sinistre",2022,"Année de déclaration",2024)</f>
        <v>1186148.1899213644</v>
      </c>
      <c r="E17" s="28">
        <f>+GETPIVOTDATA("le montant de sinistre",$A$3,"Année de sinistre",2022,"Année de déclaration",2025)</f>
        <v>7317345.096634048</v>
      </c>
    </row>
    <row r="18" spans="1:9" x14ac:dyDescent="0.3">
      <c r="A18" s="16">
        <v>2023</v>
      </c>
      <c r="B18" s="22">
        <f>GETPIVOTDATA("le montant de sinistre",$A$3,"Année de sinistre",2023,"Année de déclaration",2023)</f>
        <v>134801938.09489977</v>
      </c>
      <c r="C18" s="24">
        <f>GETPIVOTDATA("le montant de sinistre",$A$3,"Année de sinistre",2023,"Année de déclaration",2024)</f>
        <v>36629768.667294778</v>
      </c>
      <c r="D18" s="26">
        <f>+GETPIVOTDATA("le montant de sinistre",$A$3,"Année de sinistre",2023,"Année de déclaration",2025)</f>
        <v>4497797.9807686359</v>
      </c>
      <c r="E18" s="28" t="s">
        <v>619</v>
      </c>
    </row>
    <row r="19" spans="1:9" x14ac:dyDescent="0.3">
      <c r="A19" s="16">
        <v>2024</v>
      </c>
      <c r="B19" s="22">
        <f>GETPIVOTDATA("le montant de sinistre",$A$3,"Année de sinistre",2024,"Année de déclaration",2024)</f>
        <v>246452070.417068</v>
      </c>
      <c r="C19" s="24">
        <f>GETPIVOTDATA("le montant de sinistre",$A$3,"Année de sinistre",2024,"Année de déclaration",2025)</f>
        <v>95654441.011027768</v>
      </c>
      <c r="D19" s="26" t="s">
        <v>619</v>
      </c>
      <c r="E19" s="28" t="s">
        <v>619</v>
      </c>
    </row>
    <row r="20" spans="1:9" x14ac:dyDescent="0.3">
      <c r="A20" s="16">
        <v>2025</v>
      </c>
      <c r="B20" s="22">
        <f>GETPIVOTDATA("le montant de sinistre",$A$3,"Année de sinistre",2025,"Année de déclaration",2025)</f>
        <v>204542282.77804482</v>
      </c>
      <c r="C20" s="24" t="s">
        <v>619</v>
      </c>
      <c r="D20" s="26" t="s">
        <v>619</v>
      </c>
      <c r="E20" s="28" t="s">
        <v>619</v>
      </c>
    </row>
    <row r="23" spans="1:9" x14ac:dyDescent="0.3">
      <c r="B23" s="42" t="s">
        <v>622</v>
      </c>
      <c r="C23" s="42"/>
      <c r="D23" s="42"/>
      <c r="E23" s="42"/>
    </row>
    <row r="24" spans="1:9" x14ac:dyDescent="0.3">
      <c r="A24" s="17" t="s">
        <v>613</v>
      </c>
      <c r="B24" s="40">
        <v>0</v>
      </c>
      <c r="C24" s="40">
        <v>1</v>
      </c>
      <c r="D24" s="40">
        <v>2</v>
      </c>
      <c r="E24" s="40">
        <v>3</v>
      </c>
    </row>
    <row r="25" spans="1:9" x14ac:dyDescent="0.3">
      <c r="A25" s="17">
        <v>2022</v>
      </c>
      <c r="B25" s="33">
        <v>83890676.96619156</v>
      </c>
      <c r="C25" s="33">
        <f>B25+C17</f>
        <v>107363469.09692463</v>
      </c>
      <c r="D25" s="33">
        <f>C25+D17</f>
        <v>108549617.286846</v>
      </c>
      <c r="E25" s="33">
        <f>D25+E17</f>
        <v>115866962.38348004</v>
      </c>
    </row>
    <row r="26" spans="1:9" x14ac:dyDescent="0.3">
      <c r="A26" s="17">
        <v>2023</v>
      </c>
      <c r="B26" s="33">
        <v>134801938.09489977</v>
      </c>
      <c r="C26" s="33">
        <f>B26+C18</f>
        <v>171431706.76219454</v>
      </c>
      <c r="D26" s="33">
        <f>C26+D18</f>
        <v>175929504.74296319</v>
      </c>
      <c r="E26" s="29" t="s">
        <v>619</v>
      </c>
    </row>
    <row r="27" spans="1:9" x14ac:dyDescent="0.3">
      <c r="A27" s="17">
        <v>2024</v>
      </c>
      <c r="B27" s="33">
        <v>246452070.417068</v>
      </c>
      <c r="C27" s="33">
        <f>B27+C19</f>
        <v>342106511.42809576</v>
      </c>
      <c r="D27" s="17" t="s">
        <v>619</v>
      </c>
      <c r="E27" s="17" t="s">
        <v>619</v>
      </c>
    </row>
    <row r="28" spans="1:9" x14ac:dyDescent="0.3">
      <c r="A28" s="17">
        <v>2025</v>
      </c>
      <c r="B28" s="33">
        <v>204542282.77804482</v>
      </c>
      <c r="C28" s="17" t="s">
        <v>619</v>
      </c>
      <c r="D28" s="17" t="s">
        <v>619</v>
      </c>
      <c r="E28" s="17" t="s">
        <v>619</v>
      </c>
    </row>
    <row r="29" spans="1:9" x14ac:dyDescent="0.3">
      <c r="A29" s="30" t="s">
        <v>620</v>
      </c>
      <c r="B29" s="31">
        <v>0</v>
      </c>
      <c r="C29" s="32">
        <f>SUM(C25:C27)/SUM(B25:B27)</f>
        <v>1.3348571029010912</v>
      </c>
      <c r="D29" s="1">
        <f>SUM(D25:D26)/SUM(C25:C26)</f>
        <v>1.0203875341571986</v>
      </c>
      <c r="E29" s="1">
        <f>SUM(E25)/SUM(D25)</f>
        <v>1.0674101418275637</v>
      </c>
    </row>
    <row r="31" spans="1:9" x14ac:dyDescent="0.3">
      <c r="B31" s="42" t="s">
        <v>623</v>
      </c>
      <c r="C31" s="42"/>
      <c r="D31" s="42"/>
      <c r="E31" s="42"/>
    </row>
    <row r="32" spans="1:9" x14ac:dyDescent="0.3">
      <c r="A32" s="33" t="s">
        <v>613</v>
      </c>
      <c r="B32" s="33">
        <v>0</v>
      </c>
      <c r="C32" s="39">
        <v>1</v>
      </c>
      <c r="D32" s="39">
        <v>2</v>
      </c>
      <c r="E32" s="39">
        <v>3</v>
      </c>
      <c r="G32" s="35" t="s">
        <v>624</v>
      </c>
      <c r="H32" s="35" t="s">
        <v>625</v>
      </c>
      <c r="I32" s="35" t="s">
        <v>626</v>
      </c>
    </row>
    <row r="33" spans="1:10" x14ac:dyDescent="0.3">
      <c r="A33" s="38">
        <v>2022</v>
      </c>
      <c r="B33" s="33">
        <v>83890676.96619156</v>
      </c>
      <c r="C33" s="33">
        <v>107363469.09692463</v>
      </c>
      <c r="D33" s="33">
        <v>108549617.286846</v>
      </c>
      <c r="E33" s="36">
        <v>115866962.38348004</v>
      </c>
      <c r="G33" s="37">
        <f>E33</f>
        <v>115866962.38348004</v>
      </c>
      <c r="H33" s="20">
        <f>E33</f>
        <v>115866962.38348004</v>
      </c>
      <c r="I33" s="29">
        <f>H33-G33</f>
        <v>0</v>
      </c>
    </row>
    <row r="34" spans="1:10" x14ac:dyDescent="0.3">
      <c r="A34" s="38">
        <v>2023</v>
      </c>
      <c r="B34" s="33">
        <v>134801938.09489977</v>
      </c>
      <c r="C34" s="33">
        <v>171431706.76219454</v>
      </c>
      <c r="D34" s="36">
        <v>175929504.74296319</v>
      </c>
      <c r="E34" s="34">
        <f>$E$29*D34</f>
        <v>187788937.60933939</v>
      </c>
      <c r="G34" s="37">
        <f>D34</f>
        <v>175929504.74296319</v>
      </c>
      <c r="H34" s="20">
        <f t="shared" ref="H34:H36" si="0">E34</f>
        <v>187788937.60933939</v>
      </c>
      <c r="I34" s="29">
        <f t="shared" ref="I34:I36" si="1">H34-G34</f>
        <v>11859432.866376191</v>
      </c>
    </row>
    <row r="35" spans="1:10" x14ac:dyDescent="0.3">
      <c r="A35" s="38">
        <v>2024</v>
      </c>
      <c r="B35" s="33">
        <v>246452070.417068</v>
      </c>
      <c r="C35" s="36">
        <v>342106511.42809576</v>
      </c>
      <c r="D35" s="34">
        <f>D29*C35</f>
        <v>349081219.6152361</v>
      </c>
      <c r="E35" s="34">
        <f t="shared" ref="E35:E36" si="2">$E$29*D35</f>
        <v>372612834.13883805</v>
      </c>
      <c r="G35" s="37">
        <f>C35</f>
        <v>342106511.42809576</v>
      </c>
      <c r="H35" s="20">
        <f t="shared" si="0"/>
        <v>372612834.13883805</v>
      </c>
      <c r="I35" s="29">
        <f t="shared" si="1"/>
        <v>30506322.710742295</v>
      </c>
    </row>
    <row r="36" spans="1:10" x14ac:dyDescent="0.3">
      <c r="A36" s="38">
        <v>2025</v>
      </c>
      <c r="B36" s="36">
        <v>204542282.77804482</v>
      </c>
      <c r="C36" s="34">
        <f>C29*B36</f>
        <v>273034719.00987667</v>
      </c>
      <c r="D36" s="34">
        <f>D29*C36</f>
        <v>278601223.66979164</v>
      </c>
      <c r="E36" s="34">
        <f t="shared" si="2"/>
        <v>297381771.67070508</v>
      </c>
      <c r="G36" s="37">
        <f>B36</f>
        <v>204542282.77804482</v>
      </c>
      <c r="H36" s="20">
        <f t="shared" si="0"/>
        <v>297381771.67070508</v>
      </c>
      <c r="I36" s="29">
        <f t="shared" si="1"/>
        <v>92839488.89266026</v>
      </c>
    </row>
    <row r="37" spans="1:10" x14ac:dyDescent="0.3">
      <c r="I37" s="41">
        <f>SUM(I33:I36)</f>
        <v>135205244.46977875</v>
      </c>
      <c r="J37" t="s">
        <v>627</v>
      </c>
    </row>
  </sheetData>
  <mergeCells count="2">
    <mergeCell ref="B23:E23"/>
    <mergeCell ref="B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D85B-B30A-422F-B66A-F1D44E907CED}">
  <dimension ref="A1:M597"/>
  <sheetViews>
    <sheetView topLeftCell="A2" workbookViewId="0">
      <selection activeCell="E5" sqref="E5"/>
    </sheetView>
  </sheetViews>
  <sheetFormatPr baseColWidth="10" defaultColWidth="9.109375" defaultRowHeight="14.4" x14ac:dyDescent="0.3"/>
  <cols>
    <col min="1" max="1" width="18.44140625" style="1" bestFit="1" customWidth="1"/>
    <col min="2" max="2" width="10.109375" style="1" customWidth="1"/>
    <col min="3" max="3" width="14.109375" style="1" customWidth="1"/>
    <col min="4" max="4" width="21.44140625" style="2" customWidth="1"/>
    <col min="5" max="5" width="25.5546875" style="1" bestFit="1" customWidth="1"/>
    <col min="6" max="6" width="12.5546875" style="2" customWidth="1"/>
    <col min="7" max="8" width="16" style="2" customWidth="1"/>
    <col min="9" max="9" width="19.77734375" style="2" bestFit="1" customWidth="1"/>
    <col min="10" max="10" width="21.33203125" style="1" bestFit="1" customWidth="1"/>
    <col min="11" max="11" width="20.44140625" style="2" customWidth="1"/>
    <col min="12" max="12" width="31" style="1" bestFit="1" customWidth="1"/>
    <col min="13" max="13" width="17.5546875" style="3" bestFit="1" customWidth="1"/>
    <col min="14" max="16384" width="9.1093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1" t="s">
        <v>614</v>
      </c>
    </row>
    <row r="2" spans="1:13" x14ac:dyDescent="0.3">
      <c r="A2" s="1" t="s">
        <v>12</v>
      </c>
      <c r="B2" s="1" t="s">
        <v>13</v>
      </c>
      <c r="C2" s="1">
        <v>490</v>
      </c>
      <c r="D2" s="2">
        <v>43090</v>
      </c>
      <c r="E2" s="1">
        <v>2017</v>
      </c>
      <c r="F2" s="2">
        <v>42930</v>
      </c>
      <c r="G2" s="2">
        <v>56078</v>
      </c>
      <c r="H2" s="2">
        <v>43129</v>
      </c>
      <c r="I2" s="1">
        <v>2018</v>
      </c>
      <c r="J2" s="2">
        <v>43164</v>
      </c>
      <c r="K2" s="1">
        <f>YEAR(Tableau13[[#This Row],[Date de déclaration]])</f>
        <v>2018</v>
      </c>
      <c r="L2" s="4">
        <v>10800000</v>
      </c>
      <c r="M2" s="3">
        <f>Tableau13[[#This Row],[Année de déclaration]]-Tableau13[[#This Row],[Année de sinistre]]</f>
        <v>0</v>
      </c>
    </row>
    <row r="3" spans="1:13" x14ac:dyDescent="0.3">
      <c r="A3" s="1" t="s">
        <v>14</v>
      </c>
      <c r="B3" s="1" t="s">
        <v>13</v>
      </c>
      <c r="C3" s="1">
        <v>700</v>
      </c>
      <c r="D3" s="2">
        <v>42978</v>
      </c>
      <c r="E3" s="1">
        <v>2017</v>
      </c>
      <c r="F3" s="2">
        <v>42977</v>
      </c>
      <c r="G3" s="2">
        <v>44437</v>
      </c>
      <c r="H3" s="2">
        <v>43338</v>
      </c>
      <c r="I3" s="1">
        <v>2018</v>
      </c>
      <c r="J3" s="2">
        <v>43347</v>
      </c>
      <c r="K3" s="1">
        <f>YEAR(Tableau13[[#This Row],[Date de déclaration]])</f>
        <v>2018</v>
      </c>
      <c r="L3" s="4">
        <v>2033374.8</v>
      </c>
      <c r="M3" s="15">
        <f>Tableau13[[#This Row],[Année de déclaration]]-Tableau13[[#This Row],[Année de sinistre]]</f>
        <v>0</v>
      </c>
    </row>
    <row r="4" spans="1:13" x14ac:dyDescent="0.3">
      <c r="A4" s="1" t="s">
        <v>15</v>
      </c>
      <c r="B4" s="1" t="s">
        <v>16</v>
      </c>
      <c r="C4" s="1">
        <v>1049</v>
      </c>
      <c r="D4" s="2">
        <v>43292</v>
      </c>
      <c r="E4" s="1">
        <v>2018</v>
      </c>
      <c r="F4" s="2">
        <v>43292</v>
      </c>
      <c r="G4" s="2">
        <v>44387</v>
      </c>
      <c r="H4" s="2">
        <v>43439</v>
      </c>
      <c r="I4" s="1">
        <v>2018</v>
      </c>
      <c r="J4" s="2">
        <v>43446</v>
      </c>
      <c r="K4" s="1">
        <f>YEAR(Tableau13[[#This Row],[Date de déclaration]])</f>
        <v>2018</v>
      </c>
      <c r="L4" s="4">
        <v>180671.24</v>
      </c>
      <c r="M4" s="15">
        <f>Tableau13[[#This Row],[Année de déclaration]]-Tableau13[[#This Row],[Année de sinistre]]</f>
        <v>0</v>
      </c>
    </row>
    <row r="5" spans="1:13" x14ac:dyDescent="0.3">
      <c r="A5" s="1" t="s">
        <v>17</v>
      </c>
      <c r="B5" s="1" t="s">
        <v>16</v>
      </c>
      <c r="C5" s="1">
        <v>282</v>
      </c>
      <c r="D5" s="2">
        <v>43094</v>
      </c>
      <c r="E5" s="1">
        <v>2017</v>
      </c>
      <c r="F5" s="2">
        <v>43095</v>
      </c>
      <c r="G5" s="2">
        <v>44920</v>
      </c>
      <c r="H5" s="2">
        <v>43341</v>
      </c>
      <c r="I5" s="1">
        <v>2018</v>
      </c>
      <c r="J5" s="2">
        <v>43417</v>
      </c>
      <c r="K5" s="1">
        <f>YEAR(Tableau13[[#This Row],[Date de déclaration]])</f>
        <v>2018</v>
      </c>
      <c r="L5" s="4">
        <v>1205771.6200000001</v>
      </c>
      <c r="M5" s="15">
        <f>Tableau13[[#This Row],[Année de déclaration]]-Tableau13[[#This Row],[Année de sinistre]]</f>
        <v>0</v>
      </c>
    </row>
    <row r="6" spans="1:13" x14ac:dyDescent="0.3">
      <c r="A6" s="1" t="s">
        <v>18</v>
      </c>
      <c r="B6" s="1" t="s">
        <v>13</v>
      </c>
      <c r="C6" s="1">
        <v>1994</v>
      </c>
      <c r="D6" s="2">
        <v>43188</v>
      </c>
      <c r="E6" s="1">
        <v>2018</v>
      </c>
      <c r="F6" s="2">
        <v>43039</v>
      </c>
      <c r="G6" s="2">
        <v>46325</v>
      </c>
      <c r="H6" s="2">
        <v>43246</v>
      </c>
      <c r="I6" s="1">
        <v>2018</v>
      </c>
      <c r="J6" s="2">
        <v>43285</v>
      </c>
      <c r="K6" s="1">
        <f>YEAR(Tableau13[[#This Row],[Date de déclaration]])</f>
        <v>2018</v>
      </c>
      <c r="L6" s="4">
        <v>1578249.39</v>
      </c>
      <c r="M6" s="15">
        <f>Tableau13[[#This Row],[Année de déclaration]]-Tableau13[[#This Row],[Année de sinistre]]</f>
        <v>0</v>
      </c>
    </row>
    <row r="7" spans="1:13" x14ac:dyDescent="0.3">
      <c r="A7" s="1" t="s">
        <v>19</v>
      </c>
      <c r="B7" s="1" t="s">
        <v>16</v>
      </c>
      <c r="C7" s="1">
        <v>1743</v>
      </c>
      <c r="D7" s="2">
        <v>43436</v>
      </c>
      <c r="E7" s="1">
        <v>2018</v>
      </c>
      <c r="F7" s="2">
        <v>43376</v>
      </c>
      <c r="G7" s="2">
        <v>44470</v>
      </c>
      <c r="H7" s="2">
        <v>43439</v>
      </c>
      <c r="I7" s="1">
        <v>2018</v>
      </c>
      <c r="J7" s="2">
        <v>43467</v>
      </c>
      <c r="K7" s="1">
        <f>YEAR(Tableau13[[#This Row],[Date de déclaration]])</f>
        <v>2019</v>
      </c>
      <c r="L7" s="4">
        <v>298054.8</v>
      </c>
      <c r="M7" s="15">
        <f>Tableau13[[#This Row],[Année de déclaration]]-Tableau13[[#This Row],[Année de sinistre]]</f>
        <v>1</v>
      </c>
    </row>
    <row r="8" spans="1:13" x14ac:dyDescent="0.3">
      <c r="A8" s="1" t="s">
        <v>20</v>
      </c>
      <c r="B8" s="1" t="s">
        <v>13</v>
      </c>
      <c r="C8" s="1">
        <v>3603</v>
      </c>
      <c r="D8" s="2">
        <v>43409</v>
      </c>
      <c r="E8" s="1">
        <v>2018</v>
      </c>
      <c r="F8" s="2">
        <v>43410</v>
      </c>
      <c r="G8" s="2">
        <v>51074</v>
      </c>
      <c r="H8" s="2">
        <v>43521</v>
      </c>
      <c r="I8" s="1">
        <v>2019</v>
      </c>
      <c r="J8" s="2">
        <v>43557</v>
      </c>
      <c r="K8" s="1">
        <f>YEAR(Tableau13[[#This Row],[Date de déclaration]])</f>
        <v>2019</v>
      </c>
      <c r="L8" s="4">
        <v>6788127</v>
      </c>
      <c r="M8" s="15">
        <f>Tableau13[[#This Row],[Année de déclaration]]-Tableau13[[#This Row],[Année de sinistre]]</f>
        <v>0</v>
      </c>
    </row>
    <row r="9" spans="1:13" x14ac:dyDescent="0.3">
      <c r="A9" s="1" t="s">
        <v>21</v>
      </c>
      <c r="B9" s="1" t="s">
        <v>16</v>
      </c>
      <c r="C9" s="1">
        <v>1683</v>
      </c>
      <c r="D9" s="2">
        <v>43426</v>
      </c>
      <c r="E9" s="1">
        <v>2018</v>
      </c>
      <c r="F9" s="2">
        <v>43426</v>
      </c>
      <c r="G9" s="2">
        <v>44155</v>
      </c>
      <c r="H9" s="2">
        <v>43552</v>
      </c>
      <c r="I9" s="1">
        <v>2019</v>
      </c>
      <c r="J9" s="2">
        <v>43564</v>
      </c>
      <c r="K9" s="1">
        <f>YEAR(Tableau13[[#This Row],[Date de déclaration]])</f>
        <v>2019</v>
      </c>
      <c r="L9" s="4">
        <v>1176840.33</v>
      </c>
      <c r="M9" s="15">
        <f>Tableau13[[#This Row],[Année de déclaration]]-Tableau13[[#This Row],[Année de sinistre]]</f>
        <v>0</v>
      </c>
    </row>
    <row r="10" spans="1:13" x14ac:dyDescent="0.3">
      <c r="A10" s="1" t="s">
        <v>22</v>
      </c>
      <c r="B10" s="1" t="s">
        <v>13</v>
      </c>
      <c r="C10" s="1">
        <v>1577</v>
      </c>
      <c r="D10" s="2">
        <v>43117</v>
      </c>
      <c r="E10" s="1">
        <v>2018</v>
      </c>
      <c r="F10" s="2">
        <v>43118</v>
      </c>
      <c r="G10" s="2">
        <v>50422</v>
      </c>
      <c r="H10" s="2">
        <v>43480</v>
      </c>
      <c r="I10" s="1">
        <v>2019</v>
      </c>
      <c r="J10" s="2">
        <v>43564</v>
      </c>
      <c r="K10" s="1">
        <f>YEAR(Tableau13[[#This Row],[Date de déclaration]])</f>
        <v>2019</v>
      </c>
      <c r="L10" s="4">
        <v>2031594.26</v>
      </c>
      <c r="M10" s="15">
        <f>Tableau13[[#This Row],[Année de déclaration]]-Tableau13[[#This Row],[Année de sinistre]]</f>
        <v>0</v>
      </c>
    </row>
    <row r="11" spans="1:13" x14ac:dyDescent="0.3">
      <c r="A11" s="1" t="s">
        <v>23</v>
      </c>
      <c r="B11" s="1" t="s">
        <v>13</v>
      </c>
      <c r="C11" s="1">
        <v>3401</v>
      </c>
      <c r="D11" s="2">
        <v>43383</v>
      </c>
      <c r="E11" s="1">
        <v>2018</v>
      </c>
      <c r="F11" s="2">
        <v>43395</v>
      </c>
      <c r="G11" s="2">
        <v>58004</v>
      </c>
      <c r="H11" s="2">
        <v>43582</v>
      </c>
      <c r="I11" s="1">
        <v>2019</v>
      </c>
      <c r="J11" s="2">
        <v>43599</v>
      </c>
      <c r="K11" s="1">
        <f>YEAR(Tableau13[[#This Row],[Date de déclaration]])</f>
        <v>2019</v>
      </c>
      <c r="L11" s="4">
        <v>6177700</v>
      </c>
      <c r="M11" s="15">
        <f>Tableau13[[#This Row],[Année de déclaration]]-Tableau13[[#This Row],[Année de sinistre]]</f>
        <v>0</v>
      </c>
    </row>
    <row r="12" spans="1:13" x14ac:dyDescent="0.3">
      <c r="A12" s="1" t="s">
        <v>19</v>
      </c>
      <c r="B12" s="1" t="s">
        <v>24</v>
      </c>
      <c r="C12" s="1">
        <v>45</v>
      </c>
      <c r="D12" s="2">
        <v>43347</v>
      </c>
      <c r="E12" s="1">
        <v>2018</v>
      </c>
      <c r="F12" s="2">
        <v>43096</v>
      </c>
      <c r="G12" s="2">
        <v>43460</v>
      </c>
      <c r="H12" s="2">
        <v>43342</v>
      </c>
      <c r="I12" s="1">
        <v>2018</v>
      </c>
      <c r="J12" s="2">
        <v>43614</v>
      </c>
      <c r="K12" s="1">
        <f>YEAR(Tableau13[[#This Row],[Date de déclaration]])</f>
        <v>2019</v>
      </c>
      <c r="L12" s="4">
        <v>1000000</v>
      </c>
      <c r="M12" s="15">
        <f>Tableau13[[#This Row],[Année de déclaration]]-Tableau13[[#This Row],[Année de sinistre]]</f>
        <v>1</v>
      </c>
    </row>
    <row r="13" spans="1:13" x14ac:dyDescent="0.3">
      <c r="A13" s="1" t="s">
        <v>25</v>
      </c>
      <c r="B13" s="1" t="s">
        <v>13</v>
      </c>
      <c r="C13" s="1">
        <v>1167</v>
      </c>
      <c r="D13" s="2">
        <v>43060</v>
      </c>
      <c r="E13" s="1">
        <v>2017</v>
      </c>
      <c r="F13" s="2">
        <v>43084</v>
      </c>
      <c r="G13" s="2">
        <v>55136</v>
      </c>
      <c r="H13" s="2">
        <v>43584</v>
      </c>
      <c r="I13" s="1">
        <v>2019</v>
      </c>
      <c r="J13" s="2">
        <v>43655</v>
      </c>
      <c r="K13" s="1">
        <f>YEAR(Tableau13[[#This Row],[Date de déclaration]])</f>
        <v>2019</v>
      </c>
      <c r="L13" s="4">
        <v>1564400</v>
      </c>
      <c r="M13" s="15">
        <f>Tableau13[[#This Row],[Année de déclaration]]-Tableau13[[#This Row],[Année de sinistre]]</f>
        <v>0</v>
      </c>
    </row>
    <row r="14" spans="1:13" x14ac:dyDescent="0.3">
      <c r="A14" s="1" t="s">
        <v>26</v>
      </c>
      <c r="B14" s="1" t="s">
        <v>16</v>
      </c>
      <c r="C14" s="1">
        <v>636</v>
      </c>
      <c r="D14" s="2">
        <v>43213</v>
      </c>
      <c r="E14" s="1">
        <v>2018</v>
      </c>
      <c r="F14" s="2">
        <v>43247</v>
      </c>
      <c r="G14" s="2">
        <v>44342</v>
      </c>
      <c r="H14" s="2">
        <v>43692</v>
      </c>
      <c r="I14" s="1">
        <v>2019</v>
      </c>
      <c r="J14" s="2">
        <v>43698</v>
      </c>
      <c r="K14" s="1">
        <f>YEAR(Tableau13[[#This Row],[Date de déclaration]])</f>
        <v>2019</v>
      </c>
      <c r="L14" s="4">
        <v>121467.83</v>
      </c>
      <c r="M14" s="15">
        <f>Tableau13[[#This Row],[Année de déclaration]]-Tableau13[[#This Row],[Année de sinistre]]</f>
        <v>0</v>
      </c>
    </row>
    <row r="15" spans="1:13" x14ac:dyDescent="0.3">
      <c r="A15" s="1" t="s">
        <v>27</v>
      </c>
      <c r="B15" s="1" t="s">
        <v>13</v>
      </c>
      <c r="C15" s="1">
        <v>2160</v>
      </c>
      <c r="D15" s="2">
        <v>43213</v>
      </c>
      <c r="E15" s="1">
        <v>2018</v>
      </c>
      <c r="F15" s="2">
        <v>43251</v>
      </c>
      <c r="G15" s="2">
        <v>49825</v>
      </c>
      <c r="H15" s="2">
        <v>43645</v>
      </c>
      <c r="I15" s="1">
        <v>2019</v>
      </c>
      <c r="J15" s="2">
        <v>43713</v>
      </c>
      <c r="K15" s="1">
        <f>YEAR(Tableau13[[#This Row],[Date de déclaration]])</f>
        <v>2019</v>
      </c>
      <c r="L15" s="4">
        <v>1352081.52</v>
      </c>
      <c r="M15" s="15">
        <f>Tableau13[[#This Row],[Année de déclaration]]-Tableau13[[#This Row],[Année de sinistre]]</f>
        <v>0</v>
      </c>
    </row>
    <row r="16" spans="1:13" x14ac:dyDescent="0.3">
      <c r="A16" s="1" t="s">
        <v>28</v>
      </c>
      <c r="B16" s="1" t="s">
        <v>16</v>
      </c>
      <c r="C16" s="1">
        <v>825</v>
      </c>
      <c r="D16" s="2">
        <v>43251</v>
      </c>
      <c r="E16" s="1">
        <v>2018</v>
      </c>
      <c r="F16" s="2">
        <v>43106</v>
      </c>
      <c r="G16" s="2">
        <v>44347</v>
      </c>
      <c r="H16" s="2">
        <v>43579</v>
      </c>
      <c r="I16" s="1">
        <v>2019</v>
      </c>
      <c r="J16" s="2">
        <v>43741</v>
      </c>
      <c r="K16" s="1">
        <f>YEAR(Tableau13[[#This Row],[Date de déclaration]])</f>
        <v>2019</v>
      </c>
      <c r="L16" s="4">
        <v>262979.28999999998</v>
      </c>
      <c r="M16" s="15">
        <f>Tableau13[[#This Row],[Année de déclaration]]-Tableau13[[#This Row],[Année de sinistre]]</f>
        <v>0</v>
      </c>
    </row>
    <row r="17" spans="1:13" x14ac:dyDescent="0.3">
      <c r="A17" s="1" t="s">
        <v>29</v>
      </c>
      <c r="B17" s="1" t="s">
        <v>13</v>
      </c>
      <c r="C17" s="1">
        <v>90</v>
      </c>
      <c r="D17" s="2">
        <v>42849</v>
      </c>
      <c r="E17" s="1">
        <v>2017</v>
      </c>
      <c r="F17" s="2">
        <v>42849</v>
      </c>
      <c r="G17" s="2">
        <v>49788</v>
      </c>
      <c r="H17" s="2">
        <v>43749</v>
      </c>
      <c r="I17" s="1">
        <v>2019</v>
      </c>
      <c r="J17" s="2">
        <v>43773</v>
      </c>
      <c r="K17" s="1">
        <f>YEAR(Tableau13[[#This Row],[Date de déclaration]])</f>
        <v>2019</v>
      </c>
      <c r="L17" s="4">
        <v>1755375.01</v>
      </c>
      <c r="M17" s="15">
        <f>Tableau13[[#This Row],[Année de déclaration]]-Tableau13[[#This Row],[Année de sinistre]]</f>
        <v>0</v>
      </c>
    </row>
    <row r="18" spans="1:13" x14ac:dyDescent="0.3">
      <c r="A18" s="1" t="s">
        <v>30</v>
      </c>
      <c r="B18" s="1" t="s">
        <v>16</v>
      </c>
      <c r="C18" s="1">
        <v>1174</v>
      </c>
      <c r="D18" s="2">
        <v>43061</v>
      </c>
      <c r="E18" s="1">
        <v>2017</v>
      </c>
      <c r="F18" s="2">
        <v>43084</v>
      </c>
      <c r="G18" s="2">
        <v>55136</v>
      </c>
      <c r="H18" s="2">
        <v>43719</v>
      </c>
      <c r="I18" s="1">
        <v>2019</v>
      </c>
      <c r="J18" s="2">
        <v>43739</v>
      </c>
      <c r="K18" s="1">
        <f>YEAR(Tableau13[[#This Row],[Date de déclaration]])</f>
        <v>2019</v>
      </c>
      <c r="L18" s="5">
        <v>1842000</v>
      </c>
      <c r="M18" s="15">
        <f>Tableau13[[#This Row],[Année de déclaration]]-Tableau13[[#This Row],[Année de sinistre]]</f>
        <v>0</v>
      </c>
    </row>
    <row r="19" spans="1:13" x14ac:dyDescent="0.3">
      <c r="A19" s="1" t="s">
        <v>31</v>
      </c>
      <c r="B19" s="1" t="s">
        <v>13</v>
      </c>
      <c r="C19" s="1">
        <v>1250</v>
      </c>
      <c r="D19" s="2">
        <v>43072</v>
      </c>
      <c r="E19" s="1">
        <v>2017</v>
      </c>
      <c r="F19" s="2">
        <v>43069</v>
      </c>
      <c r="G19" s="2">
        <v>47086</v>
      </c>
      <c r="H19" s="2">
        <v>43722</v>
      </c>
      <c r="I19" s="1">
        <v>2019</v>
      </c>
      <c r="J19" s="2">
        <v>43795</v>
      </c>
      <c r="K19" s="1">
        <f>YEAR(Tableau13[[#This Row],[Date de déclaration]])</f>
        <v>2019</v>
      </c>
      <c r="L19" s="4">
        <v>878282.58</v>
      </c>
      <c r="M19" s="15">
        <f>Tableau13[[#This Row],[Année de déclaration]]-Tableau13[[#This Row],[Année de sinistre]]</f>
        <v>0</v>
      </c>
    </row>
    <row r="20" spans="1:13" x14ac:dyDescent="0.3">
      <c r="A20" s="1" t="s">
        <v>32</v>
      </c>
      <c r="B20" s="1" t="s">
        <v>16</v>
      </c>
      <c r="C20" s="1">
        <v>1228</v>
      </c>
      <c r="D20" s="2">
        <v>43328</v>
      </c>
      <c r="E20" s="1">
        <v>2018</v>
      </c>
      <c r="F20" s="2">
        <v>43329</v>
      </c>
      <c r="G20" s="2">
        <v>44424</v>
      </c>
      <c r="H20" s="2">
        <v>43562</v>
      </c>
      <c r="I20" s="1">
        <v>2019</v>
      </c>
      <c r="J20" s="2">
        <v>43839</v>
      </c>
      <c r="K20" s="1">
        <f>YEAR(Tableau13[[#This Row],[Date de déclaration]])</f>
        <v>2020</v>
      </c>
      <c r="L20" s="4">
        <v>257000</v>
      </c>
      <c r="M20" s="15">
        <f>Tableau13[[#This Row],[Année de déclaration]]-Tableau13[[#This Row],[Année de sinistre]]</f>
        <v>1</v>
      </c>
    </row>
    <row r="21" spans="1:13" x14ac:dyDescent="0.3">
      <c r="A21" s="1" t="s">
        <v>33</v>
      </c>
      <c r="B21" s="1" t="s">
        <v>13</v>
      </c>
      <c r="C21" s="1">
        <v>1477</v>
      </c>
      <c r="D21" s="2">
        <v>43132</v>
      </c>
      <c r="E21" s="1">
        <v>2018</v>
      </c>
      <c r="F21" s="2">
        <v>43093</v>
      </c>
      <c r="G21" s="2">
        <v>49666</v>
      </c>
      <c r="H21" s="2">
        <v>43840</v>
      </c>
      <c r="I21" s="1">
        <v>2020</v>
      </c>
      <c r="J21" s="2">
        <v>43910</v>
      </c>
      <c r="K21" s="1">
        <f>YEAR(Tableau13[[#This Row],[Date de déclaration]])</f>
        <v>2020</v>
      </c>
      <c r="L21" s="5">
        <v>3400000</v>
      </c>
      <c r="M21" s="15">
        <f>Tableau13[[#This Row],[Année de déclaration]]-Tableau13[[#This Row],[Année de sinistre]]</f>
        <v>0</v>
      </c>
    </row>
    <row r="22" spans="1:13" x14ac:dyDescent="0.3">
      <c r="A22" s="1" t="s">
        <v>34</v>
      </c>
      <c r="B22" s="1" t="s">
        <v>13</v>
      </c>
      <c r="C22" s="1">
        <v>4364</v>
      </c>
      <c r="D22" s="2">
        <v>43488</v>
      </c>
      <c r="E22" s="1">
        <v>2019</v>
      </c>
      <c r="F22" s="2">
        <v>43488</v>
      </c>
      <c r="G22" s="2">
        <v>50787</v>
      </c>
      <c r="H22" s="2">
        <v>43951</v>
      </c>
      <c r="I22" s="1">
        <v>2020</v>
      </c>
      <c r="J22" s="2">
        <v>43963</v>
      </c>
      <c r="K22" s="1">
        <f>YEAR(Tableau13[[#This Row],[Date de déclaration]])</f>
        <v>2020</v>
      </c>
      <c r="L22" s="4">
        <v>8800525.8599999994</v>
      </c>
      <c r="M22" s="15">
        <f>Tableau13[[#This Row],[Année de déclaration]]-Tableau13[[#This Row],[Année de sinistre]]</f>
        <v>0</v>
      </c>
    </row>
    <row r="23" spans="1:13" x14ac:dyDescent="0.3">
      <c r="A23" s="1" t="s">
        <v>35</v>
      </c>
      <c r="B23" s="1" t="s">
        <v>16</v>
      </c>
      <c r="C23" s="1">
        <v>4360</v>
      </c>
      <c r="D23" s="2">
        <v>43766</v>
      </c>
      <c r="E23" s="1">
        <v>2019</v>
      </c>
      <c r="F23" s="2">
        <v>43765</v>
      </c>
      <c r="G23" s="2">
        <v>44859</v>
      </c>
      <c r="H23" s="2">
        <v>43793</v>
      </c>
      <c r="I23" s="1">
        <v>2019</v>
      </c>
      <c r="J23" s="2">
        <v>43910</v>
      </c>
      <c r="K23" s="1">
        <f>YEAR(Tableau13[[#This Row],[Date de déclaration]])</f>
        <v>2020</v>
      </c>
      <c r="L23" s="4">
        <v>500000</v>
      </c>
      <c r="M23" s="15">
        <f>Tableau13[[#This Row],[Année de déclaration]]-Tableau13[[#This Row],[Année de sinistre]]</f>
        <v>1</v>
      </c>
    </row>
    <row r="24" spans="1:13" x14ac:dyDescent="0.3">
      <c r="A24" s="1" t="s">
        <v>36</v>
      </c>
      <c r="B24" s="1" t="s">
        <v>16</v>
      </c>
      <c r="C24" s="1">
        <v>2357</v>
      </c>
      <c r="D24" s="2">
        <v>43513</v>
      </c>
      <c r="E24" s="1">
        <v>2019</v>
      </c>
      <c r="F24" s="2">
        <v>43513</v>
      </c>
      <c r="G24" s="2">
        <v>45337</v>
      </c>
      <c r="H24" s="2">
        <v>43883</v>
      </c>
      <c r="I24" s="1">
        <v>2020</v>
      </c>
      <c r="J24" s="2">
        <v>43910</v>
      </c>
      <c r="K24" s="1">
        <f>YEAR(Tableau13[[#This Row],[Date de déclaration]])</f>
        <v>2020</v>
      </c>
      <c r="L24" s="4">
        <v>1389837.78</v>
      </c>
      <c r="M24" s="15">
        <f>Tableau13[[#This Row],[Année de déclaration]]-Tableau13[[#This Row],[Année de sinistre]]</f>
        <v>0</v>
      </c>
    </row>
    <row r="25" spans="1:13" x14ac:dyDescent="0.3">
      <c r="A25" s="1" t="s">
        <v>37</v>
      </c>
      <c r="B25" s="1" t="s">
        <v>16</v>
      </c>
      <c r="C25" s="1">
        <v>1411</v>
      </c>
      <c r="D25" s="2">
        <v>43376</v>
      </c>
      <c r="E25" s="1">
        <v>2018</v>
      </c>
      <c r="F25" s="2">
        <v>43383</v>
      </c>
      <c r="G25" s="2">
        <v>44418</v>
      </c>
      <c r="H25" s="2">
        <v>43846</v>
      </c>
      <c r="I25" s="1">
        <v>2020</v>
      </c>
      <c r="J25" s="2">
        <v>43899</v>
      </c>
      <c r="K25" s="1">
        <f>YEAR(Tableau13[[#This Row],[Date de déclaration]])</f>
        <v>2020</v>
      </c>
      <c r="L25" s="4">
        <v>235310.37</v>
      </c>
      <c r="M25" s="15">
        <f>Tableau13[[#This Row],[Année de déclaration]]-Tableau13[[#This Row],[Année de sinistre]]</f>
        <v>0</v>
      </c>
    </row>
    <row r="26" spans="1:13" x14ac:dyDescent="0.3">
      <c r="A26" s="1" t="s">
        <v>38</v>
      </c>
      <c r="B26" s="1" t="s">
        <v>16</v>
      </c>
      <c r="C26" s="1">
        <v>475</v>
      </c>
      <c r="D26" s="2">
        <v>43254</v>
      </c>
      <c r="E26" s="1">
        <v>2018</v>
      </c>
      <c r="F26" s="2">
        <v>43315</v>
      </c>
      <c r="G26" s="2">
        <v>44015</v>
      </c>
      <c r="H26" s="2">
        <v>43860</v>
      </c>
      <c r="I26" s="1">
        <v>2020</v>
      </c>
      <c r="J26" s="2">
        <v>43910</v>
      </c>
      <c r="K26" s="1">
        <f>YEAR(Tableau13[[#This Row],[Date de déclaration]])</f>
        <v>2020</v>
      </c>
      <c r="L26" s="4">
        <v>310000</v>
      </c>
      <c r="M26" s="15">
        <f>Tableau13[[#This Row],[Année de déclaration]]-Tableau13[[#This Row],[Année de sinistre]]</f>
        <v>0</v>
      </c>
    </row>
    <row r="27" spans="1:13" x14ac:dyDescent="0.3">
      <c r="A27" s="1" t="s">
        <v>39</v>
      </c>
      <c r="B27" s="1" t="s">
        <v>13</v>
      </c>
      <c r="C27" s="1">
        <v>8055</v>
      </c>
      <c r="D27" s="2">
        <v>43879</v>
      </c>
      <c r="E27" s="1">
        <v>2020</v>
      </c>
      <c r="F27" s="2">
        <v>43890</v>
      </c>
      <c r="G27" s="2">
        <v>51924</v>
      </c>
      <c r="H27" s="2">
        <v>43919</v>
      </c>
      <c r="I27" s="1">
        <v>2020</v>
      </c>
      <c r="J27" s="2">
        <v>43919</v>
      </c>
      <c r="K27" s="1">
        <f>YEAR(Tableau13[[#This Row],[Date de déclaration]])</f>
        <v>2020</v>
      </c>
      <c r="L27" s="4">
        <v>1164492</v>
      </c>
      <c r="M27" s="15">
        <f>Tableau13[[#This Row],[Année de déclaration]]-Tableau13[[#This Row],[Année de sinistre]]</f>
        <v>0</v>
      </c>
    </row>
    <row r="28" spans="1:13" x14ac:dyDescent="0.3">
      <c r="A28" s="1" t="s">
        <v>40</v>
      </c>
      <c r="B28" s="1" t="s">
        <v>16</v>
      </c>
      <c r="C28" s="1">
        <v>698</v>
      </c>
      <c r="D28" s="2">
        <v>43164</v>
      </c>
      <c r="E28" s="1">
        <v>2018</v>
      </c>
      <c r="F28" s="2">
        <v>43195</v>
      </c>
      <c r="G28" s="2">
        <v>44260</v>
      </c>
      <c r="H28" s="2">
        <v>44005</v>
      </c>
      <c r="I28" s="1">
        <v>2020</v>
      </c>
      <c r="J28" s="2">
        <v>44005</v>
      </c>
      <c r="K28" s="1">
        <f>YEAR(Tableau13[[#This Row],[Date de déclaration]])</f>
        <v>2020</v>
      </c>
      <c r="L28" s="4">
        <v>629603.64</v>
      </c>
      <c r="M28" s="15">
        <f>Tableau13[[#This Row],[Année de déclaration]]-Tableau13[[#This Row],[Année de sinistre]]</f>
        <v>0</v>
      </c>
    </row>
    <row r="29" spans="1:13" x14ac:dyDescent="0.3">
      <c r="A29" s="1" t="s">
        <v>41</v>
      </c>
      <c r="B29" s="1" t="s">
        <v>16</v>
      </c>
      <c r="C29" s="1">
        <v>984</v>
      </c>
      <c r="D29" s="2">
        <v>43277</v>
      </c>
      <c r="E29" s="1">
        <v>2018</v>
      </c>
      <c r="F29" s="2">
        <v>43266</v>
      </c>
      <c r="G29" s="2">
        <v>45091</v>
      </c>
      <c r="H29" s="2">
        <v>43994</v>
      </c>
      <c r="I29" s="1">
        <v>2020</v>
      </c>
      <c r="J29" s="2">
        <v>44026</v>
      </c>
      <c r="K29" s="1">
        <f>YEAR(Tableau13[[#This Row],[Date de déclaration]])</f>
        <v>2020</v>
      </c>
      <c r="L29" s="4">
        <v>2742187.9</v>
      </c>
      <c r="M29" s="15">
        <f>Tableau13[[#This Row],[Année de déclaration]]-Tableau13[[#This Row],[Année de sinistre]]</f>
        <v>0</v>
      </c>
    </row>
    <row r="30" spans="1:13" x14ac:dyDescent="0.3">
      <c r="A30" s="1" t="s">
        <v>42</v>
      </c>
      <c r="B30" s="1" t="s">
        <v>16</v>
      </c>
      <c r="C30" s="1">
        <v>192</v>
      </c>
      <c r="D30" s="2">
        <v>42989</v>
      </c>
      <c r="E30" s="1">
        <v>2017</v>
      </c>
      <c r="F30" s="2">
        <v>43054</v>
      </c>
      <c r="G30" s="2">
        <v>44149</v>
      </c>
      <c r="H30" s="2">
        <v>43924</v>
      </c>
      <c r="I30" s="1">
        <v>2020</v>
      </c>
      <c r="J30" s="2">
        <v>44007</v>
      </c>
      <c r="K30" s="1">
        <f>YEAR(Tableau13[[#This Row],[Date de déclaration]])</f>
        <v>2020</v>
      </c>
      <c r="L30" s="4">
        <v>91446.89</v>
      </c>
      <c r="M30" s="15">
        <f>Tableau13[[#This Row],[Année de déclaration]]-Tableau13[[#This Row],[Année de sinistre]]</f>
        <v>0</v>
      </c>
    </row>
    <row r="31" spans="1:13" x14ac:dyDescent="0.3">
      <c r="A31" s="1" t="s">
        <v>43</v>
      </c>
      <c r="B31" s="1" t="s">
        <v>16</v>
      </c>
      <c r="C31" s="1">
        <v>266</v>
      </c>
      <c r="D31" s="2">
        <v>43088</v>
      </c>
      <c r="E31" s="1">
        <v>2017</v>
      </c>
      <c r="F31" s="2">
        <v>43089</v>
      </c>
      <c r="G31" s="2">
        <v>44184</v>
      </c>
      <c r="H31" s="2">
        <v>44009</v>
      </c>
      <c r="I31" s="1">
        <v>2020</v>
      </c>
      <c r="J31" s="2">
        <v>44020</v>
      </c>
      <c r="K31" s="1">
        <f>YEAR(Tableau13[[#This Row],[Date de déclaration]])</f>
        <v>2020</v>
      </c>
      <c r="L31" s="4">
        <v>87081.86</v>
      </c>
      <c r="M31" s="15">
        <f>Tableau13[[#This Row],[Année de déclaration]]-Tableau13[[#This Row],[Année de sinistre]]</f>
        <v>0</v>
      </c>
    </row>
    <row r="32" spans="1:13" x14ac:dyDescent="0.3">
      <c r="A32" s="1" t="s">
        <v>44</v>
      </c>
      <c r="B32" s="1" t="s">
        <v>16</v>
      </c>
      <c r="C32" s="1">
        <v>22808</v>
      </c>
      <c r="D32" s="2">
        <v>44986</v>
      </c>
      <c r="E32" s="1">
        <v>2023</v>
      </c>
      <c r="F32" s="2">
        <v>45016</v>
      </c>
      <c r="G32" s="2">
        <v>46111</v>
      </c>
      <c r="H32" s="2">
        <v>45367</v>
      </c>
      <c r="I32" s="1">
        <v>2024</v>
      </c>
      <c r="J32" s="2">
        <v>45367</v>
      </c>
      <c r="K32" s="1">
        <f>YEAR(Tableau13[[#This Row],[Date de déclaration]])</f>
        <v>2024</v>
      </c>
      <c r="L32" s="4">
        <v>370000</v>
      </c>
      <c r="M32" s="15">
        <f>Tableau13[[#This Row],[Année de déclaration]]-Tableau13[[#This Row],[Année de sinistre]]</f>
        <v>0</v>
      </c>
    </row>
    <row r="33" spans="1:13" x14ac:dyDescent="0.3">
      <c r="A33" s="1" t="s">
        <v>45</v>
      </c>
      <c r="B33" s="1" t="s">
        <v>13</v>
      </c>
      <c r="C33" s="1">
        <v>3862</v>
      </c>
      <c r="D33" s="2">
        <v>43450</v>
      </c>
      <c r="E33" s="1">
        <v>2018</v>
      </c>
      <c r="F33" s="2">
        <v>43355</v>
      </c>
      <c r="G33" s="2">
        <v>56947</v>
      </c>
      <c r="H33" s="2">
        <v>44000</v>
      </c>
      <c r="I33" s="1">
        <v>2020</v>
      </c>
      <c r="J33" s="2">
        <v>44000</v>
      </c>
      <c r="K33" s="1">
        <f>YEAR(Tableau13[[#This Row],[Date de déclaration]])</f>
        <v>2020</v>
      </c>
      <c r="L33" s="4">
        <v>9567000</v>
      </c>
      <c r="M33" s="15">
        <f>Tableau13[[#This Row],[Année de déclaration]]-Tableau13[[#This Row],[Année de sinistre]]</f>
        <v>0</v>
      </c>
    </row>
    <row r="34" spans="1:13" x14ac:dyDescent="0.3">
      <c r="A34" s="1" t="s">
        <v>46</v>
      </c>
      <c r="B34" s="1" t="s">
        <v>16</v>
      </c>
      <c r="C34" s="1">
        <v>3358</v>
      </c>
      <c r="D34" s="2">
        <v>43615</v>
      </c>
      <c r="E34" s="1">
        <v>2019</v>
      </c>
      <c r="F34" s="2">
        <v>43616</v>
      </c>
      <c r="G34" s="2" t="s">
        <v>47</v>
      </c>
      <c r="H34" s="2">
        <v>43757</v>
      </c>
      <c r="I34" s="1">
        <v>2019</v>
      </c>
      <c r="J34" s="2">
        <v>43757</v>
      </c>
      <c r="K34" s="1">
        <f>YEAR(Tableau13[[#This Row],[Date de déclaration]])</f>
        <v>2019</v>
      </c>
      <c r="L34" s="4">
        <v>410160</v>
      </c>
      <c r="M34" s="15">
        <f>Tableau13[[#This Row],[Année de déclaration]]-Tableau13[[#This Row],[Année de sinistre]]</f>
        <v>0</v>
      </c>
    </row>
    <row r="35" spans="1:13" x14ac:dyDescent="0.3">
      <c r="A35" s="1" t="s">
        <v>48</v>
      </c>
      <c r="B35" s="1" t="s">
        <v>13</v>
      </c>
      <c r="C35" s="1">
        <v>3976</v>
      </c>
      <c r="D35" s="2">
        <v>43451</v>
      </c>
      <c r="E35" s="1">
        <v>2018</v>
      </c>
      <c r="F35" s="2">
        <v>43740</v>
      </c>
      <c r="G35" s="2">
        <v>48001</v>
      </c>
      <c r="H35" s="2">
        <v>43868</v>
      </c>
      <c r="I35" s="1">
        <v>2020</v>
      </c>
      <c r="J35" s="2">
        <v>43868</v>
      </c>
      <c r="K35" s="1">
        <f>YEAR(Tableau13[[#This Row],[Date de déclaration]])</f>
        <v>2020</v>
      </c>
      <c r="L35" s="4">
        <v>1974033.79</v>
      </c>
      <c r="M35" s="15">
        <f>Tableau13[[#This Row],[Année de déclaration]]-Tableau13[[#This Row],[Année de sinistre]]</f>
        <v>0</v>
      </c>
    </row>
    <row r="36" spans="1:13" x14ac:dyDescent="0.3">
      <c r="A36" s="1" t="s">
        <v>49</v>
      </c>
      <c r="B36" s="1" t="s">
        <v>16</v>
      </c>
      <c r="C36" s="1">
        <v>3654</v>
      </c>
      <c r="D36" s="2">
        <v>43646</v>
      </c>
      <c r="E36" s="1">
        <v>2019</v>
      </c>
      <c r="F36" s="2">
        <v>43653</v>
      </c>
      <c r="G36" s="2">
        <v>44688</v>
      </c>
      <c r="H36" s="2">
        <v>43990</v>
      </c>
      <c r="I36" s="1">
        <v>2020</v>
      </c>
      <c r="J36" s="2">
        <v>43990</v>
      </c>
      <c r="K36" s="1">
        <f>YEAR(Tableau13[[#This Row],[Date de déclaration]])</f>
        <v>2020</v>
      </c>
      <c r="L36" s="4">
        <v>235570.11</v>
      </c>
      <c r="M36" s="15">
        <f>Tableau13[[#This Row],[Année de déclaration]]-Tableau13[[#This Row],[Année de sinistre]]</f>
        <v>0</v>
      </c>
    </row>
    <row r="37" spans="1:13" x14ac:dyDescent="0.3">
      <c r="A37" s="1" t="s">
        <v>50</v>
      </c>
      <c r="B37" s="1" t="s">
        <v>13</v>
      </c>
      <c r="C37" s="1">
        <v>5384</v>
      </c>
      <c r="D37" s="2">
        <v>43580</v>
      </c>
      <c r="E37" s="1">
        <v>2019</v>
      </c>
      <c r="F37" s="2">
        <v>43581</v>
      </c>
      <c r="G37" s="2">
        <v>43577</v>
      </c>
      <c r="H37" s="2">
        <v>43958</v>
      </c>
      <c r="I37" s="1">
        <v>2020</v>
      </c>
      <c r="J37" s="2">
        <v>43958</v>
      </c>
      <c r="K37" s="1">
        <f>YEAR(Tableau13[[#This Row],[Date de déclaration]])</f>
        <v>2020</v>
      </c>
      <c r="L37" s="4">
        <v>1020139.63</v>
      </c>
      <c r="M37" s="15">
        <f>Tableau13[[#This Row],[Année de déclaration]]-Tableau13[[#This Row],[Année de sinistre]]</f>
        <v>0</v>
      </c>
    </row>
    <row r="38" spans="1:13" x14ac:dyDescent="0.3">
      <c r="A38" s="1" t="s">
        <v>51</v>
      </c>
      <c r="B38" s="1" t="s">
        <v>13</v>
      </c>
      <c r="D38" s="2">
        <v>43831</v>
      </c>
      <c r="E38" s="1">
        <f>YEAR(Tableau13[[#This Row],[Date de sous]])</f>
        <v>2020</v>
      </c>
      <c r="F38" s="6">
        <v>43584</v>
      </c>
      <c r="G38" s="6">
        <v>45410</v>
      </c>
      <c r="H38" s="2">
        <v>44043</v>
      </c>
      <c r="I38" s="1">
        <v>2020</v>
      </c>
      <c r="J38" s="2">
        <v>44043</v>
      </c>
      <c r="K38" s="1">
        <f>YEAR(Tableau13[[#This Row],[Date de déclaration]])</f>
        <v>2020</v>
      </c>
      <c r="L38" s="4">
        <v>809500</v>
      </c>
      <c r="M38" s="15">
        <f>Tableau13[[#This Row],[Année de déclaration]]-Tableau13[[#This Row],[Année de sinistre]]</f>
        <v>0</v>
      </c>
    </row>
    <row r="39" spans="1:13" x14ac:dyDescent="0.3">
      <c r="A39" s="1" t="s">
        <v>52</v>
      </c>
      <c r="B39" s="1" t="s">
        <v>13</v>
      </c>
      <c r="C39" s="1">
        <v>1549</v>
      </c>
      <c r="D39" s="2">
        <v>43114</v>
      </c>
      <c r="E39" s="1">
        <v>2018</v>
      </c>
      <c r="F39" s="2">
        <v>43107</v>
      </c>
      <c r="G39" s="2">
        <v>47854</v>
      </c>
      <c r="H39" s="2">
        <v>44049</v>
      </c>
      <c r="I39" s="1">
        <v>2020</v>
      </c>
      <c r="J39" s="2">
        <v>44060</v>
      </c>
      <c r="K39" s="1">
        <f>YEAR(Tableau13[[#This Row],[Date de déclaration]])</f>
        <v>2020</v>
      </c>
      <c r="L39" s="4">
        <v>689379.27</v>
      </c>
      <c r="M39" s="15">
        <f>Tableau13[[#This Row],[Année de déclaration]]-Tableau13[[#This Row],[Année de sinistre]]</f>
        <v>0</v>
      </c>
    </row>
    <row r="40" spans="1:13" x14ac:dyDescent="0.3">
      <c r="A40" s="1" t="s">
        <v>53</v>
      </c>
      <c r="B40" s="1" t="s">
        <v>16</v>
      </c>
      <c r="C40" s="1">
        <v>1496</v>
      </c>
      <c r="D40" s="2">
        <v>43395</v>
      </c>
      <c r="E40" s="1">
        <v>2018</v>
      </c>
      <c r="F40" s="2">
        <v>43397</v>
      </c>
      <c r="G40" s="2">
        <v>44491</v>
      </c>
      <c r="H40" s="2">
        <v>44038</v>
      </c>
      <c r="I40" s="1">
        <v>2020</v>
      </c>
      <c r="J40" s="2">
        <v>44096</v>
      </c>
      <c r="K40" s="1">
        <f>YEAR(Tableau13[[#This Row],[Date de déclaration]])</f>
        <v>2020</v>
      </c>
      <c r="L40" s="4">
        <v>409936.01462522853</v>
      </c>
      <c r="M40" s="15">
        <f>Tableau13[[#This Row],[Année de déclaration]]-Tableau13[[#This Row],[Année de sinistre]]</f>
        <v>0</v>
      </c>
    </row>
    <row r="41" spans="1:13" x14ac:dyDescent="0.3">
      <c r="A41" s="1" t="s">
        <v>54</v>
      </c>
      <c r="B41" s="1" t="s">
        <v>16</v>
      </c>
      <c r="C41" s="1">
        <v>2317</v>
      </c>
      <c r="D41" s="2">
        <v>43507</v>
      </c>
      <c r="E41" s="1">
        <v>2019</v>
      </c>
      <c r="F41" s="2">
        <v>43509</v>
      </c>
      <c r="G41" s="2">
        <v>45333</v>
      </c>
      <c r="H41" s="2">
        <v>44028</v>
      </c>
      <c r="I41" s="1">
        <v>2020</v>
      </c>
      <c r="J41" s="2">
        <v>44096</v>
      </c>
      <c r="K41" s="1">
        <f>YEAR(Tableau13[[#This Row],[Date de déclaration]])</f>
        <v>2020</v>
      </c>
      <c r="L41" s="4">
        <v>1062440.53</v>
      </c>
      <c r="M41" s="15">
        <f>Tableau13[[#This Row],[Année de déclaration]]-Tableau13[[#This Row],[Année de sinistre]]</f>
        <v>0</v>
      </c>
    </row>
    <row r="42" spans="1:13" x14ac:dyDescent="0.3">
      <c r="A42" s="1" t="s">
        <v>55</v>
      </c>
      <c r="B42" s="1" t="s">
        <v>13</v>
      </c>
      <c r="C42" s="1">
        <v>5210</v>
      </c>
      <c r="D42" s="2">
        <v>43566</v>
      </c>
      <c r="E42" s="1">
        <v>2019</v>
      </c>
      <c r="F42" s="2">
        <v>43538</v>
      </c>
      <c r="G42" s="2">
        <v>51932</v>
      </c>
      <c r="H42" s="2">
        <v>43883</v>
      </c>
      <c r="I42" s="1">
        <v>2020</v>
      </c>
      <c r="J42" s="2">
        <v>43883</v>
      </c>
      <c r="K42" s="1">
        <f>YEAR(Tableau13[[#This Row],[Date de déclaration]])</f>
        <v>2020</v>
      </c>
      <c r="L42" s="4">
        <v>1949677.6263259472</v>
      </c>
      <c r="M42" s="15">
        <f>Tableau13[[#This Row],[Année de déclaration]]-Tableau13[[#This Row],[Année de sinistre]]</f>
        <v>0</v>
      </c>
    </row>
    <row r="43" spans="1:13" x14ac:dyDescent="0.3">
      <c r="A43" s="1" t="s">
        <v>56</v>
      </c>
      <c r="B43" s="1" t="s">
        <v>16</v>
      </c>
      <c r="C43" s="1">
        <v>593</v>
      </c>
      <c r="D43" s="2">
        <v>43200</v>
      </c>
      <c r="E43" s="1">
        <v>2018</v>
      </c>
      <c r="F43" s="2">
        <v>43200</v>
      </c>
      <c r="G43" s="2">
        <v>44295</v>
      </c>
      <c r="H43" s="2">
        <v>44094</v>
      </c>
      <c r="I43" s="1">
        <v>2020</v>
      </c>
      <c r="J43" s="2">
        <v>44094</v>
      </c>
      <c r="K43" s="1">
        <f>YEAR(Tableau13[[#This Row],[Date de déclaration]])</f>
        <v>2020</v>
      </c>
      <c r="L43" s="4">
        <v>95941.01</v>
      </c>
      <c r="M43" s="15">
        <f>Tableau13[[#This Row],[Année de déclaration]]-Tableau13[[#This Row],[Année de sinistre]]</f>
        <v>0</v>
      </c>
    </row>
    <row r="44" spans="1:13" x14ac:dyDescent="0.3">
      <c r="A44" s="1" t="s">
        <v>57</v>
      </c>
      <c r="B44" s="1" t="s">
        <v>16</v>
      </c>
      <c r="C44" s="1">
        <v>1519</v>
      </c>
      <c r="D44" s="2">
        <v>43401</v>
      </c>
      <c r="E44" s="1">
        <v>2018</v>
      </c>
      <c r="F44" s="2">
        <v>43403</v>
      </c>
      <c r="G44" s="2">
        <v>45227</v>
      </c>
      <c r="H44" s="2">
        <v>44133</v>
      </c>
      <c r="I44" s="1">
        <v>2020</v>
      </c>
      <c r="J44" s="2">
        <v>44133</v>
      </c>
      <c r="K44" s="1">
        <f>YEAR(Tableau13[[#This Row],[Date de déclaration]])</f>
        <v>2020</v>
      </c>
      <c r="L44" s="4">
        <v>663804.68999999994</v>
      </c>
      <c r="M44" s="15">
        <f>Tableau13[[#This Row],[Année de déclaration]]-Tableau13[[#This Row],[Année de sinistre]]</f>
        <v>0</v>
      </c>
    </row>
    <row r="45" spans="1:13" x14ac:dyDescent="0.3">
      <c r="A45" s="1" t="s">
        <v>58</v>
      </c>
      <c r="B45" s="1" t="s">
        <v>13</v>
      </c>
      <c r="C45" s="1">
        <v>1242</v>
      </c>
      <c r="D45" s="2">
        <v>43072</v>
      </c>
      <c r="E45" s="1">
        <v>2017</v>
      </c>
      <c r="F45" s="2">
        <v>43073</v>
      </c>
      <c r="G45" s="2">
        <v>50377</v>
      </c>
      <c r="H45" s="2">
        <v>43992</v>
      </c>
      <c r="I45" s="1">
        <v>2020</v>
      </c>
      <c r="J45" s="2">
        <v>43992</v>
      </c>
      <c r="K45" s="1">
        <f>YEAR(Tableau13[[#This Row],[Date de déclaration]])</f>
        <v>2020</v>
      </c>
      <c r="L45" s="4">
        <v>1274674.82</v>
      </c>
      <c r="M45" s="15">
        <f>Tableau13[[#This Row],[Année de déclaration]]-Tableau13[[#This Row],[Année de sinistre]]</f>
        <v>0</v>
      </c>
    </row>
    <row r="46" spans="1:13" x14ac:dyDescent="0.3">
      <c r="A46" s="1" t="s">
        <v>59</v>
      </c>
      <c r="B46" s="1" t="s">
        <v>13</v>
      </c>
      <c r="C46" s="1">
        <v>2283</v>
      </c>
      <c r="D46" s="2">
        <v>43234</v>
      </c>
      <c r="E46" s="1">
        <v>2018</v>
      </c>
      <c r="F46" s="2">
        <v>43008</v>
      </c>
      <c r="G46" s="2">
        <v>49216</v>
      </c>
      <c r="H46" s="2">
        <v>44059</v>
      </c>
      <c r="I46" s="1">
        <v>2020</v>
      </c>
      <c r="J46" s="2">
        <v>44059</v>
      </c>
      <c r="K46" s="1">
        <f>YEAR(Tableau13[[#This Row],[Date de déclaration]])</f>
        <v>2020</v>
      </c>
      <c r="L46" s="4">
        <v>1291159.21</v>
      </c>
      <c r="M46" s="15">
        <f>Tableau13[[#This Row],[Année de déclaration]]-Tableau13[[#This Row],[Année de sinistre]]</f>
        <v>0</v>
      </c>
    </row>
    <row r="47" spans="1:13" x14ac:dyDescent="0.3">
      <c r="A47" s="1" t="s">
        <v>60</v>
      </c>
      <c r="B47" s="1" t="s">
        <v>13</v>
      </c>
      <c r="C47" s="1">
        <v>1508</v>
      </c>
      <c r="D47" s="2">
        <v>43108</v>
      </c>
      <c r="E47" s="1">
        <v>2018</v>
      </c>
      <c r="F47" s="2">
        <v>43008</v>
      </c>
      <c r="G47" s="2">
        <v>47025</v>
      </c>
      <c r="H47" s="2">
        <v>44116</v>
      </c>
      <c r="I47" s="1">
        <v>2020</v>
      </c>
      <c r="J47" s="2">
        <v>44116</v>
      </c>
      <c r="K47" s="1">
        <f>YEAR(Tableau13[[#This Row],[Date de déclaration]])</f>
        <v>2020</v>
      </c>
      <c r="L47" s="4">
        <v>756914</v>
      </c>
      <c r="M47" s="15">
        <f>Tableau13[[#This Row],[Année de déclaration]]-Tableau13[[#This Row],[Année de sinistre]]</f>
        <v>0</v>
      </c>
    </row>
    <row r="48" spans="1:13" x14ac:dyDescent="0.3">
      <c r="A48" s="1" t="s">
        <v>61</v>
      </c>
      <c r="B48" s="1" t="s">
        <v>13</v>
      </c>
      <c r="C48" s="1">
        <v>9343</v>
      </c>
      <c r="D48" s="2">
        <v>44045</v>
      </c>
      <c r="E48" s="1">
        <v>2020</v>
      </c>
      <c r="F48" s="2">
        <v>44046</v>
      </c>
      <c r="G48" s="2">
        <v>49520</v>
      </c>
      <c r="H48" s="2">
        <v>44146</v>
      </c>
      <c r="I48" s="1">
        <v>2020</v>
      </c>
      <c r="J48" s="2">
        <v>44146</v>
      </c>
      <c r="K48" s="1">
        <f>YEAR(Tableau13[[#This Row],[Date de déclaration]])</f>
        <v>2020</v>
      </c>
      <c r="L48" s="4">
        <v>6442826.6200000001</v>
      </c>
      <c r="M48" s="15">
        <f>Tableau13[[#This Row],[Année de déclaration]]-Tableau13[[#This Row],[Année de sinistre]]</f>
        <v>0</v>
      </c>
    </row>
    <row r="49" spans="1:13" x14ac:dyDescent="0.3">
      <c r="A49" s="1" t="s">
        <v>62</v>
      </c>
      <c r="B49" s="1" t="s">
        <v>13</v>
      </c>
      <c r="C49" s="1">
        <v>857</v>
      </c>
      <c r="D49" s="2">
        <v>43018</v>
      </c>
      <c r="E49" s="1">
        <v>2017</v>
      </c>
      <c r="F49" s="2">
        <v>43018</v>
      </c>
      <c r="G49" s="2">
        <v>50687</v>
      </c>
      <c r="H49" s="2">
        <v>44142</v>
      </c>
      <c r="I49" s="1">
        <v>2020</v>
      </c>
      <c r="J49" s="2">
        <v>44142</v>
      </c>
      <c r="K49" s="1">
        <f>YEAR(Tableau13[[#This Row],[Date de déclaration]])</f>
        <v>2020</v>
      </c>
      <c r="L49" s="4">
        <v>7227122.5</v>
      </c>
      <c r="M49" s="15">
        <f>Tableau13[[#This Row],[Année de déclaration]]-Tableau13[[#This Row],[Année de sinistre]]</f>
        <v>0</v>
      </c>
    </row>
    <row r="50" spans="1:13" x14ac:dyDescent="0.3">
      <c r="A50" s="1" t="s">
        <v>63</v>
      </c>
      <c r="B50" s="1" t="s">
        <v>13</v>
      </c>
      <c r="C50" s="1">
        <v>7826</v>
      </c>
      <c r="D50" s="2">
        <v>43852</v>
      </c>
      <c r="E50" s="1">
        <v>2020</v>
      </c>
      <c r="F50" s="2">
        <v>43851</v>
      </c>
      <c r="G50" s="2">
        <v>46770</v>
      </c>
      <c r="H50" s="2">
        <v>44143</v>
      </c>
      <c r="I50" s="1">
        <v>2020</v>
      </c>
      <c r="J50" s="6">
        <v>44151</v>
      </c>
      <c r="K50" s="1">
        <f>YEAR(Tableau13[[#This Row],[Date de déclaration]])</f>
        <v>2020</v>
      </c>
      <c r="L50" s="4">
        <v>7739705.3785542995</v>
      </c>
      <c r="M50" s="15">
        <f>Tableau13[[#This Row],[Année de déclaration]]-Tableau13[[#This Row],[Année de sinistre]]</f>
        <v>0</v>
      </c>
    </row>
    <row r="51" spans="1:13" x14ac:dyDescent="0.3">
      <c r="A51" s="1" t="s">
        <v>64</v>
      </c>
      <c r="B51" s="1" t="s">
        <v>16</v>
      </c>
      <c r="C51" s="1">
        <v>3601</v>
      </c>
      <c r="D51" s="2">
        <v>43641</v>
      </c>
      <c r="E51" s="1">
        <v>2019</v>
      </c>
      <c r="F51" s="2">
        <v>43642</v>
      </c>
      <c r="G51" s="2">
        <v>45466</v>
      </c>
      <c r="H51" s="2">
        <v>44148</v>
      </c>
      <c r="I51" s="1">
        <v>2020</v>
      </c>
      <c r="J51" s="2">
        <v>44148</v>
      </c>
      <c r="K51" s="1">
        <f>YEAR(Tableau13[[#This Row],[Date de déclaration]])</f>
        <v>2020</v>
      </c>
      <c r="L51" s="4">
        <v>1054255.4824561405</v>
      </c>
      <c r="M51" s="15">
        <f>Tableau13[[#This Row],[Année de déclaration]]-Tableau13[[#This Row],[Année de sinistre]]</f>
        <v>0</v>
      </c>
    </row>
    <row r="52" spans="1:13" x14ac:dyDescent="0.3">
      <c r="A52" s="1" t="s">
        <v>65</v>
      </c>
      <c r="B52" s="1" t="s">
        <v>16</v>
      </c>
      <c r="C52" s="1">
        <v>702</v>
      </c>
      <c r="D52" s="2">
        <v>43227</v>
      </c>
      <c r="E52" s="1">
        <v>2018</v>
      </c>
      <c r="F52" s="2">
        <v>43252</v>
      </c>
      <c r="G52" s="2">
        <v>44347</v>
      </c>
      <c r="H52" s="2">
        <v>44031</v>
      </c>
      <c r="I52" s="1">
        <v>2020</v>
      </c>
      <c r="J52" s="2">
        <v>44031</v>
      </c>
      <c r="K52" s="1">
        <f>YEAR(Tableau13[[#This Row],[Date de déclaration]])</f>
        <v>2020</v>
      </c>
      <c r="L52" s="4">
        <v>154448.51999999999</v>
      </c>
      <c r="M52" s="15">
        <f>Tableau13[[#This Row],[Année de déclaration]]-Tableau13[[#This Row],[Année de sinistre]]</f>
        <v>0</v>
      </c>
    </row>
    <row r="53" spans="1:13" x14ac:dyDescent="0.3">
      <c r="A53" s="1" t="s">
        <v>66</v>
      </c>
      <c r="B53" s="1" t="s">
        <v>13</v>
      </c>
      <c r="C53" s="1">
        <v>2197</v>
      </c>
      <c r="D53" s="2">
        <v>43216</v>
      </c>
      <c r="E53" s="1">
        <v>2018</v>
      </c>
      <c r="F53" s="2">
        <v>43115</v>
      </c>
      <c r="G53" s="2">
        <v>52976</v>
      </c>
      <c r="H53" s="2">
        <v>43905</v>
      </c>
      <c r="I53" s="1">
        <v>2020</v>
      </c>
      <c r="J53" s="2">
        <v>43905</v>
      </c>
      <c r="K53" s="1">
        <f>YEAR(Tableau13[[#This Row],[Date de déclaration]])</f>
        <v>2020</v>
      </c>
      <c r="L53" s="4">
        <v>527253.22</v>
      </c>
      <c r="M53" s="15">
        <f>Tableau13[[#This Row],[Année de déclaration]]-Tableau13[[#This Row],[Année de sinistre]]</f>
        <v>0</v>
      </c>
    </row>
    <row r="54" spans="1:13" x14ac:dyDescent="0.3">
      <c r="A54" s="1" t="s">
        <v>67</v>
      </c>
      <c r="B54" s="1" t="s">
        <v>16</v>
      </c>
      <c r="C54" s="1">
        <v>51</v>
      </c>
      <c r="D54" s="2">
        <v>42880</v>
      </c>
      <c r="E54" s="1">
        <v>2017</v>
      </c>
      <c r="F54" s="2">
        <v>42852</v>
      </c>
      <c r="G54" s="2">
        <v>44677</v>
      </c>
      <c r="H54" s="2">
        <v>44145</v>
      </c>
      <c r="I54" s="1">
        <v>2020</v>
      </c>
      <c r="J54" s="2">
        <v>44145</v>
      </c>
      <c r="K54" s="1">
        <f>YEAR(Tableau13[[#This Row],[Date de déclaration]])</f>
        <v>2020</v>
      </c>
      <c r="L54" s="4">
        <v>282615.89041095896</v>
      </c>
      <c r="M54" s="15">
        <f>Tableau13[[#This Row],[Année de déclaration]]-Tableau13[[#This Row],[Année de sinistre]]</f>
        <v>0</v>
      </c>
    </row>
    <row r="55" spans="1:13" x14ac:dyDescent="0.3">
      <c r="A55" s="1" t="s">
        <v>68</v>
      </c>
      <c r="B55" s="1" t="s">
        <v>13</v>
      </c>
      <c r="C55" s="1">
        <v>2946</v>
      </c>
      <c r="D55" s="2">
        <v>43314</v>
      </c>
      <c r="E55" s="1">
        <v>2018</v>
      </c>
      <c r="F55" s="2">
        <v>43315</v>
      </c>
      <c r="G55" s="2">
        <v>57924</v>
      </c>
      <c r="H55" s="2">
        <v>43817</v>
      </c>
      <c r="I55" s="1">
        <v>2019</v>
      </c>
      <c r="J55" s="2">
        <v>43817</v>
      </c>
      <c r="K55" s="1">
        <f>YEAR(Tableau13[[#This Row],[Date de déclaration]])</f>
        <v>2019</v>
      </c>
      <c r="L55" s="4">
        <v>7570000</v>
      </c>
      <c r="M55" s="15">
        <f>Tableau13[[#This Row],[Année de déclaration]]-Tableau13[[#This Row],[Année de sinistre]]</f>
        <v>0</v>
      </c>
    </row>
    <row r="56" spans="1:13" x14ac:dyDescent="0.3">
      <c r="A56" s="1" t="s">
        <v>69</v>
      </c>
      <c r="B56" s="1" t="s">
        <v>13</v>
      </c>
      <c r="C56" s="1">
        <v>7681</v>
      </c>
      <c r="D56" s="2">
        <v>43837</v>
      </c>
      <c r="E56" s="1">
        <v>2020</v>
      </c>
      <c r="F56" s="2">
        <v>43824</v>
      </c>
      <c r="G56" s="2">
        <v>44188</v>
      </c>
      <c r="H56" s="2">
        <v>44225</v>
      </c>
      <c r="I56" s="1">
        <v>2021</v>
      </c>
      <c r="J56" s="6">
        <v>44272</v>
      </c>
      <c r="K56" s="1">
        <f>YEAR(Tableau13[[#This Row],[Date de déclaration]])</f>
        <v>2021</v>
      </c>
      <c r="L56" s="4">
        <v>2024300</v>
      </c>
      <c r="M56" s="15">
        <f>Tableau13[[#This Row],[Année de déclaration]]-Tableau13[[#This Row],[Année de sinistre]]</f>
        <v>0</v>
      </c>
    </row>
    <row r="57" spans="1:13" x14ac:dyDescent="0.3">
      <c r="A57" s="1" t="s">
        <v>70</v>
      </c>
      <c r="B57" s="1" t="s">
        <v>13</v>
      </c>
      <c r="C57" s="1">
        <v>7786</v>
      </c>
      <c r="D57" s="2">
        <v>43850</v>
      </c>
      <c r="E57" s="1">
        <v>2020</v>
      </c>
      <c r="F57" s="2">
        <v>43861</v>
      </c>
      <c r="G57" s="2">
        <v>50430</v>
      </c>
      <c r="H57" s="2">
        <v>44194</v>
      </c>
      <c r="I57" s="1">
        <v>2020</v>
      </c>
      <c r="J57" s="2">
        <v>44194</v>
      </c>
      <c r="K57" s="1">
        <f>YEAR(Tableau13[[#This Row],[Date de déclaration]])</f>
        <v>2020</v>
      </c>
      <c r="L57" s="4">
        <v>1521444.43</v>
      </c>
      <c r="M57" s="15">
        <f>Tableau13[[#This Row],[Année de déclaration]]-Tableau13[[#This Row],[Année de sinistre]]</f>
        <v>0</v>
      </c>
    </row>
    <row r="58" spans="1:13" x14ac:dyDescent="0.3">
      <c r="A58" s="1" t="s">
        <v>71</v>
      </c>
      <c r="B58" s="1" t="s">
        <v>13</v>
      </c>
      <c r="C58" s="1">
        <v>4648</v>
      </c>
      <c r="D58" s="2">
        <v>43516</v>
      </c>
      <c r="E58" s="1">
        <v>2019</v>
      </c>
      <c r="F58" s="2">
        <v>43516</v>
      </c>
      <c r="G58" s="2">
        <v>55195</v>
      </c>
      <c r="H58" s="2">
        <v>44185</v>
      </c>
      <c r="I58" s="1">
        <v>2020</v>
      </c>
      <c r="J58" s="2">
        <v>44210</v>
      </c>
      <c r="K58" s="1">
        <f>YEAR(Tableau13[[#This Row],[Date de déclaration]])</f>
        <v>2021</v>
      </c>
      <c r="L58" s="4">
        <v>1002668.29</v>
      </c>
      <c r="M58" s="15">
        <f>Tableau13[[#This Row],[Année de déclaration]]-Tableau13[[#This Row],[Année de sinistre]]</f>
        <v>1</v>
      </c>
    </row>
    <row r="59" spans="1:13" x14ac:dyDescent="0.3">
      <c r="A59" s="1" t="s">
        <v>72</v>
      </c>
      <c r="B59" s="1" t="s">
        <v>13</v>
      </c>
      <c r="C59" s="1">
        <v>4155</v>
      </c>
      <c r="D59" s="2">
        <v>43465</v>
      </c>
      <c r="E59" s="1">
        <v>2018</v>
      </c>
      <c r="F59" s="2">
        <v>43465</v>
      </c>
      <c r="G59" s="2">
        <v>58064</v>
      </c>
      <c r="H59" s="2">
        <v>44148</v>
      </c>
      <c r="I59" s="1">
        <v>2020</v>
      </c>
      <c r="J59" s="2">
        <v>44214</v>
      </c>
      <c r="K59" s="1">
        <f>YEAR(Tableau13[[#This Row],[Date de déclaration]])</f>
        <v>2021</v>
      </c>
      <c r="L59" s="4">
        <v>8423326.3800000008</v>
      </c>
      <c r="M59" s="15">
        <f>Tableau13[[#This Row],[Année de déclaration]]-Tableau13[[#This Row],[Année de sinistre]]</f>
        <v>1</v>
      </c>
    </row>
    <row r="60" spans="1:13" x14ac:dyDescent="0.3">
      <c r="A60" s="1" t="s">
        <v>73</v>
      </c>
      <c r="B60" s="1" t="s">
        <v>13</v>
      </c>
      <c r="C60" s="1">
        <v>7918</v>
      </c>
      <c r="D60" s="2">
        <v>43860</v>
      </c>
      <c r="E60" s="1">
        <v>2020</v>
      </c>
      <c r="F60" s="2">
        <v>43860</v>
      </c>
      <c r="G60" s="2">
        <v>47146</v>
      </c>
      <c r="H60" s="2">
        <v>44164</v>
      </c>
      <c r="I60" s="1">
        <v>2020</v>
      </c>
      <c r="J60" s="2">
        <v>44222</v>
      </c>
      <c r="K60" s="1">
        <f>YEAR(Tableau13[[#This Row],[Date de déclaration]])</f>
        <v>2021</v>
      </c>
      <c r="L60" s="4">
        <v>1691032.95</v>
      </c>
      <c r="M60" s="15">
        <f>Tableau13[[#This Row],[Année de déclaration]]-Tableau13[[#This Row],[Année de sinistre]]</f>
        <v>1</v>
      </c>
    </row>
    <row r="61" spans="1:13" x14ac:dyDescent="0.3">
      <c r="A61" s="1" t="s">
        <v>74</v>
      </c>
      <c r="B61" s="1" t="s">
        <v>16</v>
      </c>
      <c r="C61" s="1">
        <v>9817</v>
      </c>
      <c r="D61" s="2">
        <v>43944</v>
      </c>
      <c r="E61" s="1">
        <v>2020</v>
      </c>
      <c r="F61" s="2">
        <v>43944</v>
      </c>
      <c r="G61" s="2">
        <v>45038</v>
      </c>
      <c r="H61" s="2">
        <v>44174</v>
      </c>
      <c r="I61" s="1">
        <v>2020</v>
      </c>
      <c r="J61" s="2">
        <v>44413</v>
      </c>
      <c r="K61" s="1">
        <f>YEAR(Tableau13[[#This Row],[Date de déclaration]])</f>
        <v>2021</v>
      </c>
      <c r="L61" s="4">
        <v>441737.37</v>
      </c>
      <c r="M61" s="15">
        <f>Tableau13[[#This Row],[Année de déclaration]]-Tableau13[[#This Row],[Année de sinistre]]</f>
        <v>1</v>
      </c>
    </row>
    <row r="62" spans="1:13" x14ac:dyDescent="0.3">
      <c r="A62" s="1" t="s">
        <v>75</v>
      </c>
      <c r="B62" s="1" t="s">
        <v>16</v>
      </c>
      <c r="C62" s="1">
        <v>2988</v>
      </c>
      <c r="D62" s="2">
        <v>43583</v>
      </c>
      <c r="E62" s="1">
        <v>2019</v>
      </c>
      <c r="F62" s="2">
        <v>43583</v>
      </c>
      <c r="G62" s="2">
        <v>44677</v>
      </c>
      <c r="H62" s="2">
        <v>44146</v>
      </c>
      <c r="I62" s="1">
        <v>2020</v>
      </c>
      <c r="J62" s="2">
        <v>44146</v>
      </c>
      <c r="K62" s="1">
        <f>YEAR(Tableau13[[#This Row],[Date de déclaration]])</f>
        <v>2020</v>
      </c>
      <c r="L62" s="4">
        <v>450396.67</v>
      </c>
      <c r="M62" s="15">
        <f>Tableau13[[#This Row],[Année de déclaration]]-Tableau13[[#This Row],[Année de sinistre]]</f>
        <v>0</v>
      </c>
    </row>
    <row r="63" spans="1:13" x14ac:dyDescent="0.3">
      <c r="A63" s="1" t="s">
        <v>76</v>
      </c>
      <c r="B63" s="1" t="s">
        <v>13</v>
      </c>
      <c r="C63" s="1">
        <v>633</v>
      </c>
      <c r="D63" s="2">
        <v>42955</v>
      </c>
      <c r="E63" s="1">
        <v>2017</v>
      </c>
      <c r="F63" s="2">
        <v>42955</v>
      </c>
      <c r="G63" s="2">
        <v>48433</v>
      </c>
      <c r="H63" s="2">
        <v>44259</v>
      </c>
      <c r="I63" s="1">
        <v>2021</v>
      </c>
      <c r="J63" s="2">
        <v>44259</v>
      </c>
      <c r="K63" s="1">
        <f>YEAR(Tableau13[[#This Row],[Date de déclaration]])</f>
        <v>2021</v>
      </c>
      <c r="L63" s="4">
        <v>909514.76</v>
      </c>
      <c r="M63" s="15">
        <f>Tableau13[[#This Row],[Année de déclaration]]-Tableau13[[#This Row],[Année de sinistre]]</f>
        <v>0</v>
      </c>
    </row>
    <row r="64" spans="1:13" x14ac:dyDescent="0.3">
      <c r="A64" s="1" t="s">
        <v>77</v>
      </c>
      <c r="B64" s="1" t="s">
        <v>13</v>
      </c>
      <c r="C64" s="1">
        <v>9328</v>
      </c>
      <c r="D64" s="2">
        <v>44041</v>
      </c>
      <c r="E64" s="1">
        <v>2020</v>
      </c>
      <c r="F64" s="2">
        <v>44053</v>
      </c>
      <c r="G64" s="2">
        <v>47339</v>
      </c>
      <c r="H64" s="2">
        <v>44182</v>
      </c>
      <c r="I64" s="1">
        <v>2020</v>
      </c>
      <c r="J64" s="2">
        <v>44231</v>
      </c>
      <c r="K64" s="1">
        <f>YEAR(Tableau13[[#This Row],[Date de déclaration]])</f>
        <v>2021</v>
      </c>
      <c r="L64" s="4">
        <v>1134909.18</v>
      </c>
      <c r="M64" s="15">
        <f>Tableau13[[#This Row],[Année de déclaration]]-Tableau13[[#This Row],[Année de sinistre]]</f>
        <v>1</v>
      </c>
    </row>
    <row r="65" spans="1:13" x14ac:dyDescent="0.3">
      <c r="A65" s="1" t="s">
        <v>78</v>
      </c>
      <c r="B65" s="1" t="s">
        <v>16</v>
      </c>
      <c r="C65" s="1">
        <v>10056</v>
      </c>
      <c r="D65" s="2">
        <v>44025</v>
      </c>
      <c r="E65" s="1">
        <v>2020</v>
      </c>
      <c r="F65" s="2">
        <v>44031</v>
      </c>
      <c r="G65" s="2">
        <v>45125</v>
      </c>
      <c r="H65" s="2">
        <v>44236</v>
      </c>
      <c r="I65" s="1">
        <v>2021</v>
      </c>
      <c r="J65" s="7">
        <v>44826</v>
      </c>
      <c r="K65" s="1">
        <f>YEAR(Tableau13[[#This Row],[Date de déclaration]])</f>
        <v>2022</v>
      </c>
      <c r="L65" s="4">
        <v>276288.8482632541</v>
      </c>
      <c r="M65" s="15">
        <f>Tableau13[[#This Row],[Année de déclaration]]-Tableau13[[#This Row],[Année de sinistre]]</f>
        <v>1</v>
      </c>
    </row>
    <row r="66" spans="1:13" x14ac:dyDescent="0.3">
      <c r="A66" s="1" t="s">
        <v>79</v>
      </c>
      <c r="B66" s="1" t="s">
        <v>16</v>
      </c>
      <c r="C66" s="1">
        <v>1244</v>
      </c>
      <c r="D66" s="2">
        <v>43332</v>
      </c>
      <c r="E66" s="1">
        <v>2018</v>
      </c>
      <c r="F66" s="2">
        <v>43305</v>
      </c>
      <c r="G66" s="2">
        <v>45130</v>
      </c>
      <c r="H66" s="2">
        <v>44231</v>
      </c>
      <c r="I66" s="1">
        <v>2021</v>
      </c>
      <c r="J66" s="2">
        <v>44255</v>
      </c>
      <c r="K66" s="1">
        <f>YEAR(Tableau13[[#This Row],[Date de déclaration]])</f>
        <v>2021</v>
      </c>
      <c r="L66" s="4">
        <v>646701.44999999995</v>
      </c>
      <c r="M66" s="15">
        <f>Tableau13[[#This Row],[Année de déclaration]]-Tableau13[[#This Row],[Année de sinistre]]</f>
        <v>0</v>
      </c>
    </row>
    <row r="67" spans="1:13" x14ac:dyDescent="0.3">
      <c r="A67" s="1" t="s">
        <v>80</v>
      </c>
      <c r="B67" s="1" t="s">
        <v>16</v>
      </c>
      <c r="C67" s="1">
        <v>3821</v>
      </c>
      <c r="D67" s="2">
        <v>43669</v>
      </c>
      <c r="E67" s="1">
        <v>2019</v>
      </c>
      <c r="F67" s="2">
        <v>43702</v>
      </c>
      <c r="G67" s="2">
        <v>44796</v>
      </c>
      <c r="H67" s="2">
        <v>44252</v>
      </c>
      <c r="I67" s="1">
        <v>2021</v>
      </c>
      <c r="J67" s="2">
        <v>44266</v>
      </c>
      <c r="K67" s="1">
        <f>YEAR(Tableau13[[#This Row],[Date de déclaration]])</f>
        <v>2021</v>
      </c>
      <c r="L67" s="4">
        <v>351454.08906764165</v>
      </c>
      <c r="M67" s="15">
        <f>Tableau13[[#This Row],[Année de déclaration]]-Tableau13[[#This Row],[Année de sinistre]]</f>
        <v>0</v>
      </c>
    </row>
    <row r="68" spans="1:13" x14ac:dyDescent="0.3">
      <c r="A68" s="1" t="s">
        <v>81</v>
      </c>
      <c r="B68" s="1" t="s">
        <v>13</v>
      </c>
      <c r="C68" s="1">
        <v>5336</v>
      </c>
      <c r="D68" s="2">
        <v>43578</v>
      </c>
      <c r="E68" s="1">
        <v>2019</v>
      </c>
      <c r="F68" s="2">
        <v>43524</v>
      </c>
      <c r="G68" s="2">
        <v>47903</v>
      </c>
      <c r="H68" s="2">
        <v>44184</v>
      </c>
      <c r="I68" s="1">
        <v>2020</v>
      </c>
      <c r="J68" s="2">
        <v>44184</v>
      </c>
      <c r="K68" s="1">
        <f>YEAR(Tableau13[[#This Row],[Date de déclaration]])</f>
        <v>2020</v>
      </c>
      <c r="L68" s="4">
        <v>3024747.42</v>
      </c>
      <c r="M68" s="15">
        <f>Tableau13[[#This Row],[Année de déclaration]]-Tableau13[[#This Row],[Année de sinistre]]</f>
        <v>0</v>
      </c>
    </row>
    <row r="69" spans="1:13" x14ac:dyDescent="0.3">
      <c r="A69" s="1" t="s">
        <v>82</v>
      </c>
      <c r="B69" s="1" t="s">
        <v>16</v>
      </c>
      <c r="C69" s="1">
        <v>4303</v>
      </c>
      <c r="D69" s="2">
        <v>43755</v>
      </c>
      <c r="E69" s="1">
        <v>2019</v>
      </c>
      <c r="F69" s="2">
        <v>43755</v>
      </c>
      <c r="G69" s="2">
        <v>44849</v>
      </c>
      <c r="H69" s="2">
        <v>44033</v>
      </c>
      <c r="I69" s="1">
        <v>2020</v>
      </c>
      <c r="J69" s="2">
        <v>44467</v>
      </c>
      <c r="K69" s="1">
        <f>YEAR(Tableau13[[#This Row],[Date de déclaration]])</f>
        <v>2021</v>
      </c>
      <c r="L69" s="4">
        <v>320731.26142595976</v>
      </c>
      <c r="M69" s="15">
        <f>Tableau13[[#This Row],[Année de déclaration]]-Tableau13[[#This Row],[Année de sinistre]]</f>
        <v>1</v>
      </c>
    </row>
    <row r="70" spans="1:13" x14ac:dyDescent="0.3">
      <c r="A70" s="1" t="s">
        <v>83</v>
      </c>
      <c r="B70" s="1" t="s">
        <v>16</v>
      </c>
      <c r="C70" s="1">
        <v>4053</v>
      </c>
      <c r="D70" s="2">
        <v>43712</v>
      </c>
      <c r="E70" s="1">
        <v>2019</v>
      </c>
      <c r="F70" s="2">
        <v>43712</v>
      </c>
      <c r="G70" s="2">
        <v>44806</v>
      </c>
      <c r="H70" s="2">
        <v>44087</v>
      </c>
      <c r="I70" s="1">
        <v>2020</v>
      </c>
      <c r="J70" s="2">
        <v>44087</v>
      </c>
      <c r="K70" s="1">
        <f>YEAR(Tableau13[[#This Row],[Date de déclaration]])</f>
        <v>2020</v>
      </c>
      <c r="L70" s="4">
        <v>160851.04</v>
      </c>
      <c r="M70" s="15">
        <f>Tableau13[[#This Row],[Année de déclaration]]-Tableau13[[#This Row],[Année de sinistre]]</f>
        <v>0</v>
      </c>
    </row>
    <row r="71" spans="1:13" x14ac:dyDescent="0.3">
      <c r="A71" s="1" t="s">
        <v>84</v>
      </c>
      <c r="B71" s="1" t="s">
        <v>16</v>
      </c>
      <c r="C71" s="1">
        <v>5</v>
      </c>
      <c r="D71" s="2">
        <v>42789</v>
      </c>
      <c r="E71" s="1">
        <v>2017</v>
      </c>
      <c r="F71" s="2">
        <v>42788</v>
      </c>
      <c r="G71" s="2">
        <v>44702</v>
      </c>
      <c r="H71" s="2">
        <v>44215</v>
      </c>
      <c r="I71" s="1">
        <v>2021</v>
      </c>
      <c r="J71" s="2">
        <v>44315</v>
      </c>
      <c r="K71" s="1">
        <f>YEAR(Tableau13[[#This Row],[Date de déclaration]])</f>
        <v>2021</v>
      </c>
      <c r="L71" s="4">
        <v>345063.64</v>
      </c>
      <c r="M71" s="15">
        <f>Tableau13[[#This Row],[Année de déclaration]]-Tableau13[[#This Row],[Année de sinistre]]</f>
        <v>0</v>
      </c>
    </row>
    <row r="72" spans="1:13" x14ac:dyDescent="0.3">
      <c r="A72" s="1" t="s">
        <v>85</v>
      </c>
      <c r="B72" s="1" t="s">
        <v>13</v>
      </c>
      <c r="C72" s="1">
        <v>2263</v>
      </c>
      <c r="D72" s="2">
        <v>43230</v>
      </c>
      <c r="E72" s="1">
        <v>2018</v>
      </c>
      <c r="F72" s="2">
        <v>43231</v>
      </c>
      <c r="G72" s="2">
        <v>46883</v>
      </c>
      <c r="H72" s="2">
        <v>44321</v>
      </c>
      <c r="I72" s="1">
        <v>2021</v>
      </c>
      <c r="J72" s="2">
        <v>44343</v>
      </c>
      <c r="K72" s="1">
        <f>YEAR(Tableau13[[#This Row],[Date de déclaration]])</f>
        <v>2021</v>
      </c>
      <c r="L72" s="4">
        <v>957995.62</v>
      </c>
      <c r="M72" s="15">
        <f>Tableau13[[#This Row],[Année de déclaration]]-Tableau13[[#This Row],[Année de sinistre]]</f>
        <v>0</v>
      </c>
    </row>
    <row r="73" spans="1:13" x14ac:dyDescent="0.3">
      <c r="A73" s="1" t="s">
        <v>86</v>
      </c>
      <c r="B73" s="1" t="s">
        <v>13</v>
      </c>
      <c r="C73" s="1">
        <v>1516</v>
      </c>
      <c r="D73" s="2">
        <v>43108</v>
      </c>
      <c r="E73" s="1">
        <v>2018</v>
      </c>
      <c r="F73" s="2">
        <v>43101</v>
      </c>
      <c r="G73" s="2">
        <v>54057</v>
      </c>
      <c r="H73" s="2">
        <v>44343</v>
      </c>
      <c r="I73" s="1">
        <v>2021</v>
      </c>
      <c r="J73" s="2">
        <v>44349</v>
      </c>
      <c r="K73" s="1">
        <f>YEAR(Tableau13[[#This Row],[Date de déclaration]])</f>
        <v>2021</v>
      </c>
      <c r="L73" s="4">
        <v>9745253.7599999998</v>
      </c>
      <c r="M73" s="15">
        <f>Tableau13[[#This Row],[Année de déclaration]]-Tableau13[[#This Row],[Année de sinistre]]</f>
        <v>0</v>
      </c>
    </row>
    <row r="74" spans="1:13" x14ac:dyDescent="0.3">
      <c r="A74" s="1" t="s">
        <v>87</v>
      </c>
      <c r="B74" s="1" t="s">
        <v>13</v>
      </c>
      <c r="C74" s="1">
        <v>10988</v>
      </c>
      <c r="D74" s="2">
        <v>44189</v>
      </c>
      <c r="E74" s="1">
        <v>2020</v>
      </c>
      <c r="F74" s="2">
        <v>44190</v>
      </c>
      <c r="G74" s="2">
        <v>50398</v>
      </c>
      <c r="H74" s="2">
        <v>44247</v>
      </c>
      <c r="I74" s="1">
        <v>2021</v>
      </c>
      <c r="J74" s="2">
        <v>44348</v>
      </c>
      <c r="K74" s="1">
        <f>YEAR(Tableau13[[#This Row],[Date de déclaration]])</f>
        <v>2021</v>
      </c>
      <c r="L74" s="4">
        <v>2684603.8410099871</v>
      </c>
      <c r="M74" s="15">
        <f>Tableau13[[#This Row],[Année de déclaration]]-Tableau13[[#This Row],[Année de sinistre]]</f>
        <v>0</v>
      </c>
    </row>
    <row r="75" spans="1:13" x14ac:dyDescent="0.3">
      <c r="A75" s="1" t="s">
        <v>88</v>
      </c>
      <c r="B75" s="1" t="s">
        <v>16</v>
      </c>
      <c r="C75" s="1">
        <v>9459</v>
      </c>
      <c r="D75" s="2">
        <v>43856</v>
      </c>
      <c r="E75" s="1">
        <v>2020</v>
      </c>
      <c r="F75" s="2">
        <v>43856</v>
      </c>
      <c r="G75" s="2">
        <v>44950</v>
      </c>
      <c r="H75" s="2">
        <v>44287</v>
      </c>
      <c r="I75" s="1">
        <v>2021</v>
      </c>
      <c r="J75" s="2">
        <v>44354</v>
      </c>
      <c r="K75" s="1">
        <f>YEAR(Tableau13[[#This Row],[Date de déclaration]])</f>
        <v>2021</v>
      </c>
      <c r="L75" s="4">
        <v>104843.69287020111</v>
      </c>
      <c r="M75" s="15">
        <f>Tableau13[[#This Row],[Année de déclaration]]-Tableau13[[#This Row],[Année de sinistre]]</f>
        <v>0</v>
      </c>
    </row>
    <row r="76" spans="1:13" x14ac:dyDescent="0.3">
      <c r="A76" s="1" t="s">
        <v>89</v>
      </c>
      <c r="B76" s="1" t="s">
        <v>13</v>
      </c>
      <c r="C76" s="1">
        <v>4741</v>
      </c>
      <c r="D76" s="2">
        <v>43523</v>
      </c>
      <c r="E76" s="1">
        <v>2019</v>
      </c>
      <c r="F76" s="2">
        <v>43495</v>
      </c>
      <c r="G76" s="2">
        <v>51889</v>
      </c>
      <c r="H76" s="2">
        <v>44214</v>
      </c>
      <c r="I76" s="1">
        <v>2021</v>
      </c>
      <c r="J76" s="2">
        <v>44381</v>
      </c>
      <c r="K76" s="1">
        <f>YEAR(Tableau13[[#This Row],[Date de déclaration]])</f>
        <v>2021</v>
      </c>
      <c r="L76" s="4">
        <v>4720853.7958363118</v>
      </c>
      <c r="M76" s="15">
        <f>Tableau13[[#This Row],[Année de déclaration]]-Tableau13[[#This Row],[Année de sinistre]]</f>
        <v>0</v>
      </c>
    </row>
    <row r="77" spans="1:13" x14ac:dyDescent="0.3">
      <c r="A77" s="1" t="s">
        <v>90</v>
      </c>
      <c r="B77" s="1" t="s">
        <v>16</v>
      </c>
      <c r="C77" s="1">
        <v>3528</v>
      </c>
      <c r="D77" s="2">
        <v>43633</v>
      </c>
      <c r="E77" s="1">
        <v>2019</v>
      </c>
      <c r="F77" s="2">
        <v>43633</v>
      </c>
      <c r="G77" s="2">
        <v>44727</v>
      </c>
      <c r="H77" s="2">
        <v>44340</v>
      </c>
      <c r="I77" s="1">
        <v>2021</v>
      </c>
      <c r="J77" s="2">
        <v>44467</v>
      </c>
      <c r="K77" s="1">
        <f>YEAR(Tableau13[[#This Row],[Date de déclaration]])</f>
        <v>2021</v>
      </c>
      <c r="L77" s="4">
        <v>61905.850091407679</v>
      </c>
      <c r="M77" s="15">
        <f>Tableau13[[#This Row],[Année de déclaration]]-Tableau13[[#This Row],[Année de sinistre]]</f>
        <v>0</v>
      </c>
    </row>
    <row r="78" spans="1:13" x14ac:dyDescent="0.3">
      <c r="A78" s="1" t="s">
        <v>91</v>
      </c>
      <c r="B78" s="1" t="s">
        <v>13</v>
      </c>
      <c r="C78" s="1">
        <v>6692</v>
      </c>
      <c r="D78" s="2">
        <v>43740</v>
      </c>
      <c r="E78" s="1">
        <v>2019</v>
      </c>
      <c r="F78" s="2">
        <v>43616</v>
      </c>
      <c r="G78" s="2">
        <v>50550</v>
      </c>
      <c r="H78" s="2">
        <v>44287</v>
      </c>
      <c r="I78" s="1">
        <v>2021</v>
      </c>
      <c r="J78" s="2">
        <v>44287</v>
      </c>
      <c r="K78" s="1">
        <f>YEAR(Tableau13[[#This Row],[Date de déclaration]])</f>
        <v>2021</v>
      </c>
      <c r="L78" s="4">
        <v>8773033.1861840207</v>
      </c>
      <c r="M78" s="15">
        <f>Tableau13[[#This Row],[Année de déclaration]]-Tableau13[[#This Row],[Année de sinistre]]</f>
        <v>0</v>
      </c>
    </row>
    <row r="79" spans="1:13" x14ac:dyDescent="0.3">
      <c r="A79" s="1" t="s">
        <v>92</v>
      </c>
      <c r="B79" s="1" t="s">
        <v>16</v>
      </c>
      <c r="C79" s="1">
        <v>10770</v>
      </c>
      <c r="D79" s="2">
        <v>44157</v>
      </c>
      <c r="E79" s="1">
        <v>2020</v>
      </c>
      <c r="F79" s="2">
        <v>44161</v>
      </c>
      <c r="G79" s="2">
        <v>45255</v>
      </c>
      <c r="H79" s="2">
        <v>44244</v>
      </c>
      <c r="I79" s="1">
        <v>2021</v>
      </c>
      <c r="J79" s="2">
        <v>44383</v>
      </c>
      <c r="K79" s="1">
        <f>YEAR(Tableau13[[#This Row],[Date de déclaration]])</f>
        <v>2021</v>
      </c>
      <c r="L79" s="4">
        <v>415859.23217550275</v>
      </c>
      <c r="M79" s="15">
        <f>Tableau13[[#This Row],[Année de déclaration]]-Tableau13[[#This Row],[Année de sinistre]]</f>
        <v>0</v>
      </c>
    </row>
    <row r="80" spans="1:13" x14ac:dyDescent="0.3">
      <c r="A80" s="1" t="s">
        <v>93</v>
      </c>
      <c r="B80" s="1" t="s">
        <v>13</v>
      </c>
      <c r="C80" s="1">
        <v>10119</v>
      </c>
      <c r="D80" s="2">
        <v>44126</v>
      </c>
      <c r="E80" s="1">
        <v>2020</v>
      </c>
      <c r="F80" s="2">
        <v>44126</v>
      </c>
      <c r="G80" s="2">
        <v>48873</v>
      </c>
      <c r="H80" s="2">
        <v>44378</v>
      </c>
      <c r="I80" s="1">
        <v>2021</v>
      </c>
      <c r="J80" s="2">
        <v>44378</v>
      </c>
      <c r="K80" s="1">
        <f>YEAR(Tableau13[[#This Row],[Date de déclaration]])</f>
        <v>2021</v>
      </c>
      <c r="L80" s="4">
        <v>754976.39</v>
      </c>
      <c r="M80" s="15">
        <f>Tableau13[[#This Row],[Année de déclaration]]-Tableau13[[#This Row],[Année de sinistre]]</f>
        <v>0</v>
      </c>
    </row>
    <row r="81" spans="1:13" x14ac:dyDescent="0.3">
      <c r="A81" s="1" t="s">
        <v>94</v>
      </c>
      <c r="B81" s="1" t="s">
        <v>16</v>
      </c>
      <c r="C81" s="1">
        <v>2312</v>
      </c>
      <c r="D81" s="2">
        <v>43506</v>
      </c>
      <c r="E81" s="1">
        <v>2019</v>
      </c>
      <c r="F81" s="2">
        <v>43506</v>
      </c>
      <c r="G81" s="2">
        <v>45330</v>
      </c>
      <c r="H81" s="2">
        <v>44383</v>
      </c>
      <c r="I81" s="1">
        <v>2021</v>
      </c>
      <c r="J81" s="2">
        <v>44403</v>
      </c>
      <c r="K81" s="1">
        <f>YEAR(Tableau13[[#This Row],[Date de déclaration]])</f>
        <v>2021</v>
      </c>
      <c r="L81" s="4">
        <v>819482.82</v>
      </c>
      <c r="M81" s="15">
        <f>Tableau13[[#This Row],[Année de déclaration]]-Tableau13[[#This Row],[Année de sinistre]]</f>
        <v>0</v>
      </c>
    </row>
    <row r="82" spans="1:13" x14ac:dyDescent="0.3">
      <c r="A82" s="1" t="s">
        <v>95</v>
      </c>
      <c r="B82" s="1" t="s">
        <v>16</v>
      </c>
      <c r="C82" s="1">
        <v>12775</v>
      </c>
      <c r="D82" s="2">
        <v>44348</v>
      </c>
      <c r="E82" s="1">
        <v>2021</v>
      </c>
      <c r="F82" s="2">
        <v>44348</v>
      </c>
      <c r="G82" s="2">
        <v>44346</v>
      </c>
      <c r="H82" s="2">
        <v>44394</v>
      </c>
      <c r="I82" s="1">
        <v>2021</v>
      </c>
      <c r="J82" s="2">
        <v>44467</v>
      </c>
      <c r="K82" s="1">
        <f>YEAR(Tableau13[[#This Row],[Date de déclaration]])</f>
        <v>2021</v>
      </c>
      <c r="L82" s="4">
        <v>722337.24</v>
      </c>
      <c r="M82" s="15">
        <f>Tableau13[[#This Row],[Année de déclaration]]-Tableau13[[#This Row],[Année de sinistre]]</f>
        <v>0</v>
      </c>
    </row>
    <row r="83" spans="1:13" x14ac:dyDescent="0.3">
      <c r="A83" s="1" t="s">
        <v>96</v>
      </c>
      <c r="B83" s="1" t="s">
        <v>13</v>
      </c>
      <c r="C83" s="1">
        <v>4012</v>
      </c>
      <c r="D83" s="2">
        <v>43453</v>
      </c>
      <c r="E83" s="1">
        <v>2018</v>
      </c>
      <c r="F83" s="2">
        <v>43452</v>
      </c>
      <c r="G83" s="2">
        <v>48926</v>
      </c>
      <c r="H83" s="2">
        <v>44397</v>
      </c>
      <c r="I83" s="1">
        <v>2021</v>
      </c>
      <c r="J83" s="2">
        <v>44437</v>
      </c>
      <c r="K83" s="1">
        <f>YEAR(Tableau13[[#This Row],[Date de déclaration]])</f>
        <v>2021</v>
      </c>
      <c r="L83" s="4">
        <v>5359919.1500000004</v>
      </c>
      <c r="M83" s="15">
        <f>Tableau13[[#This Row],[Année de déclaration]]-Tableau13[[#This Row],[Année de sinistre]]</f>
        <v>0</v>
      </c>
    </row>
    <row r="84" spans="1:13" x14ac:dyDescent="0.3">
      <c r="A84" s="1" t="s">
        <v>97</v>
      </c>
      <c r="B84" s="1" t="s">
        <v>13</v>
      </c>
      <c r="C84" s="1">
        <v>13384</v>
      </c>
      <c r="D84" s="2">
        <v>44340</v>
      </c>
      <c r="E84" s="1">
        <v>2021</v>
      </c>
      <c r="F84" s="2">
        <v>44340</v>
      </c>
      <c r="G84" s="2">
        <v>46895</v>
      </c>
      <c r="H84" s="2">
        <v>44368</v>
      </c>
      <c r="I84" s="1">
        <v>2021</v>
      </c>
      <c r="J84" s="2">
        <v>44468</v>
      </c>
      <c r="K84" s="1">
        <f>YEAR(Tableau13[[#This Row],[Date de déclaration]])</f>
        <v>2021</v>
      </c>
      <c r="L84" s="4">
        <v>754767.35999999999</v>
      </c>
      <c r="M84" s="15">
        <f>Tableau13[[#This Row],[Année de déclaration]]-Tableau13[[#This Row],[Année de sinistre]]</f>
        <v>0</v>
      </c>
    </row>
    <row r="85" spans="1:13" x14ac:dyDescent="0.3">
      <c r="A85" s="1" t="s">
        <v>98</v>
      </c>
      <c r="B85" s="1" t="s">
        <v>16</v>
      </c>
      <c r="C85" s="1">
        <v>1634</v>
      </c>
      <c r="D85" s="2">
        <v>43419</v>
      </c>
      <c r="E85" s="1">
        <v>2018</v>
      </c>
      <c r="F85" s="2">
        <v>43419</v>
      </c>
      <c r="G85" s="2">
        <v>44513</v>
      </c>
      <c r="H85" s="2">
        <v>44373</v>
      </c>
      <c r="I85" s="1">
        <v>2021</v>
      </c>
      <c r="J85" s="2">
        <v>44550</v>
      </c>
      <c r="K85" s="1">
        <f>YEAR(Tableau13[[#This Row],[Date de déclaration]])</f>
        <v>2021</v>
      </c>
      <c r="L85" s="4">
        <v>77107.929999999993</v>
      </c>
      <c r="M85" s="15">
        <f>Tableau13[[#This Row],[Année de déclaration]]-Tableau13[[#This Row],[Année de sinistre]]</f>
        <v>0</v>
      </c>
    </row>
    <row r="86" spans="1:13" x14ac:dyDescent="0.3">
      <c r="A86" s="1" t="s">
        <v>99</v>
      </c>
      <c r="B86" s="1" t="s">
        <v>16</v>
      </c>
      <c r="C86" s="1">
        <v>523</v>
      </c>
      <c r="D86" s="2">
        <v>43178</v>
      </c>
      <c r="E86" s="1">
        <v>2018</v>
      </c>
      <c r="F86" s="2">
        <v>43179</v>
      </c>
      <c r="G86" s="2">
        <v>45004</v>
      </c>
      <c r="H86" s="2">
        <v>44321</v>
      </c>
      <c r="I86" s="1">
        <v>2021</v>
      </c>
      <c r="J86" s="2">
        <v>44549</v>
      </c>
      <c r="K86" s="1">
        <f>YEAR(Tableau13[[#This Row],[Date de déclaration]])</f>
        <v>2021</v>
      </c>
      <c r="L86" s="4">
        <v>415882.32</v>
      </c>
      <c r="M86" s="15">
        <f>Tableau13[[#This Row],[Année de déclaration]]-Tableau13[[#This Row],[Année de sinistre]]</f>
        <v>0</v>
      </c>
    </row>
    <row r="87" spans="1:13" x14ac:dyDescent="0.3">
      <c r="A87" s="1" t="s">
        <v>100</v>
      </c>
      <c r="B87" s="1" t="s">
        <v>16</v>
      </c>
      <c r="C87" s="1">
        <v>203</v>
      </c>
      <c r="D87" s="2">
        <v>43055</v>
      </c>
      <c r="E87" s="1">
        <v>2017</v>
      </c>
      <c r="F87" s="2">
        <v>43056</v>
      </c>
      <c r="G87" s="2">
        <v>44516</v>
      </c>
      <c r="H87" s="2">
        <v>44176</v>
      </c>
      <c r="I87" s="1">
        <v>2020</v>
      </c>
      <c r="J87" s="2">
        <v>44423</v>
      </c>
      <c r="K87" s="1">
        <f>YEAR(Tableau13[[#This Row],[Date de déclaration]])</f>
        <v>2021</v>
      </c>
      <c r="L87" s="4">
        <v>373297.76</v>
      </c>
      <c r="M87" s="15">
        <f>Tableau13[[#This Row],[Année de déclaration]]-Tableau13[[#This Row],[Année de sinistre]]</f>
        <v>1</v>
      </c>
    </row>
    <row r="88" spans="1:13" x14ac:dyDescent="0.3">
      <c r="A88" s="1" t="s">
        <v>101</v>
      </c>
      <c r="B88" s="1" t="s">
        <v>13</v>
      </c>
      <c r="C88" s="1">
        <v>13109</v>
      </c>
      <c r="D88" s="2">
        <v>44322</v>
      </c>
      <c r="E88" s="1">
        <v>2021</v>
      </c>
      <c r="F88" s="2">
        <v>44336</v>
      </c>
      <c r="G88" s="2">
        <v>49083</v>
      </c>
      <c r="H88" s="2">
        <v>44425</v>
      </c>
      <c r="I88" s="1">
        <v>2021</v>
      </c>
      <c r="J88" s="2">
        <v>44425</v>
      </c>
      <c r="K88" s="1">
        <f>YEAR(Tableau13[[#This Row],[Date de déclaration]])</f>
        <v>2021</v>
      </c>
      <c r="L88" s="4">
        <v>7106374.9000000004</v>
      </c>
      <c r="M88" s="15">
        <f>Tableau13[[#This Row],[Année de déclaration]]-Tableau13[[#This Row],[Année de sinistre]]</f>
        <v>0</v>
      </c>
    </row>
    <row r="89" spans="1:13" x14ac:dyDescent="0.3">
      <c r="A89" s="1" t="s">
        <v>102</v>
      </c>
      <c r="B89" s="1" t="s">
        <v>13</v>
      </c>
      <c r="C89" s="1">
        <v>5476</v>
      </c>
      <c r="D89" s="2">
        <v>43593</v>
      </c>
      <c r="E89" s="1">
        <v>2019</v>
      </c>
      <c r="F89" s="2">
        <v>43594</v>
      </c>
      <c r="G89" s="2">
        <v>51623</v>
      </c>
      <c r="H89" s="2">
        <v>44366</v>
      </c>
      <c r="I89" s="1">
        <v>2021</v>
      </c>
      <c r="J89" s="2">
        <v>44458</v>
      </c>
      <c r="K89" s="1">
        <f>YEAR(Tableau13[[#This Row],[Date de déclaration]])</f>
        <v>2021</v>
      </c>
      <c r="L89" s="4">
        <v>6993716.5599999996</v>
      </c>
      <c r="M89" s="15">
        <f>Tableau13[[#This Row],[Année de déclaration]]-Tableau13[[#This Row],[Année de sinistre]]</f>
        <v>0</v>
      </c>
    </row>
    <row r="90" spans="1:13" x14ac:dyDescent="0.3">
      <c r="A90" s="1" t="s">
        <v>103</v>
      </c>
      <c r="B90" s="1" t="s">
        <v>16</v>
      </c>
      <c r="C90" s="1">
        <v>9772</v>
      </c>
      <c r="D90" s="2">
        <v>43916</v>
      </c>
      <c r="E90" s="1">
        <v>2020</v>
      </c>
      <c r="F90" s="2">
        <v>43923</v>
      </c>
      <c r="G90" s="2">
        <v>45017</v>
      </c>
      <c r="H90" s="2">
        <v>44360</v>
      </c>
      <c r="I90" s="1">
        <v>2021</v>
      </c>
      <c r="J90" s="2">
        <v>44481</v>
      </c>
      <c r="K90" s="1">
        <f>YEAR(Tableau13[[#This Row],[Date de déclaration]])</f>
        <v>2021</v>
      </c>
      <c r="L90" s="4">
        <v>251995.19</v>
      </c>
      <c r="M90" s="15">
        <f>Tableau13[[#This Row],[Année de déclaration]]-Tableau13[[#This Row],[Année de sinistre]]</f>
        <v>0</v>
      </c>
    </row>
    <row r="91" spans="1:13" x14ac:dyDescent="0.3">
      <c r="A91" s="1" t="s">
        <v>104</v>
      </c>
      <c r="B91" s="1" t="s">
        <v>13</v>
      </c>
      <c r="C91" s="1">
        <v>5476</v>
      </c>
      <c r="D91" s="2">
        <v>44193</v>
      </c>
      <c r="E91" s="1">
        <v>2020</v>
      </c>
      <c r="F91" s="2">
        <v>44561</v>
      </c>
      <c r="G91" s="2">
        <v>58804</v>
      </c>
      <c r="H91" s="2">
        <v>44433</v>
      </c>
      <c r="I91" s="1">
        <v>2021</v>
      </c>
      <c r="J91" s="2">
        <v>44433</v>
      </c>
      <c r="K91" s="1">
        <f>YEAR(Tableau13[[#This Row],[Date de déclaration]])</f>
        <v>2021</v>
      </c>
      <c r="L91" s="4">
        <v>5321217.45</v>
      </c>
      <c r="M91" s="15">
        <f>Tableau13[[#This Row],[Année de déclaration]]-Tableau13[[#This Row],[Année de sinistre]]</f>
        <v>0</v>
      </c>
    </row>
    <row r="92" spans="1:13" x14ac:dyDescent="0.3">
      <c r="A92" s="1" t="s">
        <v>105</v>
      </c>
      <c r="B92" s="1" t="s">
        <v>13</v>
      </c>
      <c r="C92" s="1">
        <v>8992</v>
      </c>
      <c r="D92" s="2">
        <v>44011</v>
      </c>
      <c r="E92" s="1">
        <v>2020</v>
      </c>
      <c r="F92" s="2">
        <v>44012</v>
      </c>
      <c r="G92" s="2">
        <v>51681</v>
      </c>
      <c r="H92" s="2">
        <v>44429</v>
      </c>
      <c r="I92" s="1">
        <v>2021</v>
      </c>
      <c r="J92" s="2">
        <v>44459</v>
      </c>
      <c r="K92" s="1">
        <f>YEAR(Tableau13[[#This Row],[Date de déclaration]])</f>
        <v>2021</v>
      </c>
      <c r="L92" s="4">
        <v>3274920</v>
      </c>
      <c r="M92" s="15">
        <f>Tableau13[[#This Row],[Année de déclaration]]-Tableau13[[#This Row],[Année de sinistre]]</f>
        <v>0</v>
      </c>
    </row>
    <row r="93" spans="1:13" x14ac:dyDescent="0.3">
      <c r="A93" s="1" t="s">
        <v>106</v>
      </c>
      <c r="B93" s="1" t="s">
        <v>13</v>
      </c>
      <c r="C93" s="1">
        <v>12893</v>
      </c>
      <c r="D93" s="2">
        <v>44311</v>
      </c>
      <c r="E93" s="1">
        <v>2021</v>
      </c>
      <c r="F93" s="2">
        <v>44316</v>
      </c>
      <c r="G93" s="2">
        <v>58915</v>
      </c>
      <c r="H93" s="2">
        <v>44418</v>
      </c>
      <c r="I93" s="1">
        <v>2021</v>
      </c>
      <c r="J93" s="2">
        <v>44418</v>
      </c>
      <c r="K93" s="1">
        <f>YEAR(Tableau13[[#This Row],[Date de déclaration]])</f>
        <v>2021</v>
      </c>
      <c r="L93" s="4">
        <v>4647600</v>
      </c>
      <c r="M93" s="15">
        <f>Tableau13[[#This Row],[Année de déclaration]]-Tableau13[[#This Row],[Année de sinistre]]</f>
        <v>0</v>
      </c>
    </row>
    <row r="94" spans="1:13" x14ac:dyDescent="0.3">
      <c r="A94" s="1" t="s">
        <v>107</v>
      </c>
      <c r="B94" s="1" t="s">
        <v>13</v>
      </c>
      <c r="C94" s="1">
        <v>5481</v>
      </c>
      <c r="D94" s="2">
        <v>43593</v>
      </c>
      <c r="E94" s="1">
        <v>2019</v>
      </c>
      <c r="F94" s="2">
        <v>43594</v>
      </c>
      <c r="G94" s="2">
        <v>47608</v>
      </c>
      <c r="H94" s="2">
        <v>44436</v>
      </c>
      <c r="I94" s="1">
        <v>2021</v>
      </c>
      <c r="J94" s="2">
        <v>44461</v>
      </c>
      <c r="K94" s="1">
        <f>YEAR(Tableau13[[#This Row],[Date de déclaration]])</f>
        <v>2021</v>
      </c>
      <c r="L94" s="4">
        <v>1358189.45</v>
      </c>
      <c r="M94" s="15">
        <f>Tableau13[[#This Row],[Année de déclaration]]-Tableau13[[#This Row],[Année de sinistre]]</f>
        <v>0</v>
      </c>
    </row>
    <row r="95" spans="1:13" x14ac:dyDescent="0.3">
      <c r="A95" s="1" t="s">
        <v>108</v>
      </c>
      <c r="B95" s="1" t="s">
        <v>13</v>
      </c>
      <c r="C95" s="1">
        <v>3966</v>
      </c>
      <c r="D95" s="2">
        <v>43451</v>
      </c>
      <c r="E95" s="1">
        <v>2018</v>
      </c>
      <c r="F95" s="2">
        <v>44227</v>
      </c>
      <c r="G95" s="2">
        <v>52986</v>
      </c>
      <c r="H95" s="2">
        <v>44416</v>
      </c>
      <c r="I95" s="1">
        <v>2021</v>
      </c>
      <c r="J95" s="2">
        <v>44514</v>
      </c>
      <c r="K95" s="1">
        <f>YEAR(Tableau13[[#This Row],[Date de déclaration]])</f>
        <v>2021</v>
      </c>
      <c r="L95" s="4">
        <v>2250000</v>
      </c>
      <c r="M95" s="15">
        <f>Tableau13[[#This Row],[Année de déclaration]]-Tableau13[[#This Row],[Année de sinistre]]</f>
        <v>0</v>
      </c>
    </row>
    <row r="96" spans="1:13" x14ac:dyDescent="0.3">
      <c r="A96" s="1" t="s">
        <v>109</v>
      </c>
      <c r="B96" s="1" t="s">
        <v>13</v>
      </c>
      <c r="C96" s="1">
        <v>2386</v>
      </c>
      <c r="D96" s="2">
        <v>43248</v>
      </c>
      <c r="E96" s="1">
        <v>2018</v>
      </c>
      <c r="F96" s="2">
        <v>43249</v>
      </c>
      <c r="G96" s="2">
        <v>47996</v>
      </c>
      <c r="H96" s="2">
        <v>44458</v>
      </c>
      <c r="I96" s="1">
        <v>2021</v>
      </c>
      <c r="J96" s="2">
        <v>44458</v>
      </c>
      <c r="K96" s="1">
        <f>YEAR(Tableau13[[#This Row],[Date de déclaration]])</f>
        <v>2021</v>
      </c>
      <c r="L96" s="4">
        <v>509843</v>
      </c>
      <c r="M96" s="15">
        <f>Tableau13[[#This Row],[Année de déclaration]]-Tableau13[[#This Row],[Année de sinistre]]</f>
        <v>0</v>
      </c>
    </row>
    <row r="97" spans="1:13" x14ac:dyDescent="0.3">
      <c r="A97" s="1" t="s">
        <v>110</v>
      </c>
      <c r="B97" s="1" t="s">
        <v>16</v>
      </c>
      <c r="C97" s="1">
        <v>3907</v>
      </c>
      <c r="D97" s="2">
        <v>43682</v>
      </c>
      <c r="E97" s="1">
        <v>2019</v>
      </c>
      <c r="F97" s="2">
        <v>43678</v>
      </c>
      <c r="G97" s="2">
        <v>45502</v>
      </c>
      <c r="H97" s="2">
        <v>44386</v>
      </c>
      <c r="I97" s="1">
        <v>2021</v>
      </c>
      <c r="J97" s="2">
        <v>44480</v>
      </c>
      <c r="K97" s="1">
        <f>YEAR(Tableau13[[#This Row],[Date de déclaration]])</f>
        <v>2021</v>
      </c>
      <c r="L97" s="4">
        <v>985778.81</v>
      </c>
      <c r="M97" s="15">
        <f>Tableau13[[#This Row],[Année de déclaration]]-Tableau13[[#This Row],[Année de sinistre]]</f>
        <v>0</v>
      </c>
    </row>
    <row r="98" spans="1:13" x14ac:dyDescent="0.3">
      <c r="A98" s="1" t="s">
        <v>111</v>
      </c>
      <c r="B98" s="1" t="s">
        <v>13</v>
      </c>
      <c r="C98" s="1">
        <v>14324</v>
      </c>
      <c r="D98" s="2">
        <v>44412</v>
      </c>
      <c r="E98" s="1">
        <v>2021</v>
      </c>
      <c r="F98" s="2">
        <v>44412</v>
      </c>
      <c r="G98" s="2">
        <v>59021</v>
      </c>
      <c r="H98" s="2">
        <v>44447</v>
      </c>
      <c r="I98" s="1">
        <v>2021</v>
      </c>
      <c r="J98" s="2">
        <v>44482</v>
      </c>
      <c r="K98" s="1">
        <f>YEAR(Tableau13[[#This Row],[Date de déclaration]])</f>
        <v>2021</v>
      </c>
      <c r="L98" s="4">
        <v>4111030</v>
      </c>
      <c r="M98" s="15">
        <f>Tableau13[[#This Row],[Année de déclaration]]-Tableau13[[#This Row],[Année de sinistre]]</f>
        <v>0</v>
      </c>
    </row>
    <row r="99" spans="1:13" x14ac:dyDescent="0.3">
      <c r="A99" s="1" t="s">
        <v>112</v>
      </c>
      <c r="B99" s="1" t="s">
        <v>13</v>
      </c>
      <c r="C99" s="1">
        <v>957</v>
      </c>
      <c r="D99" s="2">
        <v>43031</v>
      </c>
      <c r="E99" s="1">
        <v>2017</v>
      </c>
      <c r="F99" s="2">
        <v>43032</v>
      </c>
      <c r="G99" s="2">
        <v>52162</v>
      </c>
      <c r="H99" s="2">
        <v>44417</v>
      </c>
      <c r="I99" s="1">
        <v>2021</v>
      </c>
      <c r="J99" s="2">
        <v>44417</v>
      </c>
      <c r="K99" s="1">
        <f>YEAR(Tableau13[[#This Row],[Date de déclaration]])</f>
        <v>2021</v>
      </c>
      <c r="L99" s="4">
        <v>4640109.18</v>
      </c>
      <c r="M99" s="15">
        <f>Tableau13[[#This Row],[Année de déclaration]]-Tableau13[[#This Row],[Année de sinistre]]</f>
        <v>0</v>
      </c>
    </row>
    <row r="100" spans="1:13" x14ac:dyDescent="0.3">
      <c r="A100" s="1" t="s">
        <v>113</v>
      </c>
      <c r="B100" s="1" t="s">
        <v>13</v>
      </c>
      <c r="C100" s="1">
        <v>11833</v>
      </c>
      <c r="D100" s="2">
        <v>44250</v>
      </c>
      <c r="E100" s="1">
        <v>2021</v>
      </c>
      <c r="F100" s="2">
        <v>44286</v>
      </c>
      <c r="G100" s="2">
        <v>51589</v>
      </c>
      <c r="H100" s="2">
        <v>44396</v>
      </c>
      <c r="I100" s="1">
        <v>2021</v>
      </c>
      <c r="J100" s="2">
        <v>44486</v>
      </c>
      <c r="K100" s="1">
        <f>YEAR(Tableau13[[#This Row],[Date de déclaration]])</f>
        <v>2021</v>
      </c>
      <c r="L100" s="4">
        <v>2060000</v>
      </c>
      <c r="M100" s="15">
        <f>Tableau13[[#This Row],[Année de déclaration]]-Tableau13[[#This Row],[Année de sinistre]]</f>
        <v>0</v>
      </c>
    </row>
    <row r="101" spans="1:13" x14ac:dyDescent="0.3">
      <c r="A101" s="1" t="s">
        <v>114</v>
      </c>
      <c r="B101" s="1" t="s">
        <v>16</v>
      </c>
      <c r="C101" s="1">
        <v>4225</v>
      </c>
      <c r="D101" s="2">
        <v>43746</v>
      </c>
      <c r="E101" s="1">
        <v>2019</v>
      </c>
      <c r="F101" s="2">
        <v>43746</v>
      </c>
      <c r="G101" s="2">
        <v>45570</v>
      </c>
      <c r="H101" s="2">
        <v>44410</v>
      </c>
      <c r="I101" s="1">
        <v>2021</v>
      </c>
      <c r="J101" s="2">
        <v>44483</v>
      </c>
      <c r="K101" s="1">
        <f>YEAR(Tableau13[[#This Row],[Date de déclaration]])</f>
        <v>2021</v>
      </c>
      <c r="L101" s="4">
        <v>827516.54</v>
      </c>
      <c r="M101" s="15">
        <f>Tableau13[[#This Row],[Année de déclaration]]-Tableau13[[#This Row],[Année de sinistre]]</f>
        <v>0</v>
      </c>
    </row>
    <row r="102" spans="1:13" x14ac:dyDescent="0.3">
      <c r="A102" s="1" t="s">
        <v>115</v>
      </c>
      <c r="B102" s="1" t="s">
        <v>13</v>
      </c>
      <c r="C102" s="1">
        <v>3927</v>
      </c>
      <c r="D102" s="2">
        <v>43446</v>
      </c>
      <c r="E102" s="1">
        <v>2018</v>
      </c>
      <c r="F102" s="2">
        <v>43440</v>
      </c>
      <c r="G102" s="2">
        <v>47819</v>
      </c>
      <c r="H102" s="2">
        <v>44373</v>
      </c>
      <c r="I102" s="1">
        <v>2021</v>
      </c>
      <c r="J102" s="2">
        <v>44495</v>
      </c>
      <c r="K102" s="1">
        <f>YEAR(Tableau13[[#This Row],[Date de déclaration]])</f>
        <v>2021</v>
      </c>
      <c r="L102" s="4">
        <v>4064050.85</v>
      </c>
      <c r="M102" s="15">
        <f>Tableau13[[#This Row],[Année de déclaration]]-Tableau13[[#This Row],[Année de sinistre]]</f>
        <v>0</v>
      </c>
    </row>
    <row r="103" spans="1:13" x14ac:dyDescent="0.3">
      <c r="A103" s="1" t="s">
        <v>116</v>
      </c>
      <c r="B103" s="1" t="s">
        <v>16</v>
      </c>
      <c r="C103" s="1">
        <v>3958</v>
      </c>
      <c r="D103" s="2">
        <v>43690</v>
      </c>
      <c r="E103" s="1">
        <v>2019</v>
      </c>
      <c r="F103" s="2">
        <v>43690</v>
      </c>
      <c r="G103" s="2">
        <v>44784</v>
      </c>
      <c r="H103" s="2">
        <v>44460</v>
      </c>
      <c r="I103" s="1">
        <v>2021</v>
      </c>
      <c r="J103" s="2">
        <v>44511</v>
      </c>
      <c r="K103" s="1">
        <f>YEAR(Tableau13[[#This Row],[Date de déclaration]])</f>
        <v>2021</v>
      </c>
      <c r="L103" s="4">
        <v>139987.79999999999</v>
      </c>
      <c r="M103" s="15">
        <f>Tableau13[[#This Row],[Année de déclaration]]-Tableau13[[#This Row],[Année de sinistre]]</f>
        <v>0</v>
      </c>
    </row>
    <row r="104" spans="1:13" x14ac:dyDescent="0.3">
      <c r="A104" s="1" t="s">
        <v>117</v>
      </c>
      <c r="B104" s="1" t="s">
        <v>13</v>
      </c>
      <c r="C104" s="1">
        <v>4061</v>
      </c>
      <c r="D104" s="2">
        <v>43459</v>
      </c>
      <c r="E104" s="1">
        <v>2018</v>
      </c>
      <c r="F104" s="2">
        <v>43404</v>
      </c>
      <c r="G104" s="2">
        <v>58003</v>
      </c>
      <c r="H104" s="2">
        <v>44438</v>
      </c>
      <c r="I104" s="1">
        <v>2021</v>
      </c>
      <c r="J104" s="2">
        <v>44438</v>
      </c>
      <c r="K104" s="1">
        <f>YEAR(Tableau13[[#This Row],[Date de déclaration]])</f>
        <v>2021</v>
      </c>
      <c r="L104" s="4">
        <v>1436665.66</v>
      </c>
      <c r="M104" s="15">
        <f>Tableau13[[#This Row],[Année de déclaration]]-Tableau13[[#This Row],[Année de sinistre]]</f>
        <v>0</v>
      </c>
    </row>
    <row r="105" spans="1:13" x14ac:dyDescent="0.3">
      <c r="A105" s="1" t="s">
        <v>118</v>
      </c>
      <c r="B105" s="1" t="s">
        <v>13</v>
      </c>
      <c r="C105" s="1">
        <v>12396</v>
      </c>
      <c r="D105" s="2">
        <v>44279</v>
      </c>
      <c r="E105" s="1">
        <v>2021</v>
      </c>
      <c r="F105" s="2">
        <v>44279</v>
      </c>
      <c r="G105" s="2">
        <v>47930</v>
      </c>
      <c r="H105" s="2">
        <v>44484</v>
      </c>
      <c r="I105" s="1">
        <v>2021</v>
      </c>
      <c r="J105" s="2">
        <v>44484</v>
      </c>
      <c r="K105" s="1">
        <f>YEAR(Tableau13[[#This Row],[Date de déclaration]])</f>
        <v>2021</v>
      </c>
      <c r="L105" s="4">
        <v>1178165.49</v>
      </c>
      <c r="M105" s="15">
        <f>Tableau13[[#This Row],[Année de déclaration]]-Tableau13[[#This Row],[Année de sinistre]]</f>
        <v>0</v>
      </c>
    </row>
    <row r="106" spans="1:13" x14ac:dyDescent="0.3">
      <c r="A106" s="1" t="s">
        <v>119</v>
      </c>
      <c r="B106" s="1" t="s">
        <v>16</v>
      </c>
      <c r="C106" s="1">
        <v>3541</v>
      </c>
      <c r="D106" s="2">
        <v>43634</v>
      </c>
      <c r="E106" s="1">
        <v>2019</v>
      </c>
      <c r="F106" s="2">
        <v>43636</v>
      </c>
      <c r="G106" s="2">
        <v>45460</v>
      </c>
      <c r="H106" s="2">
        <v>44492</v>
      </c>
      <c r="I106" s="1">
        <v>2021</v>
      </c>
      <c r="J106" s="2">
        <v>44515</v>
      </c>
      <c r="K106" s="1">
        <f>YEAR(Tableau13[[#This Row],[Date de déclaration]])</f>
        <v>2021</v>
      </c>
      <c r="L106" s="4">
        <v>683963.59</v>
      </c>
      <c r="M106" s="15">
        <f>Tableau13[[#This Row],[Année de déclaration]]-Tableau13[[#This Row],[Année de sinistre]]</f>
        <v>0</v>
      </c>
    </row>
    <row r="107" spans="1:13" x14ac:dyDescent="0.3">
      <c r="A107" s="1" t="s">
        <v>120</v>
      </c>
      <c r="B107" s="1" t="s">
        <v>13</v>
      </c>
      <c r="C107" s="1">
        <v>8766</v>
      </c>
      <c r="D107" s="2">
        <v>43991</v>
      </c>
      <c r="E107" s="1">
        <v>2020</v>
      </c>
      <c r="F107" s="2">
        <v>43991</v>
      </c>
      <c r="G107" s="2">
        <v>50929</v>
      </c>
      <c r="H107" s="2">
        <v>44443</v>
      </c>
      <c r="I107" s="1">
        <v>2021</v>
      </c>
      <c r="J107" s="2">
        <v>44521</v>
      </c>
      <c r="K107" s="1">
        <f>YEAR(Tableau13[[#This Row],[Date de déclaration]])</f>
        <v>2021</v>
      </c>
      <c r="L107" s="4">
        <v>3654683.33</v>
      </c>
      <c r="M107" s="15">
        <f>Tableau13[[#This Row],[Année de déclaration]]-Tableau13[[#This Row],[Année de sinistre]]</f>
        <v>0</v>
      </c>
    </row>
    <row r="108" spans="1:13" x14ac:dyDescent="0.3">
      <c r="A108" s="1" t="s">
        <v>121</v>
      </c>
      <c r="B108" s="1" t="s">
        <v>16</v>
      </c>
      <c r="C108" s="1">
        <v>9515</v>
      </c>
      <c r="D108" s="2">
        <v>43865</v>
      </c>
      <c r="E108" s="1">
        <v>2020</v>
      </c>
      <c r="F108" s="2">
        <v>43860</v>
      </c>
      <c r="G108" s="2">
        <v>44954</v>
      </c>
      <c r="H108" s="2">
        <v>44243</v>
      </c>
      <c r="I108" s="1">
        <v>2021</v>
      </c>
      <c r="J108" s="2">
        <v>44571</v>
      </c>
      <c r="K108" s="1">
        <f>YEAR(Tableau13[[#This Row],[Date de déclaration]])</f>
        <v>2022</v>
      </c>
      <c r="L108" s="4">
        <v>398604.35</v>
      </c>
      <c r="M108" s="15">
        <f>Tableau13[[#This Row],[Année de déclaration]]-Tableau13[[#This Row],[Année de sinistre]]</f>
        <v>1</v>
      </c>
    </row>
    <row r="109" spans="1:13" x14ac:dyDescent="0.3">
      <c r="A109" s="1" t="s">
        <v>122</v>
      </c>
      <c r="B109" s="1" t="s">
        <v>13</v>
      </c>
      <c r="C109" s="1">
        <v>13587</v>
      </c>
      <c r="D109" s="2">
        <v>44355</v>
      </c>
      <c r="E109" s="1">
        <v>2021</v>
      </c>
      <c r="F109" s="2">
        <v>44357</v>
      </c>
      <c r="G109" s="2">
        <v>45816</v>
      </c>
      <c r="H109" s="2">
        <v>44424</v>
      </c>
      <c r="I109" s="1">
        <v>2021</v>
      </c>
      <c r="J109" s="2">
        <v>44532</v>
      </c>
      <c r="K109" s="1">
        <f>YEAR(Tableau13[[#This Row],[Date de déclaration]])</f>
        <v>2021</v>
      </c>
      <c r="L109" s="4">
        <v>412889</v>
      </c>
      <c r="M109" s="15">
        <f>Tableau13[[#This Row],[Année de déclaration]]-Tableau13[[#This Row],[Année de sinistre]]</f>
        <v>0</v>
      </c>
    </row>
    <row r="110" spans="1:13" x14ac:dyDescent="0.3">
      <c r="A110" s="1" t="s">
        <v>122</v>
      </c>
      <c r="B110" s="1" t="s">
        <v>16</v>
      </c>
      <c r="C110" s="1">
        <v>759</v>
      </c>
      <c r="D110" s="2">
        <v>43619</v>
      </c>
      <c r="E110" s="1">
        <v>2019</v>
      </c>
      <c r="F110" s="2">
        <v>43238</v>
      </c>
      <c r="G110" s="2">
        <v>45063</v>
      </c>
      <c r="H110" s="2">
        <v>44468</v>
      </c>
      <c r="I110" s="1">
        <v>2021</v>
      </c>
      <c r="J110" s="2">
        <v>44651</v>
      </c>
      <c r="K110" s="1">
        <f>YEAR(Tableau13[[#This Row],[Date de déclaration]])</f>
        <v>2022</v>
      </c>
      <c r="L110" s="4">
        <v>510395.89041095891</v>
      </c>
      <c r="M110" s="15">
        <f>Tableau13[[#This Row],[Année de déclaration]]-Tableau13[[#This Row],[Année de sinistre]]</f>
        <v>1</v>
      </c>
    </row>
    <row r="111" spans="1:13" x14ac:dyDescent="0.3">
      <c r="A111" s="1" t="s">
        <v>123</v>
      </c>
      <c r="B111" s="1" t="s">
        <v>13</v>
      </c>
      <c r="C111" s="1">
        <v>2377</v>
      </c>
      <c r="D111" s="2">
        <v>43247</v>
      </c>
      <c r="E111" s="1">
        <v>2018</v>
      </c>
      <c r="F111" s="2">
        <v>43248</v>
      </c>
      <c r="G111" s="2">
        <v>47265</v>
      </c>
      <c r="H111" s="2">
        <v>43321</v>
      </c>
      <c r="I111" s="1">
        <v>2018</v>
      </c>
      <c r="J111" s="2">
        <v>44537</v>
      </c>
      <c r="K111" s="1">
        <f>YEAR(Tableau13[[#This Row],[Date de déclaration]])</f>
        <v>2021</v>
      </c>
      <c r="L111" s="4">
        <v>964906.42369927815</v>
      </c>
      <c r="M111" s="15">
        <f>Tableau13[[#This Row],[Année de déclaration]]-Tableau13[[#This Row],[Année de sinistre]]</f>
        <v>3</v>
      </c>
    </row>
    <row r="112" spans="1:13" x14ac:dyDescent="0.3">
      <c r="A112" s="1" t="s">
        <v>124</v>
      </c>
      <c r="B112" s="1" t="s">
        <v>13</v>
      </c>
      <c r="C112" s="1">
        <v>12574</v>
      </c>
      <c r="D112" s="2">
        <v>44290</v>
      </c>
      <c r="E112" s="1">
        <v>2021</v>
      </c>
      <c r="F112" s="2">
        <v>44306</v>
      </c>
      <c r="G112" s="2">
        <v>58914</v>
      </c>
      <c r="H112" s="2">
        <v>44530</v>
      </c>
      <c r="I112" s="1">
        <v>2021</v>
      </c>
      <c r="J112" s="2">
        <v>44549</v>
      </c>
      <c r="K112" s="1">
        <f>YEAR(Tableau13[[#This Row],[Date de déclaration]])</f>
        <v>2021</v>
      </c>
      <c r="L112" s="4">
        <v>7200000</v>
      </c>
      <c r="M112" s="15">
        <f>Tableau13[[#This Row],[Année de déclaration]]-Tableau13[[#This Row],[Année de sinistre]]</f>
        <v>0</v>
      </c>
    </row>
    <row r="113" spans="1:13" x14ac:dyDescent="0.3">
      <c r="A113" s="1" t="s">
        <v>125</v>
      </c>
      <c r="B113" s="1" t="s">
        <v>13</v>
      </c>
      <c r="C113" s="1">
        <v>7218</v>
      </c>
      <c r="D113" s="2">
        <v>43795</v>
      </c>
      <c r="E113" s="1">
        <v>2019</v>
      </c>
      <c r="F113" s="2">
        <v>43790</v>
      </c>
      <c r="G113" s="2">
        <v>58398</v>
      </c>
      <c r="H113" s="2">
        <v>44499</v>
      </c>
      <c r="I113" s="1">
        <v>2021</v>
      </c>
      <c r="J113" s="2">
        <v>44499</v>
      </c>
      <c r="K113" s="1">
        <f>YEAR(Tableau13[[#This Row],[Date de déclaration]])</f>
        <v>2021</v>
      </c>
      <c r="L113" s="4">
        <v>6340020.9500000002</v>
      </c>
      <c r="M113" s="15">
        <f>Tableau13[[#This Row],[Année de déclaration]]-Tableau13[[#This Row],[Année de sinistre]]</f>
        <v>0</v>
      </c>
    </row>
    <row r="114" spans="1:13" x14ac:dyDescent="0.3">
      <c r="A114" s="1" t="s">
        <v>126</v>
      </c>
      <c r="B114" s="1" t="s">
        <v>16</v>
      </c>
      <c r="C114" s="1">
        <v>2411</v>
      </c>
      <c r="D114" s="2">
        <v>43520</v>
      </c>
      <c r="E114" s="1">
        <v>2019</v>
      </c>
      <c r="F114" s="2">
        <v>43471</v>
      </c>
      <c r="G114" s="2">
        <v>45295</v>
      </c>
      <c r="H114" s="2">
        <v>44414</v>
      </c>
      <c r="I114" s="1">
        <v>2021</v>
      </c>
      <c r="J114" s="2">
        <v>44549</v>
      </c>
      <c r="K114" s="1">
        <f>YEAR(Tableau13[[#This Row],[Date de déclaration]])</f>
        <v>2021</v>
      </c>
      <c r="L114" s="4">
        <v>564965.94999999995</v>
      </c>
      <c r="M114" s="15">
        <f>Tableau13[[#This Row],[Année de déclaration]]-Tableau13[[#This Row],[Année de sinistre]]</f>
        <v>0</v>
      </c>
    </row>
    <row r="115" spans="1:13" x14ac:dyDescent="0.3">
      <c r="A115" s="1" t="s">
        <v>127</v>
      </c>
      <c r="B115" s="1" t="s">
        <v>16</v>
      </c>
      <c r="C115" s="1">
        <v>9585</v>
      </c>
      <c r="D115" s="2">
        <v>43880</v>
      </c>
      <c r="E115" s="1">
        <v>2020</v>
      </c>
      <c r="F115" s="2">
        <v>43878</v>
      </c>
      <c r="G115" s="2">
        <v>45702</v>
      </c>
      <c r="H115" s="2">
        <v>44407</v>
      </c>
      <c r="I115" s="1">
        <v>2021</v>
      </c>
      <c r="J115" s="2">
        <v>44407</v>
      </c>
      <c r="K115" s="1">
        <f>YEAR(Tableau13[[#This Row],[Date de déclaration]])</f>
        <v>2021</v>
      </c>
      <c r="L115" s="4">
        <v>1015268.6403508772</v>
      </c>
      <c r="M115" s="15">
        <f>Tableau13[[#This Row],[Année de déclaration]]-Tableau13[[#This Row],[Année de sinistre]]</f>
        <v>0</v>
      </c>
    </row>
    <row r="116" spans="1:13" x14ac:dyDescent="0.3">
      <c r="A116" s="1" t="s">
        <v>128</v>
      </c>
      <c r="B116" s="1" t="s">
        <v>16</v>
      </c>
      <c r="C116" s="1">
        <v>11944</v>
      </c>
      <c r="D116" s="2">
        <v>44276</v>
      </c>
      <c r="E116" s="1">
        <v>2021</v>
      </c>
      <c r="F116" s="2">
        <v>44316</v>
      </c>
      <c r="G116" s="2">
        <v>45410</v>
      </c>
      <c r="H116" s="2">
        <v>44373</v>
      </c>
      <c r="I116" s="1">
        <v>2021</v>
      </c>
      <c r="J116" s="2">
        <v>44651</v>
      </c>
      <c r="K116" s="1">
        <f>YEAR(Tableau13[[#This Row],[Date de déclaration]])</f>
        <v>2022</v>
      </c>
      <c r="L116" s="4">
        <v>475916.68</v>
      </c>
      <c r="M116" s="15">
        <f>Tableau13[[#This Row],[Année de déclaration]]-Tableau13[[#This Row],[Année de sinistre]]</f>
        <v>1</v>
      </c>
    </row>
    <row r="117" spans="1:13" x14ac:dyDescent="0.3">
      <c r="A117" s="1" t="s">
        <v>129</v>
      </c>
      <c r="B117" s="1" t="s">
        <v>16</v>
      </c>
      <c r="C117" s="1">
        <v>1172</v>
      </c>
      <c r="D117" s="2">
        <v>43318</v>
      </c>
      <c r="E117" s="1">
        <v>2018</v>
      </c>
      <c r="F117" s="2">
        <v>43344</v>
      </c>
      <c r="G117" s="2">
        <v>45169</v>
      </c>
      <c r="H117" s="2">
        <v>44548</v>
      </c>
      <c r="I117" s="1">
        <v>2021</v>
      </c>
      <c r="J117" s="2">
        <v>44548</v>
      </c>
      <c r="K117" s="1">
        <f>YEAR(Tableau13[[#This Row],[Date de déclaration]])</f>
        <v>2021</v>
      </c>
      <c r="L117" s="4">
        <v>433911.09</v>
      </c>
      <c r="M117" s="15">
        <f>Tableau13[[#This Row],[Année de déclaration]]-Tableau13[[#This Row],[Année de sinistre]]</f>
        <v>0</v>
      </c>
    </row>
    <row r="118" spans="1:13" x14ac:dyDescent="0.3">
      <c r="A118" s="1" t="s">
        <v>130</v>
      </c>
      <c r="B118" s="1" t="s">
        <v>13</v>
      </c>
      <c r="C118" s="1">
        <v>647</v>
      </c>
      <c r="D118" s="2">
        <v>42961</v>
      </c>
      <c r="E118" s="1">
        <v>2017</v>
      </c>
      <c r="F118" s="2">
        <v>42956</v>
      </c>
      <c r="G118" s="2">
        <v>45877</v>
      </c>
      <c r="H118" s="2">
        <v>44543</v>
      </c>
      <c r="I118" s="1">
        <v>2021</v>
      </c>
      <c r="J118" s="2">
        <v>44558</v>
      </c>
      <c r="K118" s="1">
        <f>YEAR(Tableau13[[#This Row],[Date de déclaration]])</f>
        <v>2021</v>
      </c>
      <c r="L118" s="4">
        <v>3246582.5348031493</v>
      </c>
      <c r="M118" s="15">
        <f>Tableau13[[#This Row],[Année de déclaration]]-Tableau13[[#This Row],[Année de sinistre]]</f>
        <v>0</v>
      </c>
    </row>
    <row r="119" spans="1:13" x14ac:dyDescent="0.3">
      <c r="A119" s="1" t="s">
        <v>131</v>
      </c>
      <c r="B119" s="1" t="s">
        <v>16</v>
      </c>
      <c r="C119" s="1">
        <v>9669</v>
      </c>
      <c r="D119" s="2">
        <v>43898</v>
      </c>
      <c r="E119" s="1">
        <v>2020</v>
      </c>
      <c r="F119" s="2">
        <v>43895</v>
      </c>
      <c r="G119" s="2">
        <v>44989</v>
      </c>
      <c r="H119" s="2">
        <v>44552</v>
      </c>
      <c r="I119" s="1">
        <v>2021</v>
      </c>
      <c r="J119" s="2">
        <v>44559</v>
      </c>
      <c r="K119" s="1">
        <f>YEAR(Tableau13[[#This Row],[Date de déclaration]])</f>
        <v>2021</v>
      </c>
      <c r="L119" s="4">
        <v>319561.24314442411</v>
      </c>
      <c r="M119" s="15">
        <f>Tableau13[[#This Row],[Année de déclaration]]-Tableau13[[#This Row],[Année de sinistre]]</f>
        <v>0</v>
      </c>
    </row>
    <row r="120" spans="1:13" x14ac:dyDescent="0.3">
      <c r="A120" s="1" t="s">
        <v>132</v>
      </c>
      <c r="B120" s="1" t="s">
        <v>16</v>
      </c>
      <c r="C120" s="1">
        <v>3182</v>
      </c>
      <c r="D120" s="2">
        <v>43601</v>
      </c>
      <c r="E120" s="1">
        <v>2019</v>
      </c>
      <c r="F120" s="2">
        <v>43601</v>
      </c>
      <c r="G120" s="2">
        <v>44695</v>
      </c>
      <c r="H120" s="2">
        <v>44616</v>
      </c>
      <c r="I120" s="1">
        <v>2022</v>
      </c>
      <c r="J120" s="2">
        <v>44616</v>
      </c>
      <c r="K120" s="1">
        <f>YEAR(Tableau13[[#This Row],[Date de déclaration]])</f>
        <v>2022</v>
      </c>
      <c r="L120" s="4">
        <v>35552.839999999997</v>
      </c>
      <c r="M120" s="15">
        <f>Tableau13[[#This Row],[Année de déclaration]]-Tableau13[[#This Row],[Année de sinistre]]</f>
        <v>0</v>
      </c>
    </row>
    <row r="121" spans="1:13" x14ac:dyDescent="0.3">
      <c r="A121" s="1" t="s">
        <v>133</v>
      </c>
      <c r="B121" s="1" t="s">
        <v>13</v>
      </c>
      <c r="C121" s="1">
        <v>13604</v>
      </c>
      <c r="D121" s="2">
        <v>44356</v>
      </c>
      <c r="E121" s="1">
        <v>2021</v>
      </c>
      <c r="F121" s="2">
        <v>44378</v>
      </c>
      <c r="G121" s="2">
        <v>58256</v>
      </c>
      <c r="H121" s="2">
        <v>44616</v>
      </c>
      <c r="I121" s="1">
        <v>2022</v>
      </c>
      <c r="J121" s="2">
        <v>44616</v>
      </c>
      <c r="K121" s="1">
        <f>YEAR(Tableau13[[#This Row],[Date de déclaration]])</f>
        <v>2022</v>
      </c>
      <c r="L121" s="4">
        <v>2113425</v>
      </c>
      <c r="M121" s="15">
        <f>Tableau13[[#This Row],[Année de déclaration]]-Tableau13[[#This Row],[Année de sinistre]]</f>
        <v>0</v>
      </c>
    </row>
    <row r="122" spans="1:13" x14ac:dyDescent="0.3">
      <c r="A122" s="1" t="s">
        <v>134</v>
      </c>
      <c r="B122" s="1" t="s">
        <v>13</v>
      </c>
      <c r="C122" s="1">
        <v>5804</v>
      </c>
      <c r="D122" s="2">
        <v>43625</v>
      </c>
      <c r="E122" s="1">
        <v>2019</v>
      </c>
      <c r="F122" s="2">
        <v>43617</v>
      </c>
      <c r="G122" s="2">
        <v>46536</v>
      </c>
      <c r="H122" s="2">
        <v>44570</v>
      </c>
      <c r="I122" s="1">
        <v>2022</v>
      </c>
      <c r="J122" s="2">
        <v>44570</v>
      </c>
      <c r="K122" s="1">
        <f>YEAR(Tableau13[[#This Row],[Date de déclaration]])</f>
        <v>2022</v>
      </c>
      <c r="L122" s="4">
        <v>1123474.97</v>
      </c>
      <c r="M122" s="15">
        <f>Tableau13[[#This Row],[Année de déclaration]]-Tableau13[[#This Row],[Année de sinistre]]</f>
        <v>0</v>
      </c>
    </row>
    <row r="123" spans="1:13" x14ac:dyDescent="0.3">
      <c r="A123" s="1" t="s">
        <v>135</v>
      </c>
      <c r="B123" s="1" t="s">
        <v>16</v>
      </c>
      <c r="C123" s="1">
        <v>546</v>
      </c>
      <c r="D123" s="2">
        <v>43184</v>
      </c>
      <c r="E123" s="1">
        <v>2018</v>
      </c>
      <c r="F123" s="2">
        <v>45011</v>
      </c>
      <c r="G123" s="2">
        <v>45010</v>
      </c>
      <c r="H123" s="2">
        <v>44563</v>
      </c>
      <c r="I123" s="1">
        <v>2022</v>
      </c>
      <c r="J123" s="2">
        <v>44563</v>
      </c>
      <c r="K123" s="1">
        <f>YEAR(Tableau13[[#This Row],[Date de déclaration]])</f>
        <v>2022</v>
      </c>
      <c r="L123" s="4">
        <v>1339900</v>
      </c>
      <c r="M123" s="15">
        <f>Tableau13[[#This Row],[Année de déclaration]]-Tableau13[[#This Row],[Année de sinistre]]</f>
        <v>0</v>
      </c>
    </row>
    <row r="124" spans="1:13" x14ac:dyDescent="0.3">
      <c r="A124" s="1" t="s">
        <v>136</v>
      </c>
      <c r="B124" s="1" t="s">
        <v>13</v>
      </c>
      <c r="C124" s="1">
        <v>13862</v>
      </c>
      <c r="D124" s="2">
        <v>44375</v>
      </c>
      <c r="E124" s="1">
        <v>2021</v>
      </c>
      <c r="F124" s="2">
        <v>44377</v>
      </c>
      <c r="G124" s="2">
        <v>48028</v>
      </c>
      <c r="H124" s="2">
        <v>44469</v>
      </c>
      <c r="I124" s="1">
        <v>2021</v>
      </c>
      <c r="J124" s="7">
        <v>44826</v>
      </c>
      <c r="K124" s="1">
        <f>YEAR(Tableau13[[#This Row],[Date de déclaration]])</f>
        <v>2022</v>
      </c>
      <c r="L124" s="4">
        <v>1535464.3122432209</v>
      </c>
      <c r="M124" s="15">
        <f>Tableau13[[#This Row],[Année de déclaration]]-Tableau13[[#This Row],[Année de sinistre]]</f>
        <v>1</v>
      </c>
    </row>
    <row r="125" spans="1:13" x14ac:dyDescent="0.3">
      <c r="A125" s="1" t="s">
        <v>137</v>
      </c>
      <c r="B125" s="1" t="s">
        <v>13</v>
      </c>
      <c r="C125" s="1">
        <v>4756</v>
      </c>
      <c r="D125" s="2">
        <v>43524</v>
      </c>
      <c r="E125" s="1">
        <v>2019</v>
      </c>
      <c r="F125" s="2">
        <v>43525</v>
      </c>
      <c r="G125" s="2">
        <v>58124</v>
      </c>
      <c r="H125" s="2">
        <v>44582</v>
      </c>
      <c r="I125" s="1">
        <v>2022</v>
      </c>
      <c r="J125" s="2">
        <v>45036</v>
      </c>
      <c r="K125" s="1">
        <f>YEAR(Tableau13[[#This Row],[Date de déclaration]])</f>
        <v>2023</v>
      </c>
      <c r="L125" s="4">
        <v>3407362.26</v>
      </c>
      <c r="M125" s="15">
        <f>Tableau13[[#This Row],[Année de déclaration]]-Tableau13[[#This Row],[Année de sinistre]]</f>
        <v>1</v>
      </c>
    </row>
    <row r="126" spans="1:13" x14ac:dyDescent="0.3">
      <c r="A126" s="1" t="s">
        <v>138</v>
      </c>
      <c r="B126" s="1" t="s">
        <v>16</v>
      </c>
      <c r="C126" s="1">
        <v>14240</v>
      </c>
      <c r="D126" s="2">
        <v>44502</v>
      </c>
      <c r="E126" s="1">
        <v>2021</v>
      </c>
      <c r="F126" s="2">
        <v>44502</v>
      </c>
      <c r="G126" s="2">
        <v>45597</v>
      </c>
      <c r="H126" s="2">
        <v>44568</v>
      </c>
      <c r="I126" s="1">
        <v>2022</v>
      </c>
      <c r="J126" s="2">
        <v>44586</v>
      </c>
      <c r="K126" s="1">
        <f>YEAR(Tableau13[[#This Row],[Date de déclaration]])</f>
        <v>2022</v>
      </c>
      <c r="L126" s="4">
        <v>942429</v>
      </c>
      <c r="M126" s="15">
        <f>Tableau13[[#This Row],[Année de déclaration]]-Tableau13[[#This Row],[Année de sinistre]]</f>
        <v>0</v>
      </c>
    </row>
    <row r="127" spans="1:13" x14ac:dyDescent="0.3">
      <c r="A127" s="1" t="s">
        <v>139</v>
      </c>
      <c r="B127" s="1" t="s">
        <v>16</v>
      </c>
      <c r="C127" s="1">
        <v>14177</v>
      </c>
      <c r="D127" s="2">
        <v>44497</v>
      </c>
      <c r="E127" s="1">
        <v>2021</v>
      </c>
      <c r="F127" s="2">
        <v>44497</v>
      </c>
      <c r="G127" s="2">
        <v>45592</v>
      </c>
      <c r="H127" s="2">
        <v>44592</v>
      </c>
      <c r="I127" s="1">
        <v>2022</v>
      </c>
      <c r="J127" s="2">
        <v>44600</v>
      </c>
      <c r="K127" s="1">
        <f>YEAR(Tableau13[[#This Row],[Date de déclaration]])</f>
        <v>2022</v>
      </c>
      <c r="L127" s="4">
        <v>405479.45205479447</v>
      </c>
      <c r="M127" s="15">
        <f>Tableau13[[#This Row],[Année de déclaration]]-Tableau13[[#This Row],[Année de sinistre]]</f>
        <v>0</v>
      </c>
    </row>
    <row r="128" spans="1:13" x14ac:dyDescent="0.3">
      <c r="A128" s="1" t="s">
        <v>140</v>
      </c>
      <c r="B128" s="1" t="s">
        <v>13</v>
      </c>
      <c r="C128" s="1">
        <v>6927</v>
      </c>
      <c r="D128" s="2">
        <v>43765</v>
      </c>
      <c r="E128" s="1">
        <v>2019</v>
      </c>
      <c r="F128" s="2">
        <v>43766</v>
      </c>
      <c r="G128" s="2">
        <v>58374</v>
      </c>
      <c r="H128" s="2">
        <v>44274</v>
      </c>
      <c r="I128" s="1">
        <v>2021</v>
      </c>
      <c r="J128" s="2">
        <v>44634</v>
      </c>
      <c r="K128" s="1">
        <f>YEAR(Tableau13[[#This Row],[Date de déclaration]])</f>
        <v>2022</v>
      </c>
      <c r="L128" s="4">
        <v>5626062.1577217961</v>
      </c>
      <c r="M128" s="15">
        <f>Tableau13[[#This Row],[Année de déclaration]]-Tableau13[[#This Row],[Année de sinistre]]</f>
        <v>1</v>
      </c>
    </row>
    <row r="129" spans="1:13" x14ac:dyDescent="0.3">
      <c r="A129" s="1" t="s">
        <v>141</v>
      </c>
      <c r="B129" s="1" t="s">
        <v>16</v>
      </c>
      <c r="C129" s="1">
        <v>1800</v>
      </c>
      <c r="D129" s="2">
        <v>43445</v>
      </c>
      <c r="E129" s="1">
        <v>2018</v>
      </c>
      <c r="F129" s="2">
        <v>43445</v>
      </c>
      <c r="G129" s="2">
        <v>45269</v>
      </c>
      <c r="H129" s="2">
        <v>44585</v>
      </c>
      <c r="I129" s="1">
        <v>2022</v>
      </c>
      <c r="J129" s="2">
        <v>44585</v>
      </c>
      <c r="K129" s="1">
        <f>YEAR(Tableau13[[#This Row],[Date de déclaration]])</f>
        <v>2022</v>
      </c>
      <c r="L129" s="4">
        <v>508363.76</v>
      </c>
      <c r="M129" s="15">
        <f>Tableau13[[#This Row],[Année de déclaration]]-Tableau13[[#This Row],[Année de sinistre]]</f>
        <v>0</v>
      </c>
    </row>
    <row r="130" spans="1:13" x14ac:dyDescent="0.3">
      <c r="A130" s="1" t="s">
        <v>142</v>
      </c>
      <c r="B130" s="1" t="s">
        <v>16</v>
      </c>
      <c r="C130" s="1">
        <v>14600</v>
      </c>
      <c r="D130" s="2">
        <v>44530</v>
      </c>
      <c r="E130" s="1">
        <v>2021</v>
      </c>
      <c r="F130" s="2">
        <v>44535</v>
      </c>
      <c r="G130" s="2">
        <v>45630</v>
      </c>
      <c r="H130" s="2">
        <v>44583</v>
      </c>
      <c r="I130" s="1">
        <v>2022</v>
      </c>
      <c r="J130" s="2">
        <v>44651</v>
      </c>
      <c r="K130" s="1">
        <f>YEAR(Tableau13[[#This Row],[Date de déclaration]])</f>
        <v>2022</v>
      </c>
      <c r="L130" s="4">
        <v>226480.26</v>
      </c>
      <c r="M130" s="15">
        <f>Tableau13[[#This Row],[Année de déclaration]]-Tableau13[[#This Row],[Année de sinistre]]</f>
        <v>0</v>
      </c>
    </row>
    <row r="131" spans="1:13" x14ac:dyDescent="0.3">
      <c r="A131" s="1" t="s">
        <v>143</v>
      </c>
      <c r="B131" s="1" t="s">
        <v>13</v>
      </c>
      <c r="C131" s="1">
        <v>933</v>
      </c>
      <c r="D131" s="2">
        <v>43027</v>
      </c>
      <c r="E131" s="1">
        <v>2017</v>
      </c>
      <c r="F131" s="2">
        <v>43003</v>
      </c>
      <c r="G131" s="2">
        <v>48120</v>
      </c>
      <c r="H131" s="2">
        <v>44583</v>
      </c>
      <c r="I131" s="1">
        <v>2022</v>
      </c>
      <c r="J131" s="2">
        <v>44619</v>
      </c>
      <c r="K131" s="1">
        <f>YEAR(Tableau13[[#This Row],[Date de déclaration]])</f>
        <v>2022</v>
      </c>
      <c r="L131" s="4">
        <v>1175150</v>
      </c>
      <c r="M131" s="15">
        <f>Tableau13[[#This Row],[Année de déclaration]]-Tableau13[[#This Row],[Année de sinistre]]</f>
        <v>0</v>
      </c>
    </row>
    <row r="132" spans="1:13" x14ac:dyDescent="0.3">
      <c r="A132" s="1" t="s">
        <v>144</v>
      </c>
      <c r="B132" s="1" t="s">
        <v>16</v>
      </c>
      <c r="C132" s="1">
        <v>11967</v>
      </c>
      <c r="D132" s="2">
        <v>44278</v>
      </c>
      <c r="E132" s="1">
        <v>2021</v>
      </c>
      <c r="F132" s="2">
        <v>44278</v>
      </c>
      <c r="G132" s="2">
        <v>45372</v>
      </c>
      <c r="H132" s="2">
        <v>44411</v>
      </c>
      <c r="I132" s="1">
        <v>2021</v>
      </c>
      <c r="J132" s="2">
        <v>45099</v>
      </c>
      <c r="K132" s="1">
        <f>YEAR(Tableau13[[#This Row],[Date de déclaration]])</f>
        <v>2023</v>
      </c>
      <c r="L132" s="4">
        <v>518272.39488117001</v>
      </c>
      <c r="M132" s="15">
        <f>Tableau13[[#This Row],[Année de déclaration]]-Tableau13[[#This Row],[Année de sinistre]]</f>
        <v>2</v>
      </c>
    </row>
    <row r="133" spans="1:13" x14ac:dyDescent="0.3">
      <c r="A133" s="1" t="s">
        <v>145</v>
      </c>
      <c r="B133" s="1" t="s">
        <v>16</v>
      </c>
      <c r="C133" s="1">
        <v>13604</v>
      </c>
      <c r="D133" s="2">
        <v>44444</v>
      </c>
      <c r="E133" s="1">
        <v>2021</v>
      </c>
      <c r="F133" s="2">
        <v>44499</v>
      </c>
      <c r="G133" s="2">
        <v>45594</v>
      </c>
      <c r="H133" s="2">
        <v>44549</v>
      </c>
      <c r="I133" s="1">
        <v>2021</v>
      </c>
      <c r="J133" s="2">
        <v>44628</v>
      </c>
      <c r="K133" s="1">
        <f>YEAR(Tableau13[[#This Row],[Date de déclaration]])</f>
        <v>2022</v>
      </c>
      <c r="L133" s="4">
        <v>343561.64383561641</v>
      </c>
      <c r="M133" s="15">
        <f>Tableau13[[#This Row],[Année de déclaration]]-Tableau13[[#This Row],[Année de sinistre]]</f>
        <v>1</v>
      </c>
    </row>
    <row r="134" spans="1:13" x14ac:dyDescent="0.3">
      <c r="A134" s="1" t="s">
        <v>146</v>
      </c>
      <c r="B134" s="1" t="s">
        <v>13</v>
      </c>
      <c r="C134" s="1">
        <v>11845</v>
      </c>
      <c r="D134" s="2">
        <v>44250</v>
      </c>
      <c r="E134" s="1">
        <v>2021</v>
      </c>
      <c r="F134" s="2">
        <v>44311</v>
      </c>
      <c r="G134" s="2">
        <v>58554</v>
      </c>
      <c r="H134" s="2">
        <v>44435</v>
      </c>
      <c r="I134" s="1">
        <v>2021</v>
      </c>
      <c r="J134" s="2">
        <v>44651</v>
      </c>
      <c r="K134" s="1">
        <f>YEAR(Tableau13[[#This Row],[Date de déclaration]])</f>
        <v>2022</v>
      </c>
      <c r="L134" s="4">
        <v>8789206.7699999996</v>
      </c>
      <c r="M134" s="15">
        <f>Tableau13[[#This Row],[Année de déclaration]]-Tableau13[[#This Row],[Année de sinistre]]</f>
        <v>1</v>
      </c>
    </row>
    <row r="135" spans="1:13" x14ac:dyDescent="0.3">
      <c r="A135" s="1" t="s">
        <v>147</v>
      </c>
      <c r="B135" s="1" t="s">
        <v>16</v>
      </c>
      <c r="C135" s="1">
        <v>804</v>
      </c>
      <c r="D135" s="2">
        <v>43248</v>
      </c>
      <c r="E135" s="1">
        <v>2018</v>
      </c>
      <c r="F135" s="2">
        <v>43249</v>
      </c>
      <c r="G135" s="2">
        <v>45074</v>
      </c>
      <c r="H135" s="2">
        <v>44578</v>
      </c>
      <c r="I135" s="1">
        <v>2022</v>
      </c>
      <c r="J135" s="2">
        <v>44578</v>
      </c>
      <c r="K135" s="1">
        <f>YEAR(Tableau13[[#This Row],[Date de déclaration]])</f>
        <v>2022</v>
      </c>
      <c r="L135" s="4">
        <v>328790.75</v>
      </c>
      <c r="M135" s="15">
        <f>Tableau13[[#This Row],[Année de déclaration]]-Tableau13[[#This Row],[Année de sinistre]]</f>
        <v>0</v>
      </c>
    </row>
    <row r="136" spans="1:13" x14ac:dyDescent="0.3">
      <c r="A136" s="1" t="s">
        <v>148</v>
      </c>
      <c r="B136" s="1" t="s">
        <v>16</v>
      </c>
      <c r="C136" s="1">
        <v>9581</v>
      </c>
      <c r="D136" s="2">
        <v>43879</v>
      </c>
      <c r="E136" s="1">
        <v>2020</v>
      </c>
      <c r="F136" s="2">
        <v>43879</v>
      </c>
      <c r="G136" s="2">
        <v>44973</v>
      </c>
      <c r="H136" s="2">
        <v>44578</v>
      </c>
      <c r="I136" s="1">
        <v>2022</v>
      </c>
      <c r="J136" s="2">
        <v>44578</v>
      </c>
      <c r="K136" s="1">
        <f>YEAR(Tableau13[[#This Row],[Date de déclaration]])</f>
        <v>2022</v>
      </c>
      <c r="L136" s="4">
        <v>76412.759999999995</v>
      </c>
      <c r="M136" s="15">
        <f>Tableau13[[#This Row],[Année de déclaration]]-Tableau13[[#This Row],[Année de sinistre]]</f>
        <v>0</v>
      </c>
    </row>
    <row r="137" spans="1:13" x14ac:dyDescent="0.3">
      <c r="A137" s="1" t="s">
        <v>149</v>
      </c>
      <c r="B137" s="1" t="s">
        <v>16</v>
      </c>
      <c r="C137" s="1">
        <v>12092</v>
      </c>
      <c r="D137" s="2">
        <v>44285</v>
      </c>
      <c r="E137" s="1">
        <v>2021</v>
      </c>
      <c r="F137" s="2">
        <v>44285</v>
      </c>
      <c r="G137" s="2">
        <v>45379</v>
      </c>
      <c r="H137" s="2">
        <v>44607</v>
      </c>
      <c r="I137" s="1">
        <v>2022</v>
      </c>
      <c r="J137" s="2">
        <v>44635</v>
      </c>
      <c r="K137" s="1">
        <f>YEAR(Tableau13[[#This Row],[Date de déclaration]])</f>
        <v>2022</v>
      </c>
      <c r="L137" s="4">
        <v>319587.84000000003</v>
      </c>
      <c r="M137" s="15">
        <f>Tableau13[[#This Row],[Année de déclaration]]-Tableau13[[#This Row],[Année de sinistre]]</f>
        <v>0</v>
      </c>
    </row>
    <row r="138" spans="1:13" x14ac:dyDescent="0.3">
      <c r="A138" s="1" t="s">
        <v>150</v>
      </c>
      <c r="B138" s="1" t="s">
        <v>16</v>
      </c>
      <c r="C138" s="1">
        <v>14281</v>
      </c>
      <c r="D138" s="2">
        <v>44504</v>
      </c>
      <c r="E138" s="1">
        <v>2021</v>
      </c>
      <c r="F138" s="2">
        <v>44504</v>
      </c>
      <c r="G138" s="2">
        <v>45599</v>
      </c>
      <c r="H138" s="2">
        <v>44535</v>
      </c>
      <c r="I138" s="1">
        <v>2021</v>
      </c>
      <c r="J138" s="2">
        <v>44636</v>
      </c>
      <c r="K138" s="1">
        <f>YEAR(Tableau13[[#This Row],[Date de déclaration]])</f>
        <v>2022</v>
      </c>
      <c r="L138" s="4">
        <v>699616.43835616438</v>
      </c>
      <c r="M138" s="15">
        <f>Tableau13[[#This Row],[Année de déclaration]]-Tableau13[[#This Row],[Année de sinistre]]</f>
        <v>1</v>
      </c>
    </row>
    <row r="139" spans="1:13" x14ac:dyDescent="0.3">
      <c r="A139" s="1" t="s">
        <v>151</v>
      </c>
      <c r="B139" s="1" t="s">
        <v>13</v>
      </c>
      <c r="C139" s="1">
        <v>9058</v>
      </c>
      <c r="D139" s="2">
        <v>44018</v>
      </c>
      <c r="E139" s="1">
        <v>2020</v>
      </c>
      <c r="F139" s="2">
        <v>44027</v>
      </c>
      <c r="G139" s="2">
        <v>51691</v>
      </c>
      <c r="H139" s="2">
        <v>44625</v>
      </c>
      <c r="I139" s="1">
        <v>2022</v>
      </c>
      <c r="J139" s="2">
        <v>44651</v>
      </c>
      <c r="K139" s="1">
        <f>YEAR(Tableau13[[#This Row],[Date de déclaration]])</f>
        <v>2022</v>
      </c>
      <c r="L139" s="4">
        <v>3658019.519832985</v>
      </c>
      <c r="M139" s="15">
        <f>Tableau13[[#This Row],[Année de déclaration]]-Tableau13[[#This Row],[Année de sinistre]]</f>
        <v>0</v>
      </c>
    </row>
    <row r="140" spans="1:13" x14ac:dyDescent="0.3">
      <c r="A140" s="1" t="s">
        <v>152</v>
      </c>
      <c r="B140" s="1" t="s">
        <v>16</v>
      </c>
      <c r="C140" s="1">
        <v>2220</v>
      </c>
      <c r="D140" s="2">
        <v>43494</v>
      </c>
      <c r="E140" s="1">
        <v>2019</v>
      </c>
      <c r="F140" s="2">
        <v>43493</v>
      </c>
      <c r="G140" s="2">
        <v>45317</v>
      </c>
      <c r="H140" s="2">
        <v>44596</v>
      </c>
      <c r="I140" s="1">
        <v>2022</v>
      </c>
      <c r="J140" s="2">
        <v>44651</v>
      </c>
      <c r="K140" s="1">
        <f>YEAR(Tableau13[[#This Row],[Date de déclaration]])</f>
        <v>2022</v>
      </c>
      <c r="L140" s="4">
        <v>548853.52</v>
      </c>
      <c r="M140" s="15">
        <f>Tableau13[[#This Row],[Année de déclaration]]-Tableau13[[#This Row],[Année de sinistre]]</f>
        <v>0</v>
      </c>
    </row>
    <row r="141" spans="1:13" x14ac:dyDescent="0.3">
      <c r="A141" s="1" t="s">
        <v>153</v>
      </c>
      <c r="B141" s="1" t="s">
        <v>13</v>
      </c>
      <c r="C141" s="1">
        <v>1342</v>
      </c>
      <c r="D141" s="2">
        <v>43087</v>
      </c>
      <c r="E141" s="1">
        <v>2017</v>
      </c>
      <c r="F141" s="2">
        <v>43089</v>
      </c>
      <c r="G141" s="2">
        <v>52219</v>
      </c>
      <c r="H141" s="2">
        <v>44516</v>
      </c>
      <c r="I141" s="1">
        <v>2021</v>
      </c>
      <c r="J141" s="2">
        <v>44651</v>
      </c>
      <c r="K141" s="1">
        <f>YEAR(Tableau13[[#This Row],[Date de déclaration]])</f>
        <v>2022</v>
      </c>
      <c r="L141" s="4">
        <v>877798.79043044895</v>
      </c>
      <c r="M141" s="15">
        <f>Tableau13[[#This Row],[Année de déclaration]]-Tableau13[[#This Row],[Année de sinistre]]</f>
        <v>1</v>
      </c>
    </row>
    <row r="142" spans="1:13" x14ac:dyDescent="0.3">
      <c r="A142" s="1" t="s">
        <v>154</v>
      </c>
      <c r="B142" s="1" t="s">
        <v>13</v>
      </c>
      <c r="C142" s="1">
        <v>22781</v>
      </c>
      <c r="D142" s="2">
        <v>43202</v>
      </c>
      <c r="E142" s="1">
        <v>2018</v>
      </c>
      <c r="F142" s="2">
        <v>43203</v>
      </c>
      <c r="G142" s="2">
        <v>45394</v>
      </c>
      <c r="H142" s="2">
        <v>44592</v>
      </c>
      <c r="I142" s="1">
        <v>2022</v>
      </c>
      <c r="J142" s="2">
        <v>44656</v>
      </c>
      <c r="K142" s="1">
        <f>YEAR(Tableau13[[#This Row],[Date de déclaration]])</f>
        <v>2022</v>
      </c>
      <c r="L142" s="4">
        <v>150497.04999999999</v>
      </c>
      <c r="M142" s="15">
        <f>Tableau13[[#This Row],[Année de déclaration]]-Tableau13[[#This Row],[Année de sinistre]]</f>
        <v>0</v>
      </c>
    </row>
    <row r="143" spans="1:13" x14ac:dyDescent="0.3">
      <c r="A143" s="1" t="s">
        <v>154</v>
      </c>
      <c r="B143" s="1" t="s">
        <v>13</v>
      </c>
      <c r="C143" s="1">
        <v>22782</v>
      </c>
      <c r="D143" s="2">
        <v>43202</v>
      </c>
      <c r="E143" s="1">
        <v>2018</v>
      </c>
      <c r="F143" s="2">
        <v>43203</v>
      </c>
      <c r="G143" s="2">
        <v>45028</v>
      </c>
      <c r="H143" s="2">
        <v>44592</v>
      </c>
      <c r="I143" s="1">
        <v>2022</v>
      </c>
      <c r="J143" s="2">
        <v>44656</v>
      </c>
      <c r="K143" s="1">
        <f>YEAR(Tableau13[[#This Row],[Date de déclaration]])</f>
        <v>2022</v>
      </c>
      <c r="L143" s="4">
        <v>125905.09</v>
      </c>
      <c r="M143" s="15">
        <f>Tableau13[[#This Row],[Année de déclaration]]-Tableau13[[#This Row],[Année de sinistre]]</f>
        <v>0</v>
      </c>
    </row>
    <row r="144" spans="1:13" x14ac:dyDescent="0.3">
      <c r="A144" s="1" t="s">
        <v>154</v>
      </c>
      <c r="B144" s="1" t="s">
        <v>13</v>
      </c>
      <c r="C144" s="1">
        <v>2453</v>
      </c>
      <c r="D144" s="2">
        <v>43254</v>
      </c>
      <c r="E144" s="1">
        <v>2018</v>
      </c>
      <c r="F144" s="2">
        <v>43193</v>
      </c>
      <c r="G144" s="2">
        <v>46845</v>
      </c>
      <c r="H144" s="2">
        <v>44592</v>
      </c>
      <c r="I144" s="1">
        <v>2022</v>
      </c>
      <c r="J144" s="2">
        <v>44656</v>
      </c>
      <c r="K144" s="1">
        <f>YEAR(Tableau13[[#This Row],[Date de déclaration]])</f>
        <v>2022</v>
      </c>
      <c r="L144" s="4">
        <v>309936.53000000003</v>
      </c>
      <c r="M144" s="15">
        <f>Tableau13[[#This Row],[Année de déclaration]]-Tableau13[[#This Row],[Année de sinistre]]</f>
        <v>0</v>
      </c>
    </row>
    <row r="145" spans="1:13" x14ac:dyDescent="0.3">
      <c r="A145" s="1" t="s">
        <v>155</v>
      </c>
      <c r="B145" s="1" t="s">
        <v>13</v>
      </c>
      <c r="C145" s="1" t="s">
        <v>156</v>
      </c>
      <c r="D145" s="2">
        <v>43240</v>
      </c>
      <c r="E145" s="1">
        <v>2018</v>
      </c>
      <c r="F145" s="2">
        <v>43272</v>
      </c>
      <c r="G145" s="2">
        <v>54959</v>
      </c>
      <c r="H145" s="2">
        <v>44648</v>
      </c>
      <c r="I145" s="1">
        <v>2022</v>
      </c>
      <c r="J145" s="2">
        <v>44662</v>
      </c>
      <c r="K145" s="1">
        <f>YEAR(Tableau13[[#This Row],[Date de déclaration]])</f>
        <v>2022</v>
      </c>
      <c r="L145" s="4">
        <v>211712.96</v>
      </c>
      <c r="M145" s="15">
        <f>Tableau13[[#This Row],[Année de déclaration]]-Tableau13[[#This Row],[Année de sinistre]]</f>
        <v>0</v>
      </c>
    </row>
    <row r="146" spans="1:13" x14ac:dyDescent="0.3">
      <c r="A146" s="1" t="s">
        <v>157</v>
      </c>
      <c r="B146" s="1" t="s">
        <v>16</v>
      </c>
      <c r="C146" s="1">
        <v>10302</v>
      </c>
      <c r="D146" s="2">
        <v>44088</v>
      </c>
      <c r="E146" s="1">
        <v>2020</v>
      </c>
      <c r="F146" s="2">
        <v>44089</v>
      </c>
      <c r="G146" s="2">
        <v>44818</v>
      </c>
      <c r="H146" s="2">
        <v>44578</v>
      </c>
      <c r="I146" s="1">
        <v>2022</v>
      </c>
      <c r="J146" s="2">
        <v>44668</v>
      </c>
      <c r="K146" s="1">
        <f>YEAR(Tableau13[[#This Row],[Date de déclaration]])</f>
        <v>2022</v>
      </c>
      <c r="L146" s="4">
        <v>240329.21810699583</v>
      </c>
      <c r="M146" s="15">
        <f>Tableau13[[#This Row],[Année de déclaration]]-Tableau13[[#This Row],[Année de sinistre]]</f>
        <v>0</v>
      </c>
    </row>
    <row r="147" spans="1:13" x14ac:dyDescent="0.3">
      <c r="A147" s="1" t="s">
        <v>158</v>
      </c>
      <c r="B147" s="1" t="s">
        <v>13</v>
      </c>
      <c r="C147" s="1">
        <v>2154</v>
      </c>
      <c r="D147" s="2">
        <v>43213</v>
      </c>
      <c r="E147" s="1">
        <v>2018</v>
      </c>
      <c r="F147" s="2">
        <v>43205</v>
      </c>
      <c r="G147" s="2">
        <v>55623</v>
      </c>
      <c r="H147" s="2">
        <v>44561</v>
      </c>
      <c r="I147" s="1">
        <v>2021</v>
      </c>
      <c r="J147" s="2">
        <v>44679</v>
      </c>
      <c r="K147" s="1">
        <f>YEAR(Tableau13[[#This Row],[Date de déclaration]])</f>
        <v>2022</v>
      </c>
      <c r="L147" s="4">
        <v>8372235.04</v>
      </c>
      <c r="M147" s="15">
        <f>Tableau13[[#This Row],[Année de déclaration]]-Tableau13[[#This Row],[Année de sinistre]]</f>
        <v>1</v>
      </c>
    </row>
    <row r="148" spans="1:13" x14ac:dyDescent="0.3">
      <c r="A148" s="1" t="s">
        <v>159</v>
      </c>
      <c r="B148" s="1" t="s">
        <v>13</v>
      </c>
      <c r="C148" s="1">
        <v>15573</v>
      </c>
      <c r="D148" s="2">
        <v>44511</v>
      </c>
      <c r="E148" s="1">
        <v>2021</v>
      </c>
      <c r="F148" s="2">
        <v>44511</v>
      </c>
      <c r="G148" s="2">
        <v>48162</v>
      </c>
      <c r="H148" s="2">
        <v>44666</v>
      </c>
      <c r="I148" s="1">
        <v>2022</v>
      </c>
      <c r="J148" s="2">
        <v>44666</v>
      </c>
      <c r="K148" s="1">
        <f>YEAR(Tableau13[[#This Row],[Date de déclaration]])</f>
        <v>2022</v>
      </c>
      <c r="L148" s="4">
        <v>4775711.0585373873</v>
      </c>
      <c r="M148" s="15">
        <f>Tableau13[[#This Row],[Année de déclaration]]-Tableau13[[#This Row],[Année de sinistre]]</f>
        <v>0</v>
      </c>
    </row>
    <row r="149" spans="1:13" x14ac:dyDescent="0.3">
      <c r="A149" s="1" t="s">
        <v>160</v>
      </c>
      <c r="B149" s="1" t="s">
        <v>16</v>
      </c>
      <c r="C149" s="1">
        <v>1753</v>
      </c>
      <c r="D149" s="2">
        <v>43437</v>
      </c>
      <c r="E149" s="1">
        <v>2018</v>
      </c>
      <c r="F149" s="2">
        <v>43438</v>
      </c>
      <c r="G149" s="2">
        <v>44532</v>
      </c>
      <c r="H149" s="2">
        <v>44794</v>
      </c>
      <c r="I149" s="1">
        <v>2022</v>
      </c>
      <c r="J149" s="2">
        <v>44794</v>
      </c>
      <c r="K149" s="1">
        <f>YEAR(Tableau13[[#This Row],[Date de déclaration]])</f>
        <v>2022</v>
      </c>
      <c r="L149" s="4">
        <v>75987.23</v>
      </c>
      <c r="M149" s="15">
        <f>Tableau13[[#This Row],[Année de déclaration]]-Tableau13[[#This Row],[Année de sinistre]]</f>
        <v>0</v>
      </c>
    </row>
    <row r="150" spans="1:13" x14ac:dyDescent="0.3">
      <c r="A150" s="1" t="s">
        <v>161</v>
      </c>
      <c r="B150" s="1" t="s">
        <v>13</v>
      </c>
      <c r="C150" s="1">
        <v>14108</v>
      </c>
      <c r="D150" s="2">
        <v>44391</v>
      </c>
      <c r="E150" s="1">
        <v>2021</v>
      </c>
      <c r="F150" s="2">
        <v>44391</v>
      </c>
      <c r="G150" s="2">
        <v>50960</v>
      </c>
      <c r="H150" s="2">
        <v>44467</v>
      </c>
      <c r="I150" s="1">
        <v>2021</v>
      </c>
      <c r="J150" s="2">
        <v>44697</v>
      </c>
      <c r="K150" s="1">
        <f>YEAR(Tableau13[[#This Row],[Date de déclaration]])</f>
        <v>2022</v>
      </c>
      <c r="L150" s="4">
        <v>487153.8</v>
      </c>
      <c r="M150" s="15">
        <f>Tableau13[[#This Row],[Année de déclaration]]-Tableau13[[#This Row],[Année de sinistre]]</f>
        <v>1</v>
      </c>
    </row>
    <row r="151" spans="1:13" x14ac:dyDescent="0.3">
      <c r="A151" s="1" t="s">
        <v>162</v>
      </c>
      <c r="B151" s="1" t="s">
        <v>16</v>
      </c>
      <c r="C151" s="1">
        <v>4655</v>
      </c>
      <c r="D151" s="2">
        <v>43822</v>
      </c>
      <c r="E151" s="1">
        <v>2019</v>
      </c>
      <c r="F151" s="2">
        <v>43814</v>
      </c>
      <c r="G151" s="2">
        <v>44908</v>
      </c>
      <c r="H151" s="2">
        <v>44593</v>
      </c>
      <c r="I151" s="1">
        <v>2022</v>
      </c>
      <c r="J151" s="2">
        <v>44703</v>
      </c>
      <c r="K151" s="1">
        <f>YEAR(Tableau13[[#This Row],[Date de déclaration]])</f>
        <v>2022</v>
      </c>
      <c r="L151" s="4">
        <v>170559.94</v>
      </c>
      <c r="M151" s="15">
        <f>Tableau13[[#This Row],[Année de déclaration]]-Tableau13[[#This Row],[Année de sinistre]]</f>
        <v>0</v>
      </c>
    </row>
    <row r="152" spans="1:13" x14ac:dyDescent="0.3">
      <c r="A152" s="1" t="s">
        <v>163</v>
      </c>
      <c r="B152" s="1" t="s">
        <v>16</v>
      </c>
      <c r="C152" s="1">
        <v>10171</v>
      </c>
      <c r="D152" s="2">
        <v>44047</v>
      </c>
      <c r="E152" s="1">
        <v>2020</v>
      </c>
      <c r="F152" s="2">
        <v>44047</v>
      </c>
      <c r="G152" s="2">
        <v>45141</v>
      </c>
      <c r="H152" s="2">
        <v>44408</v>
      </c>
      <c r="I152" s="1">
        <v>2021</v>
      </c>
      <c r="J152" s="2">
        <v>44408</v>
      </c>
      <c r="K152" s="1">
        <f>YEAR(Tableau13[[#This Row],[Date de déclaration]])</f>
        <v>2021</v>
      </c>
      <c r="L152" s="4">
        <v>321624</v>
      </c>
      <c r="M152" s="15">
        <f>Tableau13[[#This Row],[Année de déclaration]]-Tableau13[[#This Row],[Année de sinistre]]</f>
        <v>0</v>
      </c>
    </row>
    <row r="153" spans="1:13" x14ac:dyDescent="0.3">
      <c r="A153" s="1" t="s">
        <v>164</v>
      </c>
      <c r="B153" s="1" t="s">
        <v>13</v>
      </c>
      <c r="C153" s="1">
        <v>3099</v>
      </c>
      <c r="D153" s="2">
        <v>43341</v>
      </c>
      <c r="E153" s="1">
        <v>2018</v>
      </c>
      <c r="F153" s="2">
        <v>43329</v>
      </c>
      <c r="G153" s="2">
        <v>45520</v>
      </c>
      <c r="H153" s="2">
        <v>44515</v>
      </c>
      <c r="I153" s="1">
        <v>2021</v>
      </c>
      <c r="J153" s="2">
        <v>44711</v>
      </c>
      <c r="K153" s="1">
        <f>YEAR(Tableau13[[#This Row],[Date de déclaration]])</f>
        <v>2022</v>
      </c>
      <c r="L153" s="4">
        <v>201162.98</v>
      </c>
      <c r="M153" s="15">
        <f>Tableau13[[#This Row],[Année de déclaration]]-Tableau13[[#This Row],[Année de sinistre]]</f>
        <v>1</v>
      </c>
    </row>
    <row r="154" spans="1:13" x14ac:dyDescent="0.3">
      <c r="A154" s="1" t="s">
        <v>165</v>
      </c>
      <c r="B154" s="1" t="s">
        <v>16</v>
      </c>
      <c r="C154" s="1">
        <v>1543</v>
      </c>
      <c r="D154" s="2">
        <v>43403</v>
      </c>
      <c r="E154" s="1">
        <v>2018</v>
      </c>
      <c r="F154" s="2">
        <v>43404</v>
      </c>
      <c r="G154" s="2">
        <v>44498</v>
      </c>
      <c r="H154" s="2">
        <v>44419</v>
      </c>
      <c r="I154" s="1">
        <v>2021</v>
      </c>
      <c r="J154" s="2">
        <v>44419</v>
      </c>
      <c r="K154" s="1">
        <f>YEAR(Tableau13[[#This Row],[Date de déclaration]])</f>
        <v>2021</v>
      </c>
      <c r="L154" s="4">
        <v>50950.15</v>
      </c>
      <c r="M154" s="15">
        <f>Tableau13[[#This Row],[Année de déclaration]]-Tableau13[[#This Row],[Année de sinistre]]</f>
        <v>0</v>
      </c>
    </row>
    <row r="155" spans="1:13" x14ac:dyDescent="0.3">
      <c r="A155" s="1" t="s">
        <v>166</v>
      </c>
      <c r="B155" s="1" t="s">
        <v>13</v>
      </c>
      <c r="C155" s="1">
        <v>5362</v>
      </c>
      <c r="D155" s="2">
        <v>43579</v>
      </c>
      <c r="E155" s="1">
        <v>2019</v>
      </c>
      <c r="F155" s="2">
        <v>43584</v>
      </c>
      <c r="G155" s="2">
        <v>53438</v>
      </c>
      <c r="H155" s="2">
        <v>44676</v>
      </c>
      <c r="I155" s="1">
        <v>2022</v>
      </c>
      <c r="J155" s="2">
        <v>44726</v>
      </c>
      <c r="K155" s="1">
        <f>YEAR(Tableau13[[#This Row],[Date de déclaration]])</f>
        <v>2022</v>
      </c>
      <c r="L155" s="4">
        <v>5162536.9400000004</v>
      </c>
      <c r="M155" s="15">
        <f>Tableau13[[#This Row],[Année de déclaration]]-Tableau13[[#This Row],[Année de sinistre]]</f>
        <v>0</v>
      </c>
    </row>
    <row r="156" spans="1:13" x14ac:dyDescent="0.3">
      <c r="A156" s="1" t="s">
        <v>167</v>
      </c>
      <c r="B156" s="1" t="s">
        <v>16</v>
      </c>
      <c r="C156" s="1">
        <v>894</v>
      </c>
      <c r="D156" s="2">
        <v>43262</v>
      </c>
      <c r="E156" s="1">
        <v>2018</v>
      </c>
      <c r="F156" s="2">
        <v>43262</v>
      </c>
      <c r="G156" s="2">
        <v>45087</v>
      </c>
      <c r="H156" s="2">
        <v>44142</v>
      </c>
      <c r="I156" s="1">
        <v>2020</v>
      </c>
      <c r="J156" s="2">
        <v>44142</v>
      </c>
      <c r="K156" s="1">
        <f>YEAR(Tableau13[[#This Row],[Date de déclaration]])</f>
        <v>2020</v>
      </c>
      <c r="L156" s="4">
        <v>1060540.43</v>
      </c>
      <c r="M156" s="15">
        <f>Tableau13[[#This Row],[Année de déclaration]]-Tableau13[[#This Row],[Année de sinistre]]</f>
        <v>0</v>
      </c>
    </row>
    <row r="157" spans="1:13" x14ac:dyDescent="0.3">
      <c r="A157" s="1" t="s">
        <v>168</v>
      </c>
      <c r="B157" s="1" t="s">
        <v>13</v>
      </c>
      <c r="C157" s="1">
        <v>12567</v>
      </c>
      <c r="D157" s="2">
        <v>44287</v>
      </c>
      <c r="E157" s="1">
        <v>2021</v>
      </c>
      <c r="F157" s="2">
        <v>44291</v>
      </c>
      <c r="G157" s="2">
        <v>56342</v>
      </c>
      <c r="H157" s="2">
        <v>44415</v>
      </c>
      <c r="I157" s="1">
        <v>2021</v>
      </c>
      <c r="J157" s="2">
        <v>44726</v>
      </c>
      <c r="K157" s="1">
        <f>YEAR(Tableau13[[#This Row],[Date de déclaration]])</f>
        <v>2022</v>
      </c>
      <c r="L157" s="4">
        <v>1408143.2</v>
      </c>
      <c r="M157" s="15">
        <f>Tableau13[[#This Row],[Année de déclaration]]-Tableau13[[#This Row],[Année de sinistre]]</f>
        <v>1</v>
      </c>
    </row>
    <row r="158" spans="1:13" x14ac:dyDescent="0.3">
      <c r="A158" s="1" t="s">
        <v>169</v>
      </c>
      <c r="B158" s="1" t="s">
        <v>16</v>
      </c>
      <c r="C158" s="1">
        <v>1643</v>
      </c>
      <c r="D158" s="2">
        <v>43422</v>
      </c>
      <c r="E158" s="1">
        <v>2018</v>
      </c>
      <c r="F158" s="2">
        <v>43370</v>
      </c>
      <c r="G158" s="2">
        <v>45194</v>
      </c>
      <c r="H158" s="2">
        <v>44691</v>
      </c>
      <c r="I158" s="1">
        <v>2022</v>
      </c>
      <c r="J158" s="2">
        <v>44854</v>
      </c>
      <c r="K158" s="1">
        <f>YEAR(Tableau13[[#This Row],[Date de déclaration]])</f>
        <v>2022</v>
      </c>
      <c r="L158" s="4">
        <v>394347.5877192982</v>
      </c>
      <c r="M158" s="15">
        <f>Tableau13[[#This Row],[Année de déclaration]]-Tableau13[[#This Row],[Année de sinistre]]</f>
        <v>0</v>
      </c>
    </row>
    <row r="159" spans="1:13" x14ac:dyDescent="0.3">
      <c r="A159" s="1" t="s">
        <v>170</v>
      </c>
      <c r="B159" s="1" t="s">
        <v>13</v>
      </c>
      <c r="C159" s="1">
        <v>5124</v>
      </c>
      <c r="D159" s="2">
        <v>43558</v>
      </c>
      <c r="E159" s="1">
        <v>2019</v>
      </c>
      <c r="F159" s="2">
        <v>43402</v>
      </c>
      <c r="G159" s="2">
        <v>47051</v>
      </c>
      <c r="H159" s="2">
        <v>44745</v>
      </c>
      <c r="I159" s="1">
        <v>2022</v>
      </c>
      <c r="J159" s="2">
        <v>44745</v>
      </c>
      <c r="K159" s="1">
        <f>YEAR(Tableau13[[#This Row],[Date de déclaration]])</f>
        <v>2022</v>
      </c>
      <c r="L159" s="4">
        <v>987313.54</v>
      </c>
      <c r="M159" s="15">
        <f>Tableau13[[#This Row],[Année de déclaration]]-Tableau13[[#This Row],[Année de sinistre]]</f>
        <v>0</v>
      </c>
    </row>
    <row r="160" spans="1:13" x14ac:dyDescent="0.3">
      <c r="A160" s="1" t="s">
        <v>171</v>
      </c>
      <c r="B160" s="1" t="s">
        <v>13</v>
      </c>
      <c r="C160" s="1">
        <v>4253</v>
      </c>
      <c r="D160" s="2">
        <v>43475</v>
      </c>
      <c r="E160" s="1">
        <v>2019</v>
      </c>
      <c r="F160" s="2">
        <v>43475</v>
      </c>
      <c r="G160" s="2">
        <v>45662</v>
      </c>
      <c r="H160" s="2">
        <v>44762</v>
      </c>
      <c r="I160" s="1">
        <v>2022</v>
      </c>
      <c r="J160" s="2">
        <v>44762</v>
      </c>
      <c r="K160" s="1">
        <f>YEAR(Tableau13[[#This Row],[Date de déclaration]])</f>
        <v>2022</v>
      </c>
      <c r="L160" s="4">
        <v>3593675.56</v>
      </c>
      <c r="M160" s="15">
        <f>Tableau13[[#This Row],[Année de déclaration]]-Tableau13[[#This Row],[Année de sinistre]]</f>
        <v>0</v>
      </c>
    </row>
    <row r="161" spans="1:13" x14ac:dyDescent="0.3">
      <c r="A161" s="1" t="s">
        <v>172</v>
      </c>
      <c r="B161" s="1" t="s">
        <v>13</v>
      </c>
      <c r="C161" s="1">
        <v>14372</v>
      </c>
      <c r="D161" s="2">
        <v>44417</v>
      </c>
      <c r="E161" s="1">
        <v>2021</v>
      </c>
      <c r="F161" s="2">
        <v>44419</v>
      </c>
      <c r="G161" s="2">
        <v>49166</v>
      </c>
      <c r="H161" s="2">
        <v>44780</v>
      </c>
      <c r="I161" s="1">
        <v>2022</v>
      </c>
      <c r="J161" s="2">
        <v>44794</v>
      </c>
      <c r="K161" s="1">
        <f>YEAR(Tableau13[[#This Row],[Date de déclaration]])</f>
        <v>2022</v>
      </c>
      <c r="L161" s="4">
        <v>8268369.4199999999</v>
      </c>
      <c r="M161" s="15">
        <f>Tableau13[[#This Row],[Année de déclaration]]-Tableau13[[#This Row],[Année de sinistre]]</f>
        <v>0</v>
      </c>
    </row>
    <row r="162" spans="1:13" x14ac:dyDescent="0.3">
      <c r="A162" s="1" t="s">
        <v>173</v>
      </c>
      <c r="B162" s="1" t="s">
        <v>16</v>
      </c>
      <c r="C162" s="1">
        <v>9658</v>
      </c>
      <c r="D162" s="2">
        <v>43895</v>
      </c>
      <c r="E162" s="1">
        <v>2020</v>
      </c>
      <c r="F162" s="2">
        <v>43898</v>
      </c>
      <c r="G162" s="2">
        <v>44992</v>
      </c>
      <c r="H162" s="2">
        <v>44771</v>
      </c>
      <c r="I162" s="1">
        <v>2022</v>
      </c>
      <c r="J162" s="2">
        <v>45019</v>
      </c>
      <c r="K162" s="1">
        <f>YEAR(Tableau13[[#This Row],[Date de déclaration]])</f>
        <v>2023</v>
      </c>
      <c r="L162" s="4">
        <v>37372.029250457032</v>
      </c>
      <c r="M162" s="15">
        <f>Tableau13[[#This Row],[Année de déclaration]]-Tableau13[[#This Row],[Année de sinistre]]</f>
        <v>1</v>
      </c>
    </row>
    <row r="163" spans="1:13" x14ac:dyDescent="0.3">
      <c r="A163" s="1" t="s">
        <v>174</v>
      </c>
      <c r="B163" s="1" t="s">
        <v>16</v>
      </c>
      <c r="C163" s="1">
        <v>11609</v>
      </c>
      <c r="D163" s="2">
        <v>44244</v>
      </c>
      <c r="E163" s="1">
        <v>2021</v>
      </c>
      <c r="F163" s="2">
        <v>44244</v>
      </c>
      <c r="G163" s="2">
        <v>45338</v>
      </c>
      <c r="H163" s="2">
        <v>44722</v>
      </c>
      <c r="I163" s="1">
        <v>2022</v>
      </c>
      <c r="J163" s="2">
        <v>44722</v>
      </c>
      <c r="K163" s="1">
        <f>YEAR(Tableau13[[#This Row],[Date de déclaration]])</f>
        <v>2022</v>
      </c>
      <c r="L163" s="4">
        <v>380914.2138939671</v>
      </c>
      <c r="M163" s="15">
        <f>Tableau13[[#This Row],[Année de déclaration]]-Tableau13[[#This Row],[Année de sinistre]]</f>
        <v>0</v>
      </c>
    </row>
    <row r="164" spans="1:13" x14ac:dyDescent="0.3">
      <c r="A164" s="1" t="s">
        <v>175</v>
      </c>
      <c r="B164" s="1" t="s">
        <v>16</v>
      </c>
      <c r="C164" s="1">
        <v>13534</v>
      </c>
      <c r="D164" s="2">
        <v>44434</v>
      </c>
      <c r="E164" s="1">
        <v>2021</v>
      </c>
      <c r="F164" s="2">
        <v>44434</v>
      </c>
      <c r="G164" s="2">
        <v>45529</v>
      </c>
      <c r="H164" s="2">
        <v>44653</v>
      </c>
      <c r="I164" s="1">
        <v>2022</v>
      </c>
      <c r="J164" s="2">
        <v>44811</v>
      </c>
      <c r="K164" s="1">
        <f>YEAR(Tableau13[[#This Row],[Date de déclaration]])</f>
        <v>2022</v>
      </c>
      <c r="L164" s="4">
        <v>258310.6</v>
      </c>
      <c r="M164" s="15">
        <f>Tableau13[[#This Row],[Année de déclaration]]-Tableau13[[#This Row],[Année de sinistre]]</f>
        <v>0</v>
      </c>
    </row>
    <row r="165" spans="1:13" x14ac:dyDescent="0.3">
      <c r="A165" s="1" t="s">
        <v>176</v>
      </c>
      <c r="B165" s="1" t="s">
        <v>13</v>
      </c>
      <c r="C165" s="1">
        <v>230</v>
      </c>
      <c r="D165" s="2">
        <v>42885</v>
      </c>
      <c r="E165" s="1">
        <v>2017</v>
      </c>
      <c r="F165" s="2">
        <v>42880</v>
      </c>
      <c r="G165" s="2">
        <v>46166</v>
      </c>
      <c r="H165" s="2">
        <v>44778</v>
      </c>
      <c r="I165" s="1">
        <v>2022</v>
      </c>
      <c r="J165" s="2">
        <v>44791</v>
      </c>
      <c r="K165" s="1">
        <f>YEAR(Tableau13[[#This Row],[Date de déclaration]])</f>
        <v>2022</v>
      </c>
      <c r="L165" s="4">
        <v>1010236.99</v>
      </c>
      <c r="M165" s="15">
        <f>Tableau13[[#This Row],[Année de déclaration]]-Tableau13[[#This Row],[Année de sinistre]]</f>
        <v>0</v>
      </c>
    </row>
    <row r="166" spans="1:13" x14ac:dyDescent="0.3">
      <c r="A166" s="1" t="s">
        <v>177</v>
      </c>
      <c r="B166" s="1" t="s">
        <v>13</v>
      </c>
      <c r="C166" s="1">
        <v>16145</v>
      </c>
      <c r="D166" s="2">
        <v>44545</v>
      </c>
      <c r="E166" s="1">
        <v>2021</v>
      </c>
      <c r="F166" s="2">
        <v>44549</v>
      </c>
      <c r="G166" s="2">
        <v>48566</v>
      </c>
      <c r="H166" s="2">
        <v>44802</v>
      </c>
      <c r="I166" s="1">
        <v>2022</v>
      </c>
      <c r="J166" s="2">
        <v>44802</v>
      </c>
      <c r="K166" s="1">
        <f>YEAR(Tableau13[[#This Row],[Date de déclaration]])</f>
        <v>2022</v>
      </c>
      <c r="L166" s="4">
        <v>10674410.99</v>
      </c>
      <c r="M166" s="15">
        <f>Tableau13[[#This Row],[Année de déclaration]]-Tableau13[[#This Row],[Année de sinistre]]</f>
        <v>0</v>
      </c>
    </row>
    <row r="167" spans="1:13" x14ac:dyDescent="0.3">
      <c r="A167" s="1" t="s">
        <v>178</v>
      </c>
      <c r="B167" s="1" t="s">
        <v>13</v>
      </c>
      <c r="C167" s="1">
        <v>8829</v>
      </c>
      <c r="D167" s="2">
        <v>43998</v>
      </c>
      <c r="E167" s="1">
        <v>2020</v>
      </c>
      <c r="F167" s="2">
        <v>44003</v>
      </c>
      <c r="G167" s="2">
        <v>56785</v>
      </c>
      <c r="H167" s="2">
        <v>44789</v>
      </c>
      <c r="I167" s="1">
        <v>2022</v>
      </c>
      <c r="J167" s="2">
        <v>44810</v>
      </c>
      <c r="K167" s="1">
        <f>YEAR(Tableau13[[#This Row],[Date de déclaration]])</f>
        <v>2022</v>
      </c>
      <c r="L167" s="4">
        <v>1153134.2</v>
      </c>
      <c r="M167" s="15">
        <f>Tableau13[[#This Row],[Année de déclaration]]-Tableau13[[#This Row],[Année de sinistre]]</f>
        <v>0</v>
      </c>
    </row>
    <row r="168" spans="1:13" x14ac:dyDescent="0.3">
      <c r="A168" s="1" t="s">
        <v>179</v>
      </c>
      <c r="B168" s="1" t="s">
        <v>13</v>
      </c>
      <c r="C168" s="1">
        <v>1207</v>
      </c>
      <c r="D168" s="2">
        <v>43066</v>
      </c>
      <c r="E168" s="1">
        <v>2017</v>
      </c>
      <c r="F168" s="2">
        <v>43066</v>
      </c>
      <c r="G168" s="2">
        <v>52928</v>
      </c>
      <c r="H168" s="2">
        <v>44787</v>
      </c>
      <c r="I168" s="1">
        <v>2022</v>
      </c>
      <c r="J168" s="2">
        <v>44787</v>
      </c>
      <c r="K168" s="1">
        <f>YEAR(Tableau13[[#This Row],[Date de déclaration]])</f>
        <v>2022</v>
      </c>
      <c r="L168" s="4">
        <v>4927319.5599999996</v>
      </c>
      <c r="M168" s="15">
        <f>Tableau13[[#This Row],[Année de déclaration]]-Tableau13[[#This Row],[Année de sinistre]]</f>
        <v>0</v>
      </c>
    </row>
    <row r="169" spans="1:13" x14ac:dyDescent="0.3">
      <c r="A169" s="1" t="s">
        <v>180</v>
      </c>
      <c r="B169" s="1" t="s">
        <v>13</v>
      </c>
      <c r="C169" s="1">
        <v>3376</v>
      </c>
      <c r="D169" s="2">
        <v>43381</v>
      </c>
      <c r="E169" s="1">
        <v>2018</v>
      </c>
      <c r="F169" s="2">
        <v>43381</v>
      </c>
      <c r="G169" s="2">
        <v>55060</v>
      </c>
      <c r="H169" s="2">
        <v>44808</v>
      </c>
      <c r="I169" s="1">
        <v>2022</v>
      </c>
      <c r="J169" s="2">
        <v>45277</v>
      </c>
      <c r="K169" s="1">
        <f>YEAR(Tableau13[[#This Row],[Date de déclaration]])</f>
        <v>2023</v>
      </c>
      <c r="L169" s="4">
        <v>6305104.54</v>
      </c>
      <c r="M169" s="15">
        <f>Tableau13[[#This Row],[Année de déclaration]]-Tableau13[[#This Row],[Année de sinistre]]</f>
        <v>1</v>
      </c>
    </row>
    <row r="170" spans="1:13" x14ac:dyDescent="0.3">
      <c r="A170" s="1" t="s">
        <v>181</v>
      </c>
      <c r="B170" s="1" t="s">
        <v>13</v>
      </c>
      <c r="C170" s="1">
        <v>16153</v>
      </c>
      <c r="D170" s="2">
        <v>44545</v>
      </c>
      <c r="E170" s="1">
        <v>2021</v>
      </c>
      <c r="F170" s="2">
        <v>44546</v>
      </c>
      <c r="G170" s="2">
        <v>47832</v>
      </c>
      <c r="H170" s="2">
        <v>44826</v>
      </c>
      <c r="I170" s="1">
        <v>2022</v>
      </c>
      <c r="J170" s="2">
        <v>44832</v>
      </c>
      <c r="K170" s="1">
        <f>YEAR(Tableau13[[#This Row],[Date de déclaration]])</f>
        <v>2022</v>
      </c>
      <c r="L170" s="4">
        <v>4575798.28</v>
      </c>
      <c r="M170" s="15">
        <f>Tableau13[[#This Row],[Année de déclaration]]-Tableau13[[#This Row],[Année de sinistre]]</f>
        <v>0</v>
      </c>
    </row>
    <row r="171" spans="1:13" x14ac:dyDescent="0.3">
      <c r="A171" s="1" t="s">
        <v>182</v>
      </c>
      <c r="B171" s="1" t="s">
        <v>13</v>
      </c>
      <c r="C171" s="1">
        <v>1952</v>
      </c>
      <c r="D171" s="2">
        <v>43185</v>
      </c>
      <c r="E171" s="1">
        <v>2018</v>
      </c>
      <c r="F171" s="2">
        <v>43008</v>
      </c>
      <c r="G171" s="2">
        <v>45198</v>
      </c>
      <c r="H171" s="2">
        <v>44820</v>
      </c>
      <c r="I171" s="1">
        <v>2022</v>
      </c>
      <c r="J171" s="2">
        <v>44820</v>
      </c>
      <c r="K171" s="1">
        <f>YEAR(Tableau13[[#This Row],[Date de déclaration]])</f>
        <v>2022</v>
      </c>
      <c r="L171" s="4">
        <v>162090.81</v>
      </c>
      <c r="M171" s="15">
        <f>Tableau13[[#This Row],[Année de déclaration]]-Tableau13[[#This Row],[Année de sinistre]]</f>
        <v>0</v>
      </c>
    </row>
    <row r="172" spans="1:13" x14ac:dyDescent="0.3">
      <c r="A172" s="1" t="s">
        <v>183</v>
      </c>
      <c r="B172" s="1" t="s">
        <v>13</v>
      </c>
      <c r="C172" s="1">
        <v>3578</v>
      </c>
      <c r="D172" s="2">
        <v>43343</v>
      </c>
      <c r="E172" s="1">
        <v>2018</v>
      </c>
      <c r="F172" s="2">
        <v>43434</v>
      </c>
      <c r="G172" s="2">
        <v>50003</v>
      </c>
      <c r="H172" s="2">
        <v>44222</v>
      </c>
      <c r="I172" s="1">
        <v>2021</v>
      </c>
      <c r="J172" s="2">
        <v>44865</v>
      </c>
      <c r="K172" s="1">
        <f>YEAR(Tableau13[[#This Row],[Date de déclaration]])</f>
        <v>2022</v>
      </c>
      <c r="L172" s="4">
        <v>947235.63010960573</v>
      </c>
      <c r="M172" s="15">
        <f>Tableau13[[#This Row],[Année de déclaration]]-Tableau13[[#This Row],[Année de sinistre]]</f>
        <v>1</v>
      </c>
    </row>
    <row r="173" spans="1:13" x14ac:dyDescent="0.3">
      <c r="A173" s="1" t="s">
        <v>184</v>
      </c>
      <c r="B173" s="1" t="s">
        <v>16</v>
      </c>
      <c r="C173" s="1">
        <v>15602</v>
      </c>
      <c r="D173" s="2">
        <v>44616</v>
      </c>
      <c r="E173" s="1">
        <v>2022</v>
      </c>
      <c r="F173" s="2">
        <v>44620</v>
      </c>
      <c r="G173" s="2">
        <v>42062</v>
      </c>
      <c r="H173" s="2">
        <v>44860</v>
      </c>
      <c r="I173" s="1">
        <v>2022</v>
      </c>
      <c r="J173" s="2">
        <v>44860</v>
      </c>
      <c r="K173" s="1">
        <f>YEAR(Tableau13[[#This Row],[Date de déclaration]])</f>
        <v>2022</v>
      </c>
      <c r="L173" s="4">
        <v>343508.65</v>
      </c>
      <c r="M173" s="15">
        <f>Tableau13[[#This Row],[Année de déclaration]]-Tableau13[[#This Row],[Année de sinistre]]</f>
        <v>0</v>
      </c>
    </row>
    <row r="174" spans="1:13" x14ac:dyDescent="0.3">
      <c r="A174" s="1" t="s">
        <v>185</v>
      </c>
      <c r="B174" s="1" t="s">
        <v>186</v>
      </c>
      <c r="C174" s="1">
        <v>584</v>
      </c>
      <c r="D174" s="2">
        <v>44763</v>
      </c>
      <c r="E174" s="1">
        <v>2022</v>
      </c>
      <c r="F174" s="2">
        <v>44763</v>
      </c>
      <c r="G174" s="2">
        <v>45127</v>
      </c>
      <c r="H174" s="2">
        <v>44775</v>
      </c>
      <c r="I174" s="1">
        <v>2022</v>
      </c>
      <c r="J174" s="2">
        <v>44775</v>
      </c>
      <c r="K174" s="1">
        <f>YEAR(Tableau13[[#This Row],[Date de déclaration]])</f>
        <v>2022</v>
      </c>
      <c r="L174" s="4">
        <v>1000000</v>
      </c>
      <c r="M174" s="15">
        <f>Tableau13[[#This Row],[Année de déclaration]]-Tableau13[[#This Row],[Année de sinistre]]</f>
        <v>0</v>
      </c>
    </row>
    <row r="175" spans="1:13" x14ac:dyDescent="0.3">
      <c r="A175" s="1" t="s">
        <v>187</v>
      </c>
      <c r="B175" s="1" t="s">
        <v>13</v>
      </c>
      <c r="C175" s="1">
        <v>1931</v>
      </c>
      <c r="D175" s="2">
        <v>44642</v>
      </c>
      <c r="E175" s="1">
        <v>2022</v>
      </c>
      <c r="F175" s="2">
        <v>44642</v>
      </c>
      <c r="G175" s="2">
        <v>50120</v>
      </c>
      <c r="H175" s="2">
        <v>44878</v>
      </c>
      <c r="I175" s="1">
        <v>2022</v>
      </c>
      <c r="J175" s="7">
        <v>45191</v>
      </c>
      <c r="K175" s="1">
        <f>YEAR(Tableau13[[#This Row],[Date de déclaration]])</f>
        <v>2023</v>
      </c>
      <c r="L175" s="4">
        <v>1430089.7516611903</v>
      </c>
      <c r="M175" s="15">
        <f>Tableau13[[#This Row],[Année de déclaration]]-Tableau13[[#This Row],[Année de sinistre]]</f>
        <v>1</v>
      </c>
    </row>
    <row r="176" spans="1:13" x14ac:dyDescent="0.3">
      <c r="A176" s="1" t="s">
        <v>188</v>
      </c>
      <c r="B176" s="1" t="s">
        <v>16</v>
      </c>
      <c r="C176" s="1">
        <v>66390</v>
      </c>
      <c r="D176" s="2">
        <v>44039</v>
      </c>
      <c r="E176" s="1">
        <v>2020</v>
      </c>
      <c r="F176" s="2">
        <v>44039</v>
      </c>
      <c r="G176" s="2">
        <v>45133</v>
      </c>
      <c r="H176" s="2">
        <v>44850</v>
      </c>
      <c r="I176" s="1">
        <v>2022</v>
      </c>
      <c r="J176" s="2">
        <v>44894</v>
      </c>
      <c r="K176" s="1">
        <f>YEAR(Tableau13[[#This Row],[Date de déclaration]])</f>
        <v>2022</v>
      </c>
      <c r="L176" s="4">
        <v>179782.03</v>
      </c>
      <c r="M176" s="15">
        <f>Tableau13[[#This Row],[Année de déclaration]]-Tableau13[[#This Row],[Année de sinistre]]</f>
        <v>0</v>
      </c>
    </row>
    <row r="177" spans="1:13" x14ac:dyDescent="0.3">
      <c r="A177" s="1" t="s">
        <v>189</v>
      </c>
      <c r="B177" s="1" t="s">
        <v>13</v>
      </c>
      <c r="C177" s="1">
        <v>16952</v>
      </c>
      <c r="D177" s="2">
        <v>44599</v>
      </c>
      <c r="E177" s="1">
        <v>2022</v>
      </c>
      <c r="F177" s="2">
        <v>44599</v>
      </c>
      <c r="G177" s="2">
        <v>48981</v>
      </c>
      <c r="H177" s="2">
        <v>44865</v>
      </c>
      <c r="I177" s="1">
        <v>2022</v>
      </c>
      <c r="J177" s="2">
        <v>44909</v>
      </c>
      <c r="K177" s="1">
        <f>YEAR(Tableau13[[#This Row],[Date de déclaration]])</f>
        <v>2022</v>
      </c>
      <c r="L177" s="4">
        <v>689938.86</v>
      </c>
      <c r="M177" s="15">
        <f>Tableau13[[#This Row],[Année de déclaration]]-Tableau13[[#This Row],[Année de sinistre]]</f>
        <v>0</v>
      </c>
    </row>
    <row r="178" spans="1:13" x14ac:dyDescent="0.3">
      <c r="A178" s="1" t="s">
        <v>190</v>
      </c>
      <c r="B178" s="1" t="s">
        <v>13</v>
      </c>
      <c r="C178" s="1">
        <v>1684</v>
      </c>
      <c r="D178" s="2">
        <v>43137</v>
      </c>
      <c r="E178" s="1">
        <v>2018</v>
      </c>
      <c r="F178" s="2">
        <v>43138</v>
      </c>
      <c r="G178" s="2">
        <v>52268</v>
      </c>
      <c r="H178" s="2">
        <v>44825</v>
      </c>
      <c r="I178" s="1">
        <v>2022</v>
      </c>
      <c r="J178" s="2">
        <v>44902</v>
      </c>
      <c r="K178" s="1">
        <f>YEAR(Tableau13[[#This Row],[Date de déclaration]])</f>
        <v>2022</v>
      </c>
      <c r="L178" s="4">
        <v>1608275.71</v>
      </c>
      <c r="M178" s="15">
        <f>Tableau13[[#This Row],[Année de déclaration]]-Tableau13[[#This Row],[Année de sinistre]]</f>
        <v>0</v>
      </c>
    </row>
    <row r="179" spans="1:13" x14ac:dyDescent="0.3">
      <c r="A179" s="1" t="s">
        <v>191</v>
      </c>
      <c r="B179" s="1" t="s">
        <v>16</v>
      </c>
      <c r="C179" s="1">
        <v>16984</v>
      </c>
      <c r="D179" s="2">
        <v>44719</v>
      </c>
      <c r="E179" s="1">
        <v>2022</v>
      </c>
      <c r="F179" s="2">
        <v>44719</v>
      </c>
      <c r="G179" s="2">
        <v>45449</v>
      </c>
      <c r="H179" s="2">
        <v>44795</v>
      </c>
      <c r="I179" s="1">
        <v>2022</v>
      </c>
      <c r="J179" s="2">
        <v>44913</v>
      </c>
      <c r="K179" s="1">
        <f>YEAR(Tableau13[[#This Row],[Date de déclaration]])</f>
        <v>2022</v>
      </c>
      <c r="L179" s="4">
        <v>385000</v>
      </c>
      <c r="M179" s="15">
        <f>Tableau13[[#This Row],[Année de déclaration]]-Tableau13[[#This Row],[Année de sinistre]]</f>
        <v>0</v>
      </c>
    </row>
    <row r="180" spans="1:13" x14ac:dyDescent="0.3">
      <c r="A180" s="1" t="s">
        <v>192</v>
      </c>
      <c r="B180" s="1" t="s">
        <v>13</v>
      </c>
      <c r="C180" s="1">
        <v>16677</v>
      </c>
      <c r="D180" s="2">
        <v>44579</v>
      </c>
      <c r="E180" s="1">
        <v>2022</v>
      </c>
      <c r="F180" s="2">
        <v>43118</v>
      </c>
      <c r="G180" s="2">
        <v>48961</v>
      </c>
      <c r="H180" s="2">
        <v>44841</v>
      </c>
      <c r="I180" s="1">
        <v>2022</v>
      </c>
      <c r="J180" s="6">
        <v>45818</v>
      </c>
      <c r="K180" s="1">
        <f>YEAR(Tableau13[[#This Row],[Date de déclaration]])</f>
        <v>2025</v>
      </c>
      <c r="L180" s="4">
        <v>1609695.3523874723</v>
      </c>
      <c r="M180" s="15">
        <f>Tableau13[[#This Row],[Année de déclaration]]-Tableau13[[#This Row],[Année de sinistre]]</f>
        <v>3</v>
      </c>
    </row>
    <row r="181" spans="1:13" x14ac:dyDescent="0.3">
      <c r="A181" s="1" t="s">
        <v>193</v>
      </c>
      <c r="B181" s="1" t="s">
        <v>16</v>
      </c>
      <c r="C181" s="1">
        <v>14821</v>
      </c>
      <c r="D181" s="2">
        <v>44545</v>
      </c>
      <c r="E181" s="1">
        <v>2021</v>
      </c>
      <c r="F181" s="2">
        <v>44545</v>
      </c>
      <c r="G181" s="2">
        <v>45368</v>
      </c>
      <c r="H181" s="2">
        <v>44875</v>
      </c>
      <c r="I181" s="1">
        <v>2022</v>
      </c>
      <c r="J181" s="2">
        <v>44899</v>
      </c>
      <c r="K181" s="1">
        <f>YEAR(Tableau13[[#This Row],[Date de déclaration]])</f>
        <v>2022</v>
      </c>
      <c r="L181" s="4">
        <v>356065.20656136092</v>
      </c>
      <c r="M181" s="15">
        <f>Tableau13[[#This Row],[Année de déclaration]]-Tableau13[[#This Row],[Année de sinistre]]</f>
        <v>0</v>
      </c>
    </row>
    <row r="182" spans="1:13" x14ac:dyDescent="0.3">
      <c r="A182" s="1" t="s">
        <v>194</v>
      </c>
      <c r="B182" s="1" t="s">
        <v>13</v>
      </c>
      <c r="C182" s="1">
        <v>14423</v>
      </c>
      <c r="D182" s="2">
        <v>44423</v>
      </c>
      <c r="E182" s="1">
        <v>2021</v>
      </c>
      <c r="F182" s="2">
        <v>44425</v>
      </c>
      <c r="G182" s="2">
        <v>45606</v>
      </c>
      <c r="H182" s="2">
        <v>44863</v>
      </c>
      <c r="I182" s="1">
        <v>2022</v>
      </c>
      <c r="J182" s="2">
        <v>45081</v>
      </c>
      <c r="K182" s="1">
        <f>YEAR(Tableau13[[#This Row],[Date de déclaration]])</f>
        <v>2023</v>
      </c>
      <c r="L182" s="4">
        <v>418216.5</v>
      </c>
      <c r="M182" s="15">
        <f>Tableau13[[#This Row],[Année de déclaration]]-Tableau13[[#This Row],[Année de sinistre]]</f>
        <v>1</v>
      </c>
    </row>
    <row r="183" spans="1:13" x14ac:dyDescent="0.3">
      <c r="A183" s="1" t="s">
        <v>195</v>
      </c>
      <c r="B183" s="1" t="s">
        <v>13</v>
      </c>
      <c r="C183" s="1">
        <v>13416</v>
      </c>
      <c r="D183" s="2">
        <v>44342</v>
      </c>
      <c r="E183" s="1">
        <v>2021</v>
      </c>
      <c r="F183" s="2">
        <v>44343</v>
      </c>
      <c r="G183" s="2">
        <v>52742</v>
      </c>
      <c r="H183" s="2">
        <v>44893</v>
      </c>
      <c r="I183" s="1">
        <v>2022</v>
      </c>
      <c r="J183" s="2">
        <v>44893</v>
      </c>
      <c r="K183" s="1">
        <f>YEAR(Tableau13[[#This Row],[Date de déclaration]])</f>
        <v>2022</v>
      </c>
      <c r="L183" s="4">
        <v>4511921.4800000004</v>
      </c>
      <c r="M183" s="15">
        <f>Tableau13[[#This Row],[Année de déclaration]]-Tableau13[[#This Row],[Année de sinistre]]</f>
        <v>0</v>
      </c>
    </row>
    <row r="184" spans="1:13" x14ac:dyDescent="0.3">
      <c r="A184" s="1" t="s">
        <v>196</v>
      </c>
      <c r="B184" s="1" t="s">
        <v>13</v>
      </c>
      <c r="C184" s="1">
        <v>160063</v>
      </c>
      <c r="D184" s="2">
        <v>44539</v>
      </c>
      <c r="E184" s="1">
        <v>2021</v>
      </c>
      <c r="F184" s="2">
        <v>44539</v>
      </c>
      <c r="G184" s="2">
        <v>47095</v>
      </c>
      <c r="H184" s="2">
        <v>44892</v>
      </c>
      <c r="I184" s="1">
        <v>2022</v>
      </c>
      <c r="J184" s="2">
        <v>44892</v>
      </c>
      <c r="K184" s="1">
        <f>YEAR(Tableau13[[#This Row],[Date de déclaration]])</f>
        <v>2022</v>
      </c>
      <c r="L184" s="4">
        <v>1392758.66</v>
      </c>
      <c r="M184" s="15">
        <f>Tableau13[[#This Row],[Année de déclaration]]-Tableau13[[#This Row],[Année de sinistre]]</f>
        <v>0</v>
      </c>
    </row>
    <row r="185" spans="1:13" x14ac:dyDescent="0.3">
      <c r="A185" s="1" t="s">
        <v>197</v>
      </c>
      <c r="B185" s="1" t="s">
        <v>13</v>
      </c>
      <c r="C185" s="1">
        <v>2486</v>
      </c>
      <c r="D185" s="2">
        <v>43257</v>
      </c>
      <c r="E185" s="1">
        <v>2018</v>
      </c>
      <c r="F185" s="2">
        <v>43265</v>
      </c>
      <c r="G185" s="2">
        <v>56413</v>
      </c>
      <c r="H185" s="2">
        <v>44462</v>
      </c>
      <c r="I185" s="1">
        <v>2021</v>
      </c>
      <c r="J185" s="2">
        <v>44739</v>
      </c>
      <c r="K185" s="1">
        <f>YEAR(Tableau13[[#This Row],[Date de déclaration]])</f>
        <v>2022</v>
      </c>
      <c r="L185" s="4">
        <v>1090751.4450867053</v>
      </c>
      <c r="M185" s="15">
        <f>Tableau13[[#This Row],[Année de déclaration]]-Tableau13[[#This Row],[Année de sinistre]]</f>
        <v>1</v>
      </c>
    </row>
    <row r="186" spans="1:13" x14ac:dyDescent="0.3">
      <c r="A186" s="1" t="s">
        <v>198</v>
      </c>
      <c r="B186" s="1" t="s">
        <v>16</v>
      </c>
      <c r="C186" s="1">
        <v>3342</v>
      </c>
      <c r="D186" s="2">
        <v>43615</v>
      </c>
      <c r="E186" s="1">
        <v>2019</v>
      </c>
      <c r="F186" s="2">
        <v>43618</v>
      </c>
      <c r="G186" s="2">
        <v>44712</v>
      </c>
      <c r="H186" s="2">
        <v>44558</v>
      </c>
      <c r="I186" s="1">
        <v>2021</v>
      </c>
      <c r="J186" s="2">
        <v>44931</v>
      </c>
      <c r="K186" s="1">
        <f>YEAR(Tableau13[[#This Row],[Date de déclaration]])</f>
        <v>2023</v>
      </c>
      <c r="L186" s="4">
        <v>60530.164533820847</v>
      </c>
      <c r="M186" s="15">
        <f>Tableau13[[#This Row],[Année de déclaration]]-Tableau13[[#This Row],[Année de sinistre]]</f>
        <v>2</v>
      </c>
    </row>
    <row r="187" spans="1:13" x14ac:dyDescent="0.3">
      <c r="A187" s="1" t="s">
        <v>199</v>
      </c>
      <c r="B187" s="1" t="s">
        <v>16</v>
      </c>
      <c r="C187" s="1">
        <v>15233</v>
      </c>
      <c r="D187" s="2">
        <v>44587</v>
      </c>
      <c r="E187" s="1">
        <v>2022</v>
      </c>
      <c r="F187" s="2">
        <v>46048</v>
      </c>
      <c r="G187" s="2">
        <v>45986</v>
      </c>
      <c r="H187" s="2">
        <v>44724</v>
      </c>
      <c r="I187" s="1">
        <v>2022</v>
      </c>
      <c r="J187" s="2">
        <v>44724</v>
      </c>
      <c r="K187" s="1">
        <f>YEAR(Tableau13[[#This Row],[Date de déclaration]])</f>
        <v>2022</v>
      </c>
      <c r="L187" s="4">
        <v>377160.66</v>
      </c>
      <c r="M187" s="15">
        <f>Tableau13[[#This Row],[Année de déclaration]]-Tableau13[[#This Row],[Année de sinistre]]</f>
        <v>0</v>
      </c>
    </row>
    <row r="188" spans="1:13" x14ac:dyDescent="0.3">
      <c r="A188" s="1" t="s">
        <v>200</v>
      </c>
      <c r="B188" s="1" t="s">
        <v>16</v>
      </c>
      <c r="C188" s="1">
        <v>20174</v>
      </c>
      <c r="D188" s="2">
        <v>44790</v>
      </c>
      <c r="E188" s="1">
        <v>2022</v>
      </c>
      <c r="F188" s="2">
        <v>44790</v>
      </c>
      <c r="G188" s="2">
        <v>44789</v>
      </c>
      <c r="H188" s="2">
        <v>44934</v>
      </c>
      <c r="I188" s="1">
        <v>2023</v>
      </c>
      <c r="J188" s="2">
        <v>44943</v>
      </c>
      <c r="K188" s="1">
        <f>YEAR(Tableau13[[#This Row],[Date de déclaration]])</f>
        <v>2023</v>
      </c>
      <c r="L188" s="4">
        <v>776510.19</v>
      </c>
      <c r="M188" s="15">
        <f>Tableau13[[#This Row],[Année de déclaration]]-Tableau13[[#This Row],[Année de sinistre]]</f>
        <v>0</v>
      </c>
    </row>
    <row r="189" spans="1:13" x14ac:dyDescent="0.3">
      <c r="A189" s="1" t="s">
        <v>201</v>
      </c>
      <c r="B189" s="1" t="s">
        <v>13</v>
      </c>
      <c r="C189" s="1">
        <v>4105</v>
      </c>
      <c r="D189" s="2">
        <v>43460</v>
      </c>
      <c r="E189" s="1">
        <v>2018</v>
      </c>
      <c r="F189" s="2">
        <v>43461</v>
      </c>
      <c r="G189" s="2">
        <v>47110</v>
      </c>
      <c r="H189" s="2">
        <v>44580</v>
      </c>
      <c r="I189" s="1">
        <v>2022</v>
      </c>
      <c r="J189" s="2">
        <v>44580</v>
      </c>
      <c r="K189" s="1">
        <f>YEAR(Tableau13[[#This Row],[Date de déclaration]])</f>
        <v>2022</v>
      </c>
      <c r="L189" s="4">
        <v>4637918.21</v>
      </c>
      <c r="M189" s="15">
        <f>Tableau13[[#This Row],[Année de déclaration]]-Tableau13[[#This Row],[Année de sinistre]]</f>
        <v>0</v>
      </c>
    </row>
    <row r="190" spans="1:13" x14ac:dyDescent="0.3">
      <c r="A190" s="1" t="s">
        <v>202</v>
      </c>
      <c r="B190" s="1" t="s">
        <v>13</v>
      </c>
      <c r="C190" s="1">
        <v>12198</v>
      </c>
      <c r="D190" s="2">
        <v>44269</v>
      </c>
      <c r="E190" s="1">
        <v>2021</v>
      </c>
      <c r="F190" s="2">
        <v>44269</v>
      </c>
      <c r="G190" s="2">
        <v>51572</v>
      </c>
      <c r="H190" s="2">
        <v>44915</v>
      </c>
      <c r="I190" s="1">
        <v>2022</v>
      </c>
      <c r="J190" s="2">
        <v>44950</v>
      </c>
      <c r="K190" s="1">
        <f>YEAR(Tableau13[[#This Row],[Date de déclaration]])</f>
        <v>2023</v>
      </c>
      <c r="L190" s="4">
        <v>4743571.9086580863</v>
      </c>
      <c r="M190" s="15">
        <f>Tableau13[[#This Row],[Année de déclaration]]-Tableau13[[#This Row],[Année de sinistre]]</f>
        <v>1</v>
      </c>
    </row>
    <row r="191" spans="1:13" x14ac:dyDescent="0.3">
      <c r="A191" s="1" t="s">
        <v>203</v>
      </c>
      <c r="B191" s="1" t="s">
        <v>13</v>
      </c>
      <c r="C191" s="1">
        <v>8672</v>
      </c>
      <c r="D191" s="2">
        <v>43979</v>
      </c>
      <c r="E191" s="1">
        <v>2020</v>
      </c>
      <c r="F191" s="2">
        <v>43982</v>
      </c>
      <c r="G191" s="2">
        <v>52746</v>
      </c>
      <c r="H191" s="2">
        <v>44948</v>
      </c>
      <c r="I191" s="1">
        <v>2023</v>
      </c>
      <c r="J191" s="2">
        <v>44958</v>
      </c>
      <c r="K191" s="1">
        <f>YEAR(Tableau13[[#This Row],[Date de déclaration]])</f>
        <v>2023</v>
      </c>
      <c r="L191" s="4">
        <v>2070330.08</v>
      </c>
      <c r="M191" s="15">
        <f>Tableau13[[#This Row],[Année de déclaration]]-Tableau13[[#This Row],[Année de sinistre]]</f>
        <v>0</v>
      </c>
    </row>
    <row r="192" spans="1:13" x14ac:dyDescent="0.3">
      <c r="A192" s="1" t="s">
        <v>204</v>
      </c>
      <c r="B192" s="1" t="s">
        <v>16</v>
      </c>
      <c r="C192" s="1">
        <v>10127</v>
      </c>
      <c r="D192" s="2">
        <v>44038</v>
      </c>
      <c r="E192" s="1">
        <v>2020</v>
      </c>
      <c r="F192" s="2">
        <v>44038</v>
      </c>
      <c r="G192" s="2">
        <v>45132</v>
      </c>
      <c r="H192" s="2">
        <v>44939</v>
      </c>
      <c r="I192" s="1">
        <v>2023</v>
      </c>
      <c r="J192" s="6">
        <v>45921</v>
      </c>
      <c r="K192" s="1">
        <f>YEAR(Tableau13[[#This Row],[Date de déclaration]])</f>
        <v>2025</v>
      </c>
      <c r="L192" s="4">
        <v>82828.904981718442</v>
      </c>
      <c r="M192" s="15">
        <f>Tableau13[[#This Row],[Année de déclaration]]-Tableau13[[#This Row],[Année de sinistre]]</f>
        <v>2</v>
      </c>
    </row>
    <row r="193" spans="1:13" x14ac:dyDescent="0.3">
      <c r="A193" s="1" t="s">
        <v>205</v>
      </c>
      <c r="B193" s="1" t="s">
        <v>13</v>
      </c>
      <c r="C193" s="1">
        <v>2628</v>
      </c>
      <c r="D193" s="2">
        <v>43275</v>
      </c>
      <c r="E193" s="1">
        <v>2018</v>
      </c>
      <c r="F193" s="2">
        <v>43205</v>
      </c>
      <c r="G193" s="2">
        <v>51240</v>
      </c>
      <c r="H193" s="2">
        <v>44887</v>
      </c>
      <c r="I193" s="1">
        <v>2022</v>
      </c>
      <c r="J193" s="2">
        <v>44962</v>
      </c>
      <c r="K193" s="1">
        <f>YEAR(Tableau13[[#This Row],[Date de déclaration]])</f>
        <v>2023</v>
      </c>
      <c r="L193" s="4">
        <v>814942.42500808963</v>
      </c>
      <c r="M193" s="15">
        <f>Tableau13[[#This Row],[Année de déclaration]]-Tableau13[[#This Row],[Année de sinistre]]</f>
        <v>1</v>
      </c>
    </row>
    <row r="194" spans="1:13" x14ac:dyDescent="0.3">
      <c r="A194" s="1" t="s">
        <v>206</v>
      </c>
      <c r="B194" s="1" t="s">
        <v>13</v>
      </c>
      <c r="C194" s="1">
        <v>8269</v>
      </c>
      <c r="D194" s="2">
        <v>44104</v>
      </c>
      <c r="E194" s="1">
        <f>YEAR(Tableau13[[#This Row],[Date de sous]])</f>
        <v>2020</v>
      </c>
      <c r="F194" s="2">
        <v>43899</v>
      </c>
      <c r="G194" s="2">
        <v>47185</v>
      </c>
      <c r="H194" s="2">
        <v>44818</v>
      </c>
      <c r="I194" s="1">
        <v>2022</v>
      </c>
      <c r="J194" s="2">
        <v>44964</v>
      </c>
      <c r="K194" s="1">
        <f>YEAR(Tableau13[[#This Row],[Date de déclaration]])</f>
        <v>2023</v>
      </c>
      <c r="L194" s="4">
        <v>2731029.89</v>
      </c>
      <c r="M194" s="15">
        <f>Tableau13[[#This Row],[Année de déclaration]]-Tableau13[[#This Row],[Année de sinistre]]</f>
        <v>1</v>
      </c>
    </row>
    <row r="195" spans="1:13" x14ac:dyDescent="0.3">
      <c r="A195" s="1" t="s">
        <v>207</v>
      </c>
      <c r="B195" s="1" t="s">
        <v>16</v>
      </c>
      <c r="C195" s="1">
        <v>12138</v>
      </c>
      <c r="D195" s="2">
        <v>44290</v>
      </c>
      <c r="E195" s="1">
        <v>2021</v>
      </c>
      <c r="F195" s="2">
        <v>44290</v>
      </c>
      <c r="G195" s="2">
        <v>45384</v>
      </c>
      <c r="H195" s="2">
        <v>44873</v>
      </c>
      <c r="I195" s="1">
        <v>2022</v>
      </c>
      <c r="J195" s="2">
        <v>44978</v>
      </c>
      <c r="K195" s="1">
        <f>YEAR(Tableau13[[#This Row],[Date de déclaration]])</f>
        <v>2023</v>
      </c>
      <c r="L195" s="4">
        <v>214473.48</v>
      </c>
      <c r="M195" s="15">
        <f>Tableau13[[#This Row],[Année de déclaration]]-Tableau13[[#This Row],[Année de sinistre]]</f>
        <v>1</v>
      </c>
    </row>
    <row r="196" spans="1:13" x14ac:dyDescent="0.3">
      <c r="A196" s="1" t="s">
        <v>208</v>
      </c>
      <c r="B196" s="1" t="s">
        <v>16</v>
      </c>
      <c r="C196" s="1">
        <v>17763</v>
      </c>
      <c r="D196" s="2">
        <v>44762</v>
      </c>
      <c r="E196" s="1">
        <v>2022</v>
      </c>
      <c r="F196" s="2">
        <v>44774</v>
      </c>
      <c r="G196" s="2">
        <v>44773</v>
      </c>
      <c r="H196" s="2">
        <v>44988</v>
      </c>
      <c r="I196" s="1">
        <v>2023</v>
      </c>
      <c r="J196" s="2">
        <v>44988</v>
      </c>
      <c r="K196" s="1">
        <f>YEAR(Tableau13[[#This Row],[Date de déclaration]])</f>
        <v>2023</v>
      </c>
      <c r="L196" s="4">
        <v>666600.48</v>
      </c>
      <c r="M196" s="15">
        <f>Tableau13[[#This Row],[Année de déclaration]]-Tableau13[[#This Row],[Année de sinistre]]</f>
        <v>0</v>
      </c>
    </row>
    <row r="197" spans="1:13" x14ac:dyDescent="0.3">
      <c r="A197" s="1" t="s">
        <v>209</v>
      </c>
      <c r="B197" s="1" t="s">
        <v>13</v>
      </c>
      <c r="C197" s="1">
        <v>4266</v>
      </c>
      <c r="D197" s="2">
        <v>43475</v>
      </c>
      <c r="E197" s="1">
        <v>2019</v>
      </c>
      <c r="F197" s="2">
        <v>43480</v>
      </c>
      <c r="G197" s="2">
        <v>47129</v>
      </c>
      <c r="H197" s="2">
        <v>44995</v>
      </c>
      <c r="I197" s="1">
        <v>2023</v>
      </c>
      <c r="J197" s="2">
        <v>45014</v>
      </c>
      <c r="K197" s="1">
        <f>YEAR(Tableau13[[#This Row],[Date de déclaration]])</f>
        <v>2023</v>
      </c>
      <c r="L197" s="4">
        <v>1101796.6566182515</v>
      </c>
      <c r="M197" s="15">
        <f>Tableau13[[#This Row],[Année de déclaration]]-Tableau13[[#This Row],[Année de sinistre]]</f>
        <v>0</v>
      </c>
    </row>
    <row r="198" spans="1:13" x14ac:dyDescent="0.3">
      <c r="A198" s="1" t="s">
        <v>210</v>
      </c>
      <c r="B198" s="1" t="s">
        <v>16</v>
      </c>
      <c r="C198" s="1">
        <v>10200</v>
      </c>
      <c r="D198" s="2">
        <v>44060</v>
      </c>
      <c r="E198" s="1">
        <v>2020</v>
      </c>
      <c r="F198" s="2">
        <v>44063</v>
      </c>
      <c r="G198" s="2">
        <v>45160</v>
      </c>
      <c r="H198" s="2">
        <v>44984</v>
      </c>
      <c r="I198" s="1">
        <v>2023</v>
      </c>
      <c r="J198" s="2">
        <v>45018</v>
      </c>
      <c r="K198" s="1">
        <f>YEAR(Tableau13[[#This Row],[Date de déclaration]])</f>
        <v>2023</v>
      </c>
      <c r="L198" s="4">
        <v>103371.19</v>
      </c>
      <c r="M198" s="15">
        <f>Tableau13[[#This Row],[Année de déclaration]]-Tableau13[[#This Row],[Année de sinistre]]</f>
        <v>0</v>
      </c>
    </row>
    <row r="199" spans="1:13" x14ac:dyDescent="0.3">
      <c r="A199" s="1" t="s">
        <v>211</v>
      </c>
      <c r="B199" s="1" t="s">
        <v>16</v>
      </c>
      <c r="C199" s="1">
        <v>14262</v>
      </c>
      <c r="D199" s="2">
        <v>44503</v>
      </c>
      <c r="E199" s="1">
        <v>2021</v>
      </c>
      <c r="F199" s="2">
        <v>44503</v>
      </c>
      <c r="G199" s="2">
        <v>45598</v>
      </c>
      <c r="H199" s="2">
        <v>44949</v>
      </c>
      <c r="I199" s="1">
        <v>2023</v>
      </c>
      <c r="J199" s="2">
        <v>45039</v>
      </c>
      <c r="K199" s="1">
        <f>YEAR(Tableau13[[#This Row],[Date de déclaration]])</f>
        <v>2023</v>
      </c>
      <c r="L199" s="4">
        <v>308200.91324200918</v>
      </c>
      <c r="M199" s="15">
        <f>Tableau13[[#This Row],[Année de déclaration]]-Tableau13[[#This Row],[Année de sinistre]]</f>
        <v>0</v>
      </c>
    </row>
    <row r="200" spans="1:13" x14ac:dyDescent="0.3">
      <c r="A200" s="1" t="s">
        <v>212</v>
      </c>
      <c r="B200" s="1" t="s">
        <v>13</v>
      </c>
      <c r="C200" s="1">
        <v>7881</v>
      </c>
      <c r="D200" s="2">
        <v>43859</v>
      </c>
      <c r="E200" s="1">
        <v>2020</v>
      </c>
      <c r="F200" s="2">
        <v>43861</v>
      </c>
      <c r="G200" s="2">
        <v>55547</v>
      </c>
      <c r="H200" s="2">
        <v>45015</v>
      </c>
      <c r="I200" s="1">
        <v>2023</v>
      </c>
      <c r="J200" s="2">
        <v>45062</v>
      </c>
      <c r="K200" s="1">
        <f>YEAR(Tableau13[[#This Row],[Date de déclaration]])</f>
        <v>2023</v>
      </c>
      <c r="L200" s="4">
        <v>3079614.6331713162</v>
      </c>
      <c r="M200" s="15">
        <f>Tableau13[[#This Row],[Année de déclaration]]-Tableau13[[#This Row],[Année de sinistre]]</f>
        <v>0</v>
      </c>
    </row>
    <row r="201" spans="1:13" x14ac:dyDescent="0.3">
      <c r="A201" s="1" t="s">
        <v>213</v>
      </c>
      <c r="B201" s="1" t="s">
        <v>13</v>
      </c>
      <c r="C201" s="1">
        <v>21258</v>
      </c>
      <c r="D201" s="2">
        <v>44860</v>
      </c>
      <c r="E201" s="1">
        <v>2022</v>
      </c>
      <c r="F201" s="2">
        <v>44860</v>
      </c>
      <c r="G201" s="2">
        <v>55451</v>
      </c>
      <c r="H201" s="2">
        <v>45025</v>
      </c>
      <c r="I201" s="1">
        <v>2023</v>
      </c>
      <c r="J201" s="2">
        <v>45036</v>
      </c>
      <c r="K201" s="1">
        <f>YEAR(Tableau13[[#This Row],[Date de déclaration]])</f>
        <v>2023</v>
      </c>
      <c r="L201" s="4">
        <v>10631743.933528468</v>
      </c>
      <c r="M201" s="15">
        <f>Tableau13[[#This Row],[Année de déclaration]]-Tableau13[[#This Row],[Année de sinistre]]</f>
        <v>0</v>
      </c>
    </row>
    <row r="202" spans="1:13" x14ac:dyDescent="0.3">
      <c r="A202" s="1" t="s">
        <v>214</v>
      </c>
      <c r="B202" s="1" t="s">
        <v>13</v>
      </c>
      <c r="C202" s="1">
        <v>11877</v>
      </c>
      <c r="D202" s="2">
        <v>44251</v>
      </c>
      <c r="E202" s="1">
        <v>2021</v>
      </c>
      <c r="F202" s="2">
        <v>44270</v>
      </c>
      <c r="G202" s="2">
        <v>49017</v>
      </c>
      <c r="H202" s="2">
        <v>44705</v>
      </c>
      <c r="I202" s="1">
        <v>2022</v>
      </c>
      <c r="J202" s="2">
        <v>45089</v>
      </c>
      <c r="K202" s="1">
        <f>YEAR(Tableau13[[#This Row],[Date de déclaration]])</f>
        <v>2023</v>
      </c>
      <c r="L202" s="4">
        <v>777227.08</v>
      </c>
      <c r="M202" s="15">
        <f>Tableau13[[#This Row],[Année de déclaration]]-Tableau13[[#This Row],[Année de sinistre]]</f>
        <v>1</v>
      </c>
    </row>
    <row r="203" spans="1:13" x14ac:dyDescent="0.3">
      <c r="A203" s="1" t="s">
        <v>215</v>
      </c>
      <c r="B203" s="1" t="s">
        <v>13</v>
      </c>
      <c r="C203" s="1">
        <v>23709</v>
      </c>
      <c r="D203" s="2">
        <v>44980</v>
      </c>
      <c r="E203" s="1">
        <v>2023</v>
      </c>
      <c r="F203" s="2">
        <v>44980</v>
      </c>
      <c r="G203" s="2">
        <v>46440</v>
      </c>
      <c r="H203" s="2">
        <v>45042</v>
      </c>
      <c r="I203" s="1">
        <v>2023</v>
      </c>
      <c r="J203" s="2">
        <v>45057</v>
      </c>
      <c r="K203" s="1">
        <f>YEAR(Tableau13[[#This Row],[Date de déclaration]])</f>
        <v>2023</v>
      </c>
      <c r="L203" s="4">
        <v>890506.84931506845</v>
      </c>
      <c r="M203" s="15">
        <f>Tableau13[[#This Row],[Année de déclaration]]-Tableau13[[#This Row],[Année de sinistre]]</f>
        <v>0</v>
      </c>
    </row>
    <row r="204" spans="1:13" x14ac:dyDescent="0.3">
      <c r="A204" s="1" t="s">
        <v>216</v>
      </c>
      <c r="B204" s="1" t="s">
        <v>13</v>
      </c>
      <c r="C204" s="1">
        <v>12474</v>
      </c>
      <c r="D204" s="2">
        <v>44278</v>
      </c>
      <c r="E204" s="1">
        <v>2021</v>
      </c>
      <c r="F204" s="2">
        <v>44284</v>
      </c>
      <c r="G204" s="2">
        <v>53773</v>
      </c>
      <c r="H204" s="2">
        <v>45061</v>
      </c>
      <c r="I204" s="1">
        <v>2023</v>
      </c>
      <c r="J204" s="2">
        <v>45062</v>
      </c>
      <c r="K204" s="1">
        <f>YEAR(Tableau13[[#This Row],[Date de déclaration]])</f>
        <v>2023</v>
      </c>
      <c r="L204" s="4">
        <v>2546910.0669238064</v>
      </c>
      <c r="M204" s="15">
        <f>Tableau13[[#This Row],[Année de déclaration]]-Tableau13[[#This Row],[Année de sinistre]]</f>
        <v>0</v>
      </c>
    </row>
    <row r="205" spans="1:13" x14ac:dyDescent="0.3">
      <c r="A205" s="1" t="s">
        <v>217</v>
      </c>
      <c r="B205" s="1" t="s">
        <v>13</v>
      </c>
      <c r="C205" s="1">
        <v>9669</v>
      </c>
      <c r="D205" s="2">
        <v>44083</v>
      </c>
      <c r="E205" s="1">
        <v>2020</v>
      </c>
      <c r="F205" s="2">
        <v>44084</v>
      </c>
      <c r="G205" s="2">
        <v>55039</v>
      </c>
      <c r="H205" s="2">
        <v>45052</v>
      </c>
      <c r="I205" s="1">
        <v>2023</v>
      </c>
      <c r="J205" s="2">
        <v>45062</v>
      </c>
      <c r="K205" s="1">
        <f>YEAR(Tableau13[[#This Row],[Date de déclaration]])</f>
        <v>2023</v>
      </c>
      <c r="L205" s="4">
        <v>7056082.1542674582</v>
      </c>
      <c r="M205" s="15">
        <f>Tableau13[[#This Row],[Année de déclaration]]-Tableau13[[#This Row],[Année de sinistre]]</f>
        <v>0</v>
      </c>
    </row>
    <row r="206" spans="1:13" x14ac:dyDescent="0.3">
      <c r="A206" s="1" t="s">
        <v>218</v>
      </c>
      <c r="B206" s="1" t="s">
        <v>13</v>
      </c>
      <c r="C206" s="1">
        <v>21537</v>
      </c>
      <c r="D206" s="2">
        <v>44875</v>
      </c>
      <c r="E206" s="1">
        <v>2022</v>
      </c>
      <c r="F206" s="2">
        <v>44875</v>
      </c>
      <c r="G206" s="2">
        <v>52910</v>
      </c>
      <c r="H206" s="2">
        <v>45022</v>
      </c>
      <c r="I206" s="1">
        <v>2023</v>
      </c>
      <c r="J206" s="2">
        <v>45022</v>
      </c>
      <c r="K206" s="1">
        <f>YEAR(Tableau13[[#This Row],[Date de déclaration]])</f>
        <v>2023</v>
      </c>
      <c r="L206" s="4">
        <v>1964372.35</v>
      </c>
      <c r="M206" s="15">
        <f>Tableau13[[#This Row],[Année de déclaration]]-Tableau13[[#This Row],[Année de sinistre]]</f>
        <v>0</v>
      </c>
    </row>
    <row r="207" spans="1:13" x14ac:dyDescent="0.3">
      <c r="A207" s="1" t="s">
        <v>219</v>
      </c>
      <c r="B207" s="1" t="s">
        <v>16</v>
      </c>
      <c r="C207" s="1">
        <v>1759</v>
      </c>
      <c r="D207" s="2">
        <v>43437</v>
      </c>
      <c r="E207" s="1">
        <v>2018</v>
      </c>
      <c r="F207" s="2">
        <v>43436</v>
      </c>
      <c r="G207" s="2">
        <v>45260</v>
      </c>
      <c r="H207" s="2">
        <v>45056</v>
      </c>
      <c r="I207" s="1">
        <v>2023</v>
      </c>
      <c r="J207" s="2">
        <v>45064</v>
      </c>
      <c r="K207" s="1">
        <f>YEAR(Tableau13[[#This Row],[Date de déclaration]])</f>
        <v>2023</v>
      </c>
      <c r="L207" s="4">
        <v>108430.92105263154</v>
      </c>
      <c r="M207" s="15">
        <f>Tableau13[[#This Row],[Année de déclaration]]-Tableau13[[#This Row],[Année de sinistre]]</f>
        <v>0</v>
      </c>
    </row>
    <row r="208" spans="1:13" x14ac:dyDescent="0.3">
      <c r="A208" s="1" t="s">
        <v>220</v>
      </c>
      <c r="B208" s="1" t="s">
        <v>13</v>
      </c>
      <c r="C208" s="1">
        <v>5823</v>
      </c>
      <c r="D208" s="2">
        <v>43627</v>
      </c>
      <c r="E208" s="1">
        <v>2019</v>
      </c>
      <c r="F208" s="2">
        <v>43627</v>
      </c>
      <c r="G208" s="2">
        <v>52751</v>
      </c>
      <c r="H208" s="2">
        <v>45047</v>
      </c>
      <c r="I208" s="1">
        <v>2023</v>
      </c>
      <c r="J208" s="2">
        <v>45069</v>
      </c>
      <c r="K208" s="1">
        <f>YEAR(Tableau13[[#This Row],[Date de déclaration]])</f>
        <v>2023</v>
      </c>
      <c r="L208" s="4">
        <v>6715471.2541867606</v>
      </c>
      <c r="M208" s="15">
        <f>Tableau13[[#This Row],[Année de déclaration]]-Tableau13[[#This Row],[Année de sinistre]]</f>
        <v>0</v>
      </c>
    </row>
    <row r="209" spans="1:13" x14ac:dyDescent="0.3">
      <c r="A209" s="1" t="s">
        <v>220</v>
      </c>
      <c r="B209" s="1" t="s">
        <v>13</v>
      </c>
      <c r="C209" s="1">
        <v>10609</v>
      </c>
      <c r="D209" s="2">
        <v>44166</v>
      </c>
      <c r="E209" s="1">
        <v>2020</v>
      </c>
      <c r="F209" s="2">
        <v>44168</v>
      </c>
      <c r="G209" s="2">
        <v>52567</v>
      </c>
      <c r="H209" s="2">
        <v>45047</v>
      </c>
      <c r="I209" s="1">
        <v>2023</v>
      </c>
      <c r="J209" s="2">
        <v>45069</v>
      </c>
      <c r="K209" s="1">
        <f>YEAR(Tableau13[[#This Row],[Date de déclaration]])</f>
        <v>2023</v>
      </c>
      <c r="L209" s="4">
        <v>999944.75018454576</v>
      </c>
      <c r="M209" s="15">
        <f>Tableau13[[#This Row],[Année de déclaration]]-Tableau13[[#This Row],[Année de sinistre]]</f>
        <v>0</v>
      </c>
    </row>
    <row r="210" spans="1:13" x14ac:dyDescent="0.3">
      <c r="A210" s="1" t="s">
        <v>221</v>
      </c>
      <c r="B210" s="1" t="s">
        <v>13</v>
      </c>
      <c r="C210" s="1">
        <v>13805</v>
      </c>
      <c r="D210" s="2">
        <v>44370</v>
      </c>
      <c r="E210" s="1">
        <v>2021</v>
      </c>
      <c r="F210" s="2">
        <v>44370</v>
      </c>
      <c r="G210" s="2">
        <v>50943</v>
      </c>
      <c r="H210" s="2">
        <v>45065</v>
      </c>
      <c r="I210" s="1">
        <v>2023</v>
      </c>
      <c r="J210" s="2">
        <v>45071</v>
      </c>
      <c r="K210" s="1">
        <f>YEAR(Tableau13[[#This Row],[Date de déclaration]])</f>
        <v>2023</v>
      </c>
      <c r="L210" s="4">
        <v>4207988.66</v>
      </c>
      <c r="M210" s="15">
        <f>Tableau13[[#This Row],[Année de déclaration]]-Tableau13[[#This Row],[Année de sinistre]]</f>
        <v>0</v>
      </c>
    </row>
    <row r="211" spans="1:13" x14ac:dyDescent="0.3">
      <c r="A211" s="1" t="s">
        <v>222</v>
      </c>
      <c r="B211" s="1" t="s">
        <v>13</v>
      </c>
      <c r="C211" s="1">
        <v>11373</v>
      </c>
      <c r="D211" s="2">
        <v>44216</v>
      </c>
      <c r="E211" s="1">
        <v>2021</v>
      </c>
      <c r="F211" s="2">
        <v>44216</v>
      </c>
      <c r="G211" s="2">
        <v>52615</v>
      </c>
      <c r="H211" s="2">
        <v>45012</v>
      </c>
      <c r="I211" s="1">
        <v>2023</v>
      </c>
      <c r="J211" s="2">
        <v>45077</v>
      </c>
      <c r="K211" s="1">
        <f>YEAR(Tableau13[[#This Row],[Date de déclaration]])</f>
        <v>2023</v>
      </c>
      <c r="L211" s="4">
        <v>4825580.8499999996</v>
      </c>
      <c r="M211" s="15">
        <f>Tableau13[[#This Row],[Année de déclaration]]-Tableau13[[#This Row],[Année de sinistre]]</f>
        <v>0</v>
      </c>
    </row>
    <row r="212" spans="1:13" x14ac:dyDescent="0.3">
      <c r="A212" s="1" t="s">
        <v>223</v>
      </c>
      <c r="B212" s="1" t="s">
        <v>16</v>
      </c>
      <c r="C212" s="1">
        <v>16194</v>
      </c>
      <c r="D212" s="2">
        <v>44656</v>
      </c>
      <c r="E212" s="1">
        <v>2022</v>
      </c>
      <c r="F212" s="2">
        <v>44656</v>
      </c>
      <c r="G212" s="2">
        <v>45751</v>
      </c>
      <c r="H212" s="2">
        <v>44736</v>
      </c>
      <c r="I212" s="1">
        <v>2022</v>
      </c>
      <c r="J212" s="2">
        <v>45075</v>
      </c>
      <c r="K212" s="1">
        <f>YEAR(Tableau13[[#This Row],[Date de déclaration]])</f>
        <v>2023</v>
      </c>
      <c r="L212" s="4">
        <v>463470.31963470322</v>
      </c>
      <c r="M212" s="15">
        <f>Tableau13[[#This Row],[Année de déclaration]]-Tableau13[[#This Row],[Année de sinistre]]</f>
        <v>1</v>
      </c>
    </row>
    <row r="213" spans="1:13" x14ac:dyDescent="0.3">
      <c r="A213" s="1" t="s">
        <v>224</v>
      </c>
      <c r="B213" s="1" t="s">
        <v>16</v>
      </c>
      <c r="C213" s="1">
        <v>14418</v>
      </c>
      <c r="D213" s="2">
        <v>44517</v>
      </c>
      <c r="E213" s="1">
        <v>2021</v>
      </c>
      <c r="F213" s="2">
        <v>44518</v>
      </c>
      <c r="G213" s="2">
        <v>45613</v>
      </c>
      <c r="H213" s="2">
        <v>44884</v>
      </c>
      <c r="I213" s="1">
        <v>2022</v>
      </c>
      <c r="J213" s="2">
        <v>44884</v>
      </c>
      <c r="K213" s="1">
        <f>YEAR(Tableau13[[#This Row],[Date de déclaration]])</f>
        <v>2022</v>
      </c>
      <c r="L213" s="4">
        <v>481944.42</v>
      </c>
      <c r="M213" s="15">
        <f>Tableau13[[#This Row],[Année de déclaration]]-Tableau13[[#This Row],[Année de sinistre]]</f>
        <v>0</v>
      </c>
    </row>
    <row r="214" spans="1:13" x14ac:dyDescent="0.3">
      <c r="A214" s="1" t="s">
        <v>225</v>
      </c>
      <c r="B214" s="1" t="s">
        <v>186</v>
      </c>
      <c r="C214" s="1">
        <v>5052</v>
      </c>
      <c r="D214" s="2">
        <v>44949</v>
      </c>
      <c r="E214" s="1">
        <v>2023</v>
      </c>
      <c r="F214" s="2">
        <v>44949</v>
      </c>
      <c r="G214" s="2">
        <v>45313</v>
      </c>
      <c r="H214" s="2">
        <v>45053</v>
      </c>
      <c r="I214" s="1">
        <v>2023</v>
      </c>
      <c r="J214" s="6">
        <v>45095</v>
      </c>
      <c r="K214" s="1">
        <f>YEAR(Tableau13[[#This Row],[Date de déclaration]])</f>
        <v>2023</v>
      </c>
      <c r="L214" s="4">
        <v>714285.71428571432</v>
      </c>
      <c r="M214" s="15">
        <f>Tableau13[[#This Row],[Année de déclaration]]-Tableau13[[#This Row],[Année de sinistre]]</f>
        <v>0</v>
      </c>
    </row>
    <row r="215" spans="1:13" x14ac:dyDescent="0.3">
      <c r="A215" s="1" t="s">
        <v>226</v>
      </c>
      <c r="B215" s="1" t="s">
        <v>16</v>
      </c>
      <c r="C215" s="1">
        <v>19952</v>
      </c>
      <c r="D215" s="2">
        <v>44893</v>
      </c>
      <c r="E215" s="1">
        <v>2022</v>
      </c>
      <c r="F215" s="2">
        <v>44893</v>
      </c>
      <c r="G215" s="2">
        <v>45988</v>
      </c>
      <c r="H215" s="2">
        <v>45062</v>
      </c>
      <c r="I215" s="1">
        <v>2023</v>
      </c>
      <c r="J215" s="2">
        <v>45077</v>
      </c>
      <c r="K215" s="1">
        <f>YEAR(Tableau13[[#This Row],[Date de déclaration]])</f>
        <v>2023</v>
      </c>
      <c r="L215" s="4">
        <v>515853.88127853879</v>
      </c>
      <c r="M215" s="15">
        <f>Tableau13[[#This Row],[Année de déclaration]]-Tableau13[[#This Row],[Année de sinistre]]</f>
        <v>0</v>
      </c>
    </row>
    <row r="216" spans="1:13" x14ac:dyDescent="0.3">
      <c r="A216" s="1" t="s">
        <v>227</v>
      </c>
      <c r="B216" s="1" t="s">
        <v>16</v>
      </c>
      <c r="C216" s="1">
        <v>16001</v>
      </c>
      <c r="D216" s="2">
        <v>44642</v>
      </c>
      <c r="E216" s="1">
        <v>2022</v>
      </c>
      <c r="F216" s="2">
        <v>44643</v>
      </c>
      <c r="G216" s="2">
        <v>45738</v>
      </c>
      <c r="H216" s="2">
        <v>45044</v>
      </c>
      <c r="I216" s="1">
        <v>2023</v>
      </c>
      <c r="J216" s="2">
        <v>45095</v>
      </c>
      <c r="K216" s="1">
        <f>YEAR(Tableau13[[#This Row],[Date de déclaration]])</f>
        <v>2023</v>
      </c>
      <c r="L216" s="4">
        <v>253414.57534246575</v>
      </c>
      <c r="M216" s="15">
        <f>Tableau13[[#This Row],[Année de déclaration]]-Tableau13[[#This Row],[Année de sinistre]]</f>
        <v>0</v>
      </c>
    </row>
    <row r="217" spans="1:13" x14ac:dyDescent="0.3">
      <c r="A217" s="1" t="s">
        <v>228</v>
      </c>
      <c r="B217" s="1" t="s">
        <v>13</v>
      </c>
      <c r="C217" s="1">
        <v>14983</v>
      </c>
      <c r="D217" s="2">
        <v>44468</v>
      </c>
      <c r="E217" s="1">
        <v>2021</v>
      </c>
      <c r="F217" s="2">
        <v>44469</v>
      </c>
      <c r="G217" s="2">
        <v>58347</v>
      </c>
      <c r="H217" s="2">
        <v>44941</v>
      </c>
      <c r="I217" s="1">
        <v>2023</v>
      </c>
      <c r="J217" s="2">
        <v>45260</v>
      </c>
      <c r="K217" s="1">
        <f>YEAR(Tableau13[[#This Row],[Date de déclaration]])</f>
        <v>2023</v>
      </c>
      <c r="L217" s="4">
        <v>2197800</v>
      </c>
      <c r="M217" s="15">
        <f>Tableau13[[#This Row],[Année de déclaration]]-Tableau13[[#This Row],[Année de sinistre]]</f>
        <v>0</v>
      </c>
    </row>
    <row r="218" spans="1:13" x14ac:dyDescent="0.3">
      <c r="A218" s="1" t="s">
        <v>229</v>
      </c>
      <c r="B218" s="1" t="s">
        <v>16</v>
      </c>
      <c r="C218" s="1">
        <v>12904</v>
      </c>
      <c r="D218" s="2">
        <v>44362</v>
      </c>
      <c r="E218" s="1">
        <v>2021</v>
      </c>
      <c r="F218" s="2">
        <v>44362</v>
      </c>
      <c r="G218" s="2">
        <v>45456</v>
      </c>
      <c r="H218" s="2">
        <v>45011</v>
      </c>
      <c r="I218" s="1">
        <v>2023</v>
      </c>
      <c r="J218" s="2">
        <v>45130</v>
      </c>
      <c r="K218" s="1">
        <f>YEAR(Tableau13[[#This Row],[Date de déclaration]])</f>
        <v>2023</v>
      </c>
      <c r="L218" s="4">
        <v>284734.91773308959</v>
      </c>
      <c r="M218" s="15">
        <f>Tableau13[[#This Row],[Année de déclaration]]-Tableau13[[#This Row],[Année de sinistre]]</f>
        <v>0</v>
      </c>
    </row>
    <row r="219" spans="1:13" x14ac:dyDescent="0.3">
      <c r="A219" s="1" t="s">
        <v>230</v>
      </c>
      <c r="B219" s="1" t="s">
        <v>16</v>
      </c>
      <c r="C219" s="1">
        <v>13570</v>
      </c>
      <c r="D219" s="2">
        <v>44438</v>
      </c>
      <c r="E219" s="1">
        <v>2021</v>
      </c>
      <c r="F219" s="2">
        <v>44439</v>
      </c>
      <c r="G219" s="2">
        <v>45534</v>
      </c>
      <c r="H219" s="2">
        <v>45060</v>
      </c>
      <c r="I219" s="1">
        <v>2023</v>
      </c>
      <c r="J219" s="2">
        <v>45137</v>
      </c>
      <c r="K219" s="1">
        <f>YEAR(Tableau13[[#This Row],[Date de déclaration]])</f>
        <v>2023</v>
      </c>
      <c r="L219" s="4">
        <v>179643.83561643836</v>
      </c>
      <c r="M219" s="15">
        <f>Tableau13[[#This Row],[Année de déclaration]]-Tableau13[[#This Row],[Année de sinistre]]</f>
        <v>0</v>
      </c>
    </row>
    <row r="220" spans="1:13" x14ac:dyDescent="0.3">
      <c r="A220" s="1" t="s">
        <v>231</v>
      </c>
      <c r="B220" s="1" t="s">
        <v>16</v>
      </c>
      <c r="C220" s="1">
        <v>11592</v>
      </c>
      <c r="D220" s="2">
        <v>44243</v>
      </c>
      <c r="E220" s="1">
        <v>2021</v>
      </c>
      <c r="F220" s="2">
        <v>44244</v>
      </c>
      <c r="G220" s="2">
        <v>45338</v>
      </c>
      <c r="H220" s="2">
        <v>45121</v>
      </c>
      <c r="I220" s="1">
        <v>2023</v>
      </c>
      <c r="J220" s="2">
        <v>45160</v>
      </c>
      <c r="K220" s="1">
        <f>YEAR(Tableau13[[#This Row],[Date de déclaration]])</f>
        <v>2023</v>
      </c>
      <c r="L220" s="4">
        <v>67440.585009140748</v>
      </c>
      <c r="M220" s="15">
        <f>Tableau13[[#This Row],[Année de déclaration]]-Tableau13[[#This Row],[Année de sinistre]]</f>
        <v>0</v>
      </c>
    </row>
    <row r="221" spans="1:13" x14ac:dyDescent="0.3">
      <c r="A221" s="1" t="s">
        <v>232</v>
      </c>
      <c r="B221" s="1" t="s">
        <v>13</v>
      </c>
      <c r="C221" s="1">
        <v>9959</v>
      </c>
      <c r="D221" s="2">
        <v>44111</v>
      </c>
      <c r="E221" s="1">
        <v>2020</v>
      </c>
      <c r="F221" s="2">
        <v>44111</v>
      </c>
      <c r="G221" s="2">
        <v>56893</v>
      </c>
      <c r="H221" s="2">
        <v>45120</v>
      </c>
      <c r="I221" s="1">
        <v>2023</v>
      </c>
      <c r="J221" s="2">
        <v>45160</v>
      </c>
      <c r="K221" s="1">
        <f>YEAR(Tableau13[[#This Row],[Date de déclaration]])</f>
        <v>2023</v>
      </c>
      <c r="L221" s="4">
        <v>9074587.6799999997</v>
      </c>
      <c r="M221" s="15">
        <f>Tableau13[[#This Row],[Année de déclaration]]-Tableau13[[#This Row],[Année de sinistre]]</f>
        <v>0</v>
      </c>
    </row>
    <row r="222" spans="1:13" x14ac:dyDescent="0.3">
      <c r="A222" s="1" t="s">
        <v>233</v>
      </c>
      <c r="B222" s="1" t="s">
        <v>16</v>
      </c>
      <c r="C222" s="1">
        <v>17894</v>
      </c>
      <c r="D222" s="2">
        <v>44770</v>
      </c>
      <c r="E222" s="1">
        <v>2022</v>
      </c>
      <c r="F222" s="2">
        <v>44770</v>
      </c>
      <c r="G222" s="2">
        <v>45865</v>
      </c>
      <c r="H222" s="2">
        <v>45117</v>
      </c>
      <c r="I222" s="1">
        <v>2023</v>
      </c>
      <c r="J222" s="2">
        <v>45161</v>
      </c>
      <c r="K222" s="1">
        <f>YEAR(Tableau13[[#This Row],[Date de déclaration]])</f>
        <v>2023</v>
      </c>
      <c r="L222" s="4">
        <v>173508.67579908675</v>
      </c>
      <c r="M222" s="15">
        <f>Tableau13[[#This Row],[Année de déclaration]]-Tableau13[[#This Row],[Année de sinistre]]</f>
        <v>0</v>
      </c>
    </row>
    <row r="223" spans="1:13" x14ac:dyDescent="0.3">
      <c r="A223" s="1" t="s">
        <v>234</v>
      </c>
      <c r="B223" s="1" t="s">
        <v>13</v>
      </c>
      <c r="C223" s="1">
        <v>12594</v>
      </c>
      <c r="D223" s="2">
        <v>44290</v>
      </c>
      <c r="E223" s="1">
        <v>2021</v>
      </c>
      <c r="F223" s="2">
        <v>44291</v>
      </c>
      <c r="G223" s="2">
        <v>54151</v>
      </c>
      <c r="H223" s="2">
        <v>44952</v>
      </c>
      <c r="I223" s="1">
        <v>2023</v>
      </c>
      <c r="J223" s="2">
        <v>45167</v>
      </c>
      <c r="K223" s="1">
        <f>YEAR(Tableau13[[#This Row],[Date de déclaration]])</f>
        <v>2023</v>
      </c>
      <c r="L223" s="4">
        <v>1629273.3839898582</v>
      </c>
      <c r="M223" s="15">
        <f>Tableau13[[#This Row],[Année de déclaration]]-Tableau13[[#This Row],[Année de sinistre]]</f>
        <v>0</v>
      </c>
    </row>
    <row r="224" spans="1:13" x14ac:dyDescent="0.3">
      <c r="A224" s="1" t="s">
        <v>235</v>
      </c>
      <c r="B224" s="1" t="s">
        <v>16</v>
      </c>
      <c r="C224" s="1">
        <v>27262</v>
      </c>
      <c r="D224" s="2">
        <v>45104</v>
      </c>
      <c r="E224" s="1">
        <v>2023</v>
      </c>
      <c r="F224" s="2">
        <v>45104</v>
      </c>
      <c r="G224" s="2">
        <v>46199</v>
      </c>
      <c r="H224" s="2">
        <v>45119</v>
      </c>
      <c r="I224" s="1">
        <v>2023</v>
      </c>
      <c r="J224" s="2">
        <v>45175</v>
      </c>
      <c r="K224" s="1">
        <f>YEAR(Tableau13[[#This Row],[Date de déclaration]])</f>
        <v>2023</v>
      </c>
      <c r="L224" s="4">
        <v>295890.41095890407</v>
      </c>
      <c r="M224" s="15">
        <f>Tableau13[[#This Row],[Année de déclaration]]-Tableau13[[#This Row],[Année de sinistre]]</f>
        <v>0</v>
      </c>
    </row>
    <row r="225" spans="1:13" x14ac:dyDescent="0.3">
      <c r="A225" s="1" t="s">
        <v>236</v>
      </c>
      <c r="B225" s="1" t="s">
        <v>16</v>
      </c>
      <c r="C225" s="1">
        <v>24320</v>
      </c>
      <c r="D225" s="2">
        <v>45029</v>
      </c>
      <c r="E225" s="1">
        <v>2023</v>
      </c>
      <c r="F225" s="2">
        <v>45029</v>
      </c>
      <c r="G225" s="2">
        <v>46124</v>
      </c>
      <c r="H225" s="2">
        <v>45170</v>
      </c>
      <c r="I225" s="1">
        <v>2023</v>
      </c>
      <c r="J225" s="2">
        <v>45179</v>
      </c>
      <c r="K225" s="1">
        <f>YEAR(Tableau13[[#This Row],[Date de déclaration]])</f>
        <v>2023</v>
      </c>
      <c r="L225" s="4">
        <v>287506.84931506851</v>
      </c>
      <c r="M225" s="15">
        <f>Tableau13[[#This Row],[Année de déclaration]]-Tableau13[[#This Row],[Année de sinistre]]</f>
        <v>0</v>
      </c>
    </row>
    <row r="226" spans="1:13" x14ac:dyDescent="0.3">
      <c r="A226" s="1" t="s">
        <v>237</v>
      </c>
      <c r="B226" s="1" t="s">
        <v>16</v>
      </c>
      <c r="C226" s="1">
        <v>14075</v>
      </c>
      <c r="D226" s="2">
        <v>44489</v>
      </c>
      <c r="E226" s="1">
        <v>2021</v>
      </c>
      <c r="F226" s="2">
        <v>44493</v>
      </c>
      <c r="G226" s="2">
        <v>45588</v>
      </c>
      <c r="H226" s="2">
        <v>45121</v>
      </c>
      <c r="I226" s="1">
        <v>2023</v>
      </c>
      <c r="J226" s="2">
        <v>45121</v>
      </c>
      <c r="K226" s="1">
        <f>YEAR(Tableau13[[#This Row],[Date de déclaration]])</f>
        <v>2023</v>
      </c>
      <c r="L226" s="4">
        <v>426057.53424657532</v>
      </c>
      <c r="M226" s="15">
        <f>Tableau13[[#This Row],[Année de déclaration]]-Tableau13[[#This Row],[Année de sinistre]]</f>
        <v>0</v>
      </c>
    </row>
    <row r="227" spans="1:13" x14ac:dyDescent="0.3">
      <c r="A227" s="1" t="s">
        <v>238</v>
      </c>
      <c r="B227" s="1" t="s">
        <v>13</v>
      </c>
      <c r="C227" s="1">
        <v>22406</v>
      </c>
      <c r="D227" s="2">
        <v>44920</v>
      </c>
      <c r="E227" s="1">
        <v>2022</v>
      </c>
      <c r="F227" s="2">
        <v>44920</v>
      </c>
      <c r="G227" s="2">
        <v>51128</v>
      </c>
      <c r="H227" s="2">
        <v>45203</v>
      </c>
      <c r="I227" s="1">
        <v>2023</v>
      </c>
      <c r="J227" s="2">
        <v>45203</v>
      </c>
      <c r="K227" s="1">
        <f>YEAR(Tableau13[[#This Row],[Date de déclaration]])</f>
        <v>2023</v>
      </c>
      <c r="L227" s="4">
        <v>1980000</v>
      </c>
      <c r="M227" s="15">
        <f>Tableau13[[#This Row],[Année de déclaration]]-Tableau13[[#This Row],[Année de sinistre]]</f>
        <v>0</v>
      </c>
    </row>
    <row r="228" spans="1:13" x14ac:dyDescent="0.3">
      <c r="A228" s="1" t="s">
        <v>239</v>
      </c>
      <c r="B228" s="1" t="s">
        <v>13</v>
      </c>
      <c r="C228" s="1">
        <v>18488</v>
      </c>
      <c r="D228" s="2">
        <v>44699</v>
      </c>
      <c r="E228" s="1">
        <v>2022</v>
      </c>
      <c r="F228" s="2">
        <v>44713</v>
      </c>
      <c r="G228" s="2">
        <v>50921</v>
      </c>
      <c r="H228" s="2">
        <v>45203</v>
      </c>
      <c r="I228" s="1">
        <v>2023</v>
      </c>
      <c r="J228" s="2">
        <v>45203</v>
      </c>
      <c r="K228" s="1">
        <f>YEAR(Tableau13[[#This Row],[Date de déclaration]])</f>
        <v>2023</v>
      </c>
      <c r="L228" s="4">
        <v>8500000</v>
      </c>
      <c r="M228" s="15">
        <f>Tableau13[[#This Row],[Année de déclaration]]-Tableau13[[#This Row],[Année de sinistre]]</f>
        <v>0</v>
      </c>
    </row>
    <row r="229" spans="1:13" x14ac:dyDescent="0.3">
      <c r="A229" s="1" t="s">
        <v>240</v>
      </c>
      <c r="B229" s="1" t="s">
        <v>16</v>
      </c>
      <c r="C229" s="1">
        <v>26056</v>
      </c>
      <c r="D229" s="2">
        <v>45078</v>
      </c>
      <c r="E229" s="1">
        <v>2023</v>
      </c>
      <c r="F229" s="2">
        <v>45078</v>
      </c>
      <c r="G229" s="2">
        <v>46173</v>
      </c>
      <c r="H229" s="2">
        <v>45084</v>
      </c>
      <c r="I229" s="1">
        <v>2023</v>
      </c>
      <c r="J229" s="2">
        <v>45189</v>
      </c>
      <c r="K229" s="1">
        <f>YEAR(Tableau13[[#This Row],[Date de déclaration]])</f>
        <v>2023</v>
      </c>
      <c r="L229" s="4">
        <v>636493.15068493155</v>
      </c>
      <c r="M229" s="15">
        <f>Tableau13[[#This Row],[Année de déclaration]]-Tableau13[[#This Row],[Année de sinistre]]</f>
        <v>0</v>
      </c>
    </row>
    <row r="230" spans="1:13" x14ac:dyDescent="0.3">
      <c r="A230" s="1" t="s">
        <v>241</v>
      </c>
      <c r="B230" s="1" t="s">
        <v>13</v>
      </c>
      <c r="C230" s="1">
        <v>6115</v>
      </c>
      <c r="D230" s="2">
        <v>43656</v>
      </c>
      <c r="E230" s="1">
        <v>2019</v>
      </c>
      <c r="F230" s="2">
        <v>43656</v>
      </c>
      <c r="G230" s="2">
        <v>54612</v>
      </c>
      <c r="H230" s="2">
        <v>45164</v>
      </c>
      <c r="I230" s="1">
        <v>2023</v>
      </c>
      <c r="J230" s="2">
        <v>45193</v>
      </c>
      <c r="K230" s="1">
        <f>YEAR(Tableau13[[#This Row],[Date de déclaration]])</f>
        <v>2023</v>
      </c>
      <c r="L230" s="4">
        <v>849970.66</v>
      </c>
      <c r="M230" s="15">
        <f>Tableau13[[#This Row],[Année de déclaration]]-Tableau13[[#This Row],[Année de sinistre]]</f>
        <v>0</v>
      </c>
    </row>
    <row r="231" spans="1:13" x14ac:dyDescent="0.3">
      <c r="A231" s="1" t="s">
        <v>242</v>
      </c>
      <c r="B231" s="1" t="s">
        <v>13</v>
      </c>
      <c r="C231" s="1">
        <v>3289</v>
      </c>
      <c r="D231" s="2">
        <v>43373</v>
      </c>
      <c r="E231" s="1">
        <v>2018</v>
      </c>
      <c r="F231" s="2">
        <v>43373</v>
      </c>
      <c r="G231" s="2">
        <v>54322</v>
      </c>
      <c r="H231" s="2">
        <v>45185</v>
      </c>
      <c r="I231" s="1">
        <v>2023</v>
      </c>
      <c r="J231" s="2">
        <v>45278</v>
      </c>
      <c r="K231" s="1">
        <f>YEAR(Tableau13[[#This Row],[Date de déclaration]])</f>
        <v>2023</v>
      </c>
      <c r="L231" s="4">
        <v>1375759.93</v>
      </c>
      <c r="M231" s="15">
        <f>Tableau13[[#This Row],[Année de déclaration]]-Tableau13[[#This Row],[Année de sinistre]]</f>
        <v>0</v>
      </c>
    </row>
    <row r="232" spans="1:13" x14ac:dyDescent="0.3">
      <c r="A232" s="1" t="s">
        <v>243</v>
      </c>
      <c r="B232" s="1" t="s">
        <v>16</v>
      </c>
      <c r="C232" s="1">
        <v>22150</v>
      </c>
      <c r="D232" s="2">
        <v>44966</v>
      </c>
      <c r="E232" s="1">
        <v>2023</v>
      </c>
      <c r="F232" s="2">
        <v>44966</v>
      </c>
      <c r="G232" s="2">
        <v>46061</v>
      </c>
      <c r="H232" s="2">
        <v>45204</v>
      </c>
      <c r="I232" s="1">
        <v>2023</v>
      </c>
      <c r="J232" s="2">
        <v>45215</v>
      </c>
      <c r="K232" s="1">
        <f>YEAR(Tableau13[[#This Row],[Date de déclaration]])</f>
        <v>2023</v>
      </c>
      <c r="L232" s="4">
        <v>305924.40000000002</v>
      </c>
      <c r="M232" s="15">
        <f>Tableau13[[#This Row],[Année de déclaration]]-Tableau13[[#This Row],[Année de sinistre]]</f>
        <v>0</v>
      </c>
    </row>
    <row r="233" spans="1:13" x14ac:dyDescent="0.3">
      <c r="A233" s="1" t="s">
        <v>244</v>
      </c>
      <c r="B233" s="1" t="s">
        <v>13</v>
      </c>
      <c r="C233" s="1">
        <v>3956</v>
      </c>
      <c r="D233" s="2">
        <v>43450</v>
      </c>
      <c r="E233" s="1">
        <v>2018</v>
      </c>
      <c r="F233" s="2">
        <v>43450</v>
      </c>
      <c r="G233" s="2">
        <v>51844</v>
      </c>
      <c r="H233" s="2">
        <v>45117</v>
      </c>
      <c r="I233" s="1">
        <v>2023</v>
      </c>
      <c r="J233" s="2">
        <v>45117</v>
      </c>
      <c r="K233" s="1">
        <f>YEAR(Tableau13[[#This Row],[Date de déclaration]])</f>
        <v>2023</v>
      </c>
      <c r="L233" s="4">
        <v>2451629.7400000002</v>
      </c>
      <c r="M233" s="15">
        <f>Tableau13[[#This Row],[Année de déclaration]]-Tableau13[[#This Row],[Année de sinistre]]</f>
        <v>0</v>
      </c>
    </row>
    <row r="234" spans="1:13" x14ac:dyDescent="0.3">
      <c r="A234" s="1" t="s">
        <v>245</v>
      </c>
      <c r="B234" s="1" t="s">
        <v>16</v>
      </c>
      <c r="C234" s="1">
        <v>28376</v>
      </c>
      <c r="D234" s="2">
        <v>45137</v>
      </c>
      <c r="E234" s="1">
        <v>2023</v>
      </c>
      <c r="F234" s="2">
        <v>45137</v>
      </c>
      <c r="G234" s="2">
        <v>46232</v>
      </c>
      <c r="H234" s="2">
        <v>45210</v>
      </c>
      <c r="I234" s="1">
        <v>2023</v>
      </c>
      <c r="J234" s="2">
        <v>45228</v>
      </c>
      <c r="K234" s="1">
        <f>YEAR(Tableau13[[#This Row],[Date de déclaration]])</f>
        <v>2023</v>
      </c>
      <c r="L234" s="4">
        <v>475312.76</v>
      </c>
      <c r="M234" s="15">
        <f>Tableau13[[#This Row],[Année de déclaration]]-Tableau13[[#This Row],[Année de sinistre]]</f>
        <v>0</v>
      </c>
    </row>
    <row r="235" spans="1:13" x14ac:dyDescent="0.3">
      <c r="A235" s="1" t="s">
        <v>246</v>
      </c>
      <c r="B235" s="1" t="s">
        <v>13</v>
      </c>
      <c r="C235" s="1">
        <v>18342</v>
      </c>
      <c r="D235" s="2">
        <v>44691</v>
      </c>
      <c r="E235" s="1">
        <v>2022</v>
      </c>
      <c r="F235" s="2">
        <v>44696</v>
      </c>
      <c r="G235" s="2">
        <v>55653</v>
      </c>
      <c r="H235" s="2">
        <v>45217</v>
      </c>
      <c r="I235" s="1">
        <v>2023</v>
      </c>
      <c r="J235" s="2">
        <v>45217</v>
      </c>
      <c r="K235" s="1">
        <f>YEAR(Tableau13[[#This Row],[Date de déclaration]])</f>
        <v>2023</v>
      </c>
      <c r="L235" s="4">
        <v>6235616.9800000004</v>
      </c>
      <c r="M235" s="15">
        <f>Tableau13[[#This Row],[Année de déclaration]]-Tableau13[[#This Row],[Année de sinistre]]</f>
        <v>0</v>
      </c>
    </row>
    <row r="236" spans="1:13" x14ac:dyDescent="0.3">
      <c r="A236" s="1" t="s">
        <v>247</v>
      </c>
      <c r="B236" s="1" t="s">
        <v>13</v>
      </c>
      <c r="C236" s="1">
        <v>3563</v>
      </c>
      <c r="D236" s="2">
        <v>43402</v>
      </c>
      <c r="E236" s="1">
        <v>2018</v>
      </c>
      <c r="F236" s="2">
        <v>43403</v>
      </c>
      <c r="G236" s="2">
        <v>43398</v>
      </c>
      <c r="H236" s="2">
        <v>45066</v>
      </c>
      <c r="I236" s="1">
        <v>2023</v>
      </c>
      <c r="J236" s="2">
        <v>45230</v>
      </c>
      <c r="K236" s="1">
        <f>YEAR(Tableau13[[#This Row],[Date de déclaration]])</f>
        <v>2023</v>
      </c>
      <c r="L236" s="4">
        <v>3064244.79</v>
      </c>
      <c r="M236" s="15">
        <f>Tableau13[[#This Row],[Année de déclaration]]-Tableau13[[#This Row],[Année de sinistre]]</f>
        <v>0</v>
      </c>
    </row>
    <row r="237" spans="1:13" x14ac:dyDescent="0.3">
      <c r="A237" s="1" t="s">
        <v>248</v>
      </c>
      <c r="B237" s="1" t="s">
        <v>16</v>
      </c>
      <c r="C237" s="1">
        <v>17627</v>
      </c>
      <c r="D237" s="2">
        <v>44749</v>
      </c>
      <c r="E237" s="1">
        <v>2022</v>
      </c>
      <c r="F237" s="2">
        <v>44749</v>
      </c>
      <c r="G237" s="2">
        <v>45844</v>
      </c>
      <c r="H237" s="2">
        <v>45091</v>
      </c>
      <c r="I237" s="1">
        <v>2023</v>
      </c>
      <c r="J237" s="2">
        <v>45232</v>
      </c>
      <c r="K237" s="1">
        <f>YEAR(Tableau13[[#This Row],[Date de déclaration]])</f>
        <v>2023</v>
      </c>
      <c r="L237" s="4">
        <v>333726.88</v>
      </c>
      <c r="M237" s="15">
        <f>Tableau13[[#This Row],[Année de déclaration]]-Tableau13[[#This Row],[Année de sinistre]]</f>
        <v>0</v>
      </c>
    </row>
    <row r="238" spans="1:13" x14ac:dyDescent="0.3">
      <c r="A238" s="1" t="s">
        <v>249</v>
      </c>
      <c r="B238" s="1" t="s">
        <v>13</v>
      </c>
      <c r="C238" s="1">
        <v>24186</v>
      </c>
      <c r="D238" s="2">
        <v>45004</v>
      </c>
      <c r="E238" s="1">
        <v>2023</v>
      </c>
      <c r="F238" s="2">
        <v>45004</v>
      </c>
      <c r="G238" s="2">
        <v>53769</v>
      </c>
      <c r="H238" s="2">
        <v>45185</v>
      </c>
      <c r="I238" s="1">
        <v>2023</v>
      </c>
      <c r="J238" s="2">
        <v>45235</v>
      </c>
      <c r="K238" s="1">
        <f>YEAR(Tableau13[[#This Row],[Date de déclaration]])</f>
        <v>2023</v>
      </c>
      <c r="L238" s="4">
        <v>10576976.611523103</v>
      </c>
      <c r="M238" s="15">
        <f>Tableau13[[#This Row],[Année de déclaration]]-Tableau13[[#This Row],[Année de sinistre]]</f>
        <v>0</v>
      </c>
    </row>
    <row r="239" spans="1:13" x14ac:dyDescent="0.3">
      <c r="A239" s="1" t="s">
        <v>250</v>
      </c>
      <c r="B239" s="1" t="s">
        <v>13</v>
      </c>
      <c r="C239" s="1">
        <v>6475</v>
      </c>
      <c r="D239" s="2">
        <v>43706</v>
      </c>
      <c r="E239" s="1">
        <v>2019</v>
      </c>
      <c r="F239" s="2">
        <v>43706</v>
      </c>
      <c r="G239" s="2">
        <v>51735</v>
      </c>
      <c r="H239" s="2">
        <v>45250</v>
      </c>
      <c r="I239" s="1">
        <v>2023</v>
      </c>
      <c r="J239" s="2">
        <v>45250</v>
      </c>
      <c r="K239" s="1">
        <f>YEAR(Tableau13[[#This Row],[Date de déclaration]])</f>
        <v>2023</v>
      </c>
      <c r="L239" s="4">
        <v>3107643.32</v>
      </c>
      <c r="M239" s="15">
        <f>Tableau13[[#This Row],[Année de déclaration]]-Tableau13[[#This Row],[Année de sinistre]]</f>
        <v>0</v>
      </c>
    </row>
    <row r="240" spans="1:13" x14ac:dyDescent="0.3">
      <c r="A240" s="1" t="s">
        <v>251</v>
      </c>
      <c r="B240" s="1" t="s">
        <v>13</v>
      </c>
      <c r="C240" s="1">
        <v>20294</v>
      </c>
      <c r="D240" s="2">
        <v>44797</v>
      </c>
      <c r="E240" s="1">
        <v>2022</v>
      </c>
      <c r="F240" s="2">
        <v>44797</v>
      </c>
      <c r="G240" s="2">
        <v>48449</v>
      </c>
      <c r="H240" s="2">
        <v>45213</v>
      </c>
      <c r="I240" s="1">
        <v>2023</v>
      </c>
      <c r="J240" s="2">
        <v>45245</v>
      </c>
      <c r="K240" s="1">
        <f>YEAR(Tableau13[[#This Row],[Date de déclaration]])</f>
        <v>2023</v>
      </c>
      <c r="L240" s="4">
        <v>637708.14</v>
      </c>
      <c r="M240" s="15">
        <f>Tableau13[[#This Row],[Année de déclaration]]-Tableau13[[#This Row],[Année de sinistre]]</f>
        <v>0</v>
      </c>
    </row>
    <row r="241" spans="1:13" x14ac:dyDescent="0.3">
      <c r="A241" s="1" t="s">
        <v>252</v>
      </c>
      <c r="B241" s="1" t="s">
        <v>13</v>
      </c>
      <c r="C241" s="1">
        <v>26189</v>
      </c>
      <c r="D241" s="2">
        <v>45111</v>
      </c>
      <c r="E241" s="1">
        <v>2023</v>
      </c>
      <c r="F241" s="2">
        <v>45111</v>
      </c>
      <c r="G241" s="2">
        <v>59720</v>
      </c>
      <c r="H241" s="2">
        <v>45155</v>
      </c>
      <c r="I241" s="1">
        <v>2023</v>
      </c>
      <c r="J241" s="2">
        <v>45246</v>
      </c>
      <c r="K241" s="1">
        <f>YEAR(Tableau13[[#This Row],[Date de déclaration]])</f>
        <v>2023</v>
      </c>
      <c r="L241" s="4">
        <v>3888253.8161407351</v>
      </c>
      <c r="M241" s="15">
        <f>Tableau13[[#This Row],[Année de déclaration]]-Tableau13[[#This Row],[Année de sinistre]]</f>
        <v>0</v>
      </c>
    </row>
    <row r="242" spans="1:13" x14ac:dyDescent="0.3">
      <c r="A242" s="1" t="s">
        <v>253</v>
      </c>
      <c r="B242" s="1" t="s">
        <v>16</v>
      </c>
      <c r="C242" s="1">
        <v>22850</v>
      </c>
      <c r="D242" s="2">
        <v>44987</v>
      </c>
      <c r="E242" s="1">
        <v>2023</v>
      </c>
      <c r="F242" s="2">
        <v>44987</v>
      </c>
      <c r="G242" s="2">
        <v>46082</v>
      </c>
      <c r="H242" s="2">
        <v>45128</v>
      </c>
      <c r="I242" s="1">
        <v>2023</v>
      </c>
      <c r="J242" s="2">
        <v>45249</v>
      </c>
      <c r="K242" s="1">
        <f>YEAR(Tableau13[[#This Row],[Date de déclaration]])</f>
        <v>2023</v>
      </c>
      <c r="L242" s="4">
        <v>348333.32</v>
      </c>
      <c r="M242" s="15">
        <f>Tableau13[[#This Row],[Année de déclaration]]-Tableau13[[#This Row],[Année de sinistre]]</f>
        <v>0</v>
      </c>
    </row>
    <row r="243" spans="1:13" x14ac:dyDescent="0.3">
      <c r="A243" s="1" t="s">
        <v>254</v>
      </c>
      <c r="B243" s="1" t="s">
        <v>16</v>
      </c>
      <c r="C243" s="1">
        <v>29841</v>
      </c>
      <c r="D243" s="2">
        <v>45207</v>
      </c>
      <c r="E243" s="1">
        <v>2023</v>
      </c>
      <c r="F243" s="2">
        <v>45207</v>
      </c>
      <c r="G243" s="2">
        <v>46333</v>
      </c>
      <c r="H243" s="2">
        <v>45226</v>
      </c>
      <c r="I243" s="1">
        <v>2023</v>
      </c>
      <c r="J243" s="2">
        <v>45251</v>
      </c>
      <c r="K243" s="1">
        <f>YEAR(Tableau13[[#This Row],[Date de déclaration]])</f>
        <v>2023</v>
      </c>
      <c r="L243" s="4">
        <v>388334.81349911192</v>
      </c>
      <c r="M243" s="15">
        <f>Tableau13[[#This Row],[Année de déclaration]]-Tableau13[[#This Row],[Année de sinistre]]</f>
        <v>0</v>
      </c>
    </row>
    <row r="244" spans="1:13" x14ac:dyDescent="0.3">
      <c r="A244" s="1" t="s">
        <v>255</v>
      </c>
      <c r="B244" s="1" t="s">
        <v>16</v>
      </c>
      <c r="C244" s="1">
        <v>17475</v>
      </c>
      <c r="D244" s="2">
        <v>44741</v>
      </c>
      <c r="E244" s="1">
        <v>2022</v>
      </c>
      <c r="F244" s="2">
        <v>44774</v>
      </c>
      <c r="G244" s="2">
        <v>45869</v>
      </c>
      <c r="H244" s="2">
        <v>45162</v>
      </c>
      <c r="I244" s="1">
        <v>2023</v>
      </c>
      <c r="J244" s="2">
        <v>45256</v>
      </c>
      <c r="K244" s="1">
        <f>YEAR(Tableau13[[#This Row],[Date de déclaration]])</f>
        <v>2023</v>
      </c>
      <c r="L244" s="4">
        <v>296578.42922374426</v>
      </c>
      <c r="M244" s="15">
        <f>Tableau13[[#This Row],[Année de déclaration]]-Tableau13[[#This Row],[Année de sinistre]]</f>
        <v>0</v>
      </c>
    </row>
    <row r="245" spans="1:13" x14ac:dyDescent="0.3">
      <c r="A245" s="1" t="s">
        <v>256</v>
      </c>
      <c r="B245" s="1" t="s">
        <v>13</v>
      </c>
      <c r="C245" s="1">
        <v>18232</v>
      </c>
      <c r="D245" s="2">
        <v>44678</v>
      </c>
      <c r="E245" s="1">
        <v>2022</v>
      </c>
      <c r="F245" s="2">
        <v>44678</v>
      </c>
      <c r="G245" s="2">
        <v>55615</v>
      </c>
      <c r="H245" s="2">
        <v>45253</v>
      </c>
      <c r="I245" s="1">
        <v>2023</v>
      </c>
      <c r="J245" s="2">
        <v>45253</v>
      </c>
      <c r="K245" s="1">
        <f>YEAR(Tableau13[[#This Row],[Date de déclaration]])</f>
        <v>2023</v>
      </c>
      <c r="L245" s="4">
        <v>2072934.8220718661</v>
      </c>
      <c r="M245" s="15">
        <f>Tableau13[[#This Row],[Année de déclaration]]-Tableau13[[#This Row],[Année de sinistre]]</f>
        <v>0</v>
      </c>
    </row>
    <row r="246" spans="1:13" x14ac:dyDescent="0.3">
      <c r="A246" s="1" t="s">
        <v>257</v>
      </c>
      <c r="B246" s="1" t="s">
        <v>16</v>
      </c>
      <c r="C246" s="1">
        <v>20329</v>
      </c>
      <c r="D246" s="2">
        <v>44906</v>
      </c>
      <c r="E246" s="1">
        <v>2022</v>
      </c>
      <c r="F246" s="2">
        <v>44907</v>
      </c>
      <c r="G246" s="2">
        <v>46002</v>
      </c>
      <c r="H246" s="2">
        <v>45088</v>
      </c>
      <c r="I246" s="1">
        <v>2023</v>
      </c>
      <c r="J246" s="2">
        <v>45265</v>
      </c>
      <c r="K246" s="1">
        <f>YEAR(Tableau13[[#This Row],[Date de déclaration]])</f>
        <v>2023</v>
      </c>
      <c r="L246" s="4">
        <v>376635.01</v>
      </c>
      <c r="M246" s="15">
        <f>Tableau13[[#This Row],[Année de déclaration]]-Tableau13[[#This Row],[Année de sinistre]]</f>
        <v>0</v>
      </c>
    </row>
    <row r="247" spans="1:13" x14ac:dyDescent="0.3">
      <c r="A247" s="1" t="s">
        <v>258</v>
      </c>
      <c r="B247" s="1" t="s">
        <v>13</v>
      </c>
      <c r="C247" s="1">
        <v>26024</v>
      </c>
      <c r="D247" s="2">
        <v>45099</v>
      </c>
      <c r="E247" s="1">
        <v>2023</v>
      </c>
      <c r="F247" s="2">
        <v>45099</v>
      </c>
      <c r="G247" s="2">
        <v>54230</v>
      </c>
      <c r="H247" s="2">
        <v>45182</v>
      </c>
      <c r="I247" s="1">
        <v>2023</v>
      </c>
      <c r="J247" s="2">
        <v>45266</v>
      </c>
      <c r="K247" s="1">
        <f>YEAR(Tableau13[[#This Row],[Date de déclaration]])</f>
        <v>2023</v>
      </c>
      <c r="L247" s="4">
        <v>3000000</v>
      </c>
      <c r="M247" s="15">
        <f>Tableau13[[#This Row],[Année de déclaration]]-Tableau13[[#This Row],[Année de sinistre]]</f>
        <v>0</v>
      </c>
    </row>
    <row r="248" spans="1:13" x14ac:dyDescent="0.3">
      <c r="A248" s="1" t="s">
        <v>259</v>
      </c>
      <c r="B248" s="1" t="s">
        <v>13</v>
      </c>
      <c r="C248" s="1">
        <v>14065</v>
      </c>
      <c r="D248" s="2">
        <v>44389</v>
      </c>
      <c r="E248" s="1">
        <v>2021</v>
      </c>
      <c r="F248" s="2">
        <v>44392</v>
      </c>
      <c r="G248" s="2">
        <v>51691</v>
      </c>
      <c r="H248" s="2">
        <v>45231</v>
      </c>
      <c r="I248" s="1">
        <v>2023</v>
      </c>
      <c r="J248" s="2">
        <v>45231</v>
      </c>
      <c r="K248" s="1">
        <f>YEAR(Tableau13[[#This Row],[Date de déclaration]])</f>
        <v>2023</v>
      </c>
      <c r="L248" s="4">
        <v>2103039.2200000002</v>
      </c>
      <c r="M248" s="15">
        <f>Tableau13[[#This Row],[Année de déclaration]]-Tableau13[[#This Row],[Année de sinistre]]</f>
        <v>0</v>
      </c>
    </row>
    <row r="249" spans="1:13" x14ac:dyDescent="0.3">
      <c r="A249" s="1" t="s">
        <v>260</v>
      </c>
      <c r="B249" s="1" t="s">
        <v>16</v>
      </c>
      <c r="C249" s="1">
        <v>16041</v>
      </c>
      <c r="D249" s="2">
        <v>44644</v>
      </c>
      <c r="E249" s="1">
        <v>2022</v>
      </c>
      <c r="F249" s="2">
        <v>44644</v>
      </c>
      <c r="G249" s="2">
        <v>45739</v>
      </c>
      <c r="H249" s="2">
        <v>44969</v>
      </c>
      <c r="I249" s="1">
        <v>2023</v>
      </c>
      <c r="J249" s="2">
        <v>45267</v>
      </c>
      <c r="K249" s="1">
        <f>YEAR(Tableau13[[#This Row],[Date de déclaration]])</f>
        <v>2023</v>
      </c>
      <c r="L249" s="4">
        <v>351598.17351598176</v>
      </c>
      <c r="M249" s="15">
        <f>Tableau13[[#This Row],[Année de déclaration]]-Tableau13[[#This Row],[Année de sinistre]]</f>
        <v>0</v>
      </c>
    </row>
    <row r="250" spans="1:13" x14ac:dyDescent="0.3">
      <c r="A250" s="1" t="s">
        <v>261</v>
      </c>
      <c r="B250" s="1" t="s">
        <v>16</v>
      </c>
      <c r="C250" s="1">
        <v>2408</v>
      </c>
      <c r="D250" s="2">
        <v>43520</v>
      </c>
      <c r="E250" s="1">
        <v>2019</v>
      </c>
      <c r="F250" s="2">
        <v>43521</v>
      </c>
      <c r="G250" s="2" t="s">
        <v>262</v>
      </c>
      <c r="H250" s="2">
        <v>45252</v>
      </c>
      <c r="I250" s="1">
        <v>2023</v>
      </c>
      <c r="J250" s="2">
        <v>45271</v>
      </c>
      <c r="K250" s="1">
        <f>YEAR(Tableau13[[#This Row],[Date de déclaration]])</f>
        <v>2023</v>
      </c>
      <c r="L250" s="4">
        <v>88901.29</v>
      </c>
      <c r="M250" s="15">
        <f>Tableau13[[#This Row],[Année de déclaration]]-Tableau13[[#This Row],[Année de sinistre]]</f>
        <v>0</v>
      </c>
    </row>
    <row r="251" spans="1:13" x14ac:dyDescent="0.3">
      <c r="A251" s="1" t="s">
        <v>263</v>
      </c>
      <c r="B251" s="1" t="s">
        <v>16</v>
      </c>
      <c r="C251" s="1">
        <v>15728</v>
      </c>
      <c r="D251" s="2">
        <v>44623</v>
      </c>
      <c r="E251" s="1">
        <v>2022</v>
      </c>
      <c r="F251" s="2">
        <v>44650</v>
      </c>
      <c r="G251" s="2">
        <v>45745</v>
      </c>
      <c r="H251" s="2">
        <v>45239</v>
      </c>
      <c r="I251" s="1">
        <v>2023</v>
      </c>
      <c r="J251" s="2">
        <v>45279</v>
      </c>
      <c r="K251" s="1">
        <f>YEAR(Tableau13[[#This Row],[Date de déclaration]])</f>
        <v>2023</v>
      </c>
      <c r="L251" s="4">
        <v>388164.38356164377</v>
      </c>
      <c r="M251" s="15">
        <f>Tableau13[[#This Row],[Année de déclaration]]-Tableau13[[#This Row],[Année de sinistre]]</f>
        <v>0</v>
      </c>
    </row>
    <row r="252" spans="1:13" x14ac:dyDescent="0.3">
      <c r="A252" s="1" t="s">
        <v>264</v>
      </c>
      <c r="B252" s="1" t="s">
        <v>16</v>
      </c>
      <c r="C252" s="1">
        <v>22454</v>
      </c>
      <c r="D252" s="2">
        <v>44977</v>
      </c>
      <c r="E252" s="1">
        <v>2023</v>
      </c>
      <c r="F252" s="2">
        <v>44977</v>
      </c>
      <c r="G252" s="2">
        <v>46072</v>
      </c>
      <c r="H252" s="2">
        <v>45114</v>
      </c>
      <c r="I252" s="1">
        <v>2023</v>
      </c>
      <c r="J252" s="2">
        <v>45291</v>
      </c>
      <c r="K252" s="1">
        <f>YEAR(Tableau13[[#This Row],[Date de déclaration]])</f>
        <v>2023</v>
      </c>
      <c r="L252" s="4">
        <v>294836.52968036529</v>
      </c>
      <c r="M252" s="15">
        <f>Tableau13[[#This Row],[Année de déclaration]]-Tableau13[[#This Row],[Année de sinistre]]</f>
        <v>0</v>
      </c>
    </row>
    <row r="253" spans="1:13" x14ac:dyDescent="0.3">
      <c r="A253" s="1" t="s">
        <v>265</v>
      </c>
      <c r="B253" s="1" t="s">
        <v>16</v>
      </c>
      <c r="C253" s="1">
        <v>18102</v>
      </c>
      <c r="D253" s="2">
        <v>44787</v>
      </c>
      <c r="E253" s="1">
        <v>2022</v>
      </c>
      <c r="F253" s="2">
        <v>44788</v>
      </c>
      <c r="G253" s="2">
        <v>45883</v>
      </c>
      <c r="H253" s="2">
        <v>45292</v>
      </c>
      <c r="I253" s="1">
        <v>2024</v>
      </c>
      <c r="J253" s="2">
        <v>45650</v>
      </c>
      <c r="K253" s="1">
        <f>YEAR(Tableau13[[#This Row],[Date de déclaration]])</f>
        <v>2024</v>
      </c>
      <c r="L253" s="4">
        <v>452830.1369863014</v>
      </c>
      <c r="M253" s="15">
        <f>Tableau13[[#This Row],[Année de déclaration]]-Tableau13[[#This Row],[Année de sinistre]]</f>
        <v>0</v>
      </c>
    </row>
    <row r="254" spans="1:13" x14ac:dyDescent="0.3">
      <c r="A254" s="1" t="s">
        <v>266</v>
      </c>
      <c r="B254" s="1" t="s">
        <v>16</v>
      </c>
      <c r="C254" s="1">
        <v>16010</v>
      </c>
      <c r="D254" s="2">
        <v>44643</v>
      </c>
      <c r="E254" s="1">
        <v>2022</v>
      </c>
      <c r="F254" s="2">
        <v>44678</v>
      </c>
      <c r="G254" s="2">
        <v>45773</v>
      </c>
      <c r="H254" s="2">
        <v>44840</v>
      </c>
      <c r="I254" s="1">
        <v>2022</v>
      </c>
      <c r="J254" s="2">
        <v>45307</v>
      </c>
      <c r="K254" s="1">
        <f>YEAR(Tableau13[[#This Row],[Date de déclaration]])</f>
        <v>2024</v>
      </c>
      <c r="L254" s="4">
        <v>357684.08219178079</v>
      </c>
      <c r="M254" s="15">
        <f>Tableau13[[#This Row],[Année de déclaration]]-Tableau13[[#This Row],[Année de sinistre]]</f>
        <v>2</v>
      </c>
    </row>
    <row r="255" spans="1:13" x14ac:dyDescent="0.3">
      <c r="A255" s="1" t="s">
        <v>267</v>
      </c>
      <c r="B255" s="1" t="s">
        <v>16</v>
      </c>
      <c r="C255" s="1">
        <v>18546</v>
      </c>
      <c r="D255" s="2">
        <v>44826</v>
      </c>
      <c r="E255" s="1">
        <v>2022</v>
      </c>
      <c r="F255" s="2">
        <v>44826</v>
      </c>
      <c r="G255" s="2">
        <v>45921</v>
      </c>
      <c r="H255" s="2">
        <v>45234</v>
      </c>
      <c r="I255" s="1">
        <v>2023</v>
      </c>
      <c r="J255" s="2">
        <v>45309</v>
      </c>
      <c r="K255" s="1">
        <f>YEAR(Tableau13[[#This Row],[Date de déclaration]])</f>
        <v>2024</v>
      </c>
      <c r="L255" s="4">
        <v>242505.35342465751</v>
      </c>
      <c r="M255" s="15">
        <f>Tableau13[[#This Row],[Année de déclaration]]-Tableau13[[#This Row],[Année de sinistre]]</f>
        <v>1</v>
      </c>
    </row>
    <row r="256" spans="1:13" x14ac:dyDescent="0.3">
      <c r="A256" s="1" t="s">
        <v>268</v>
      </c>
      <c r="B256" s="1" t="s">
        <v>13</v>
      </c>
      <c r="C256" s="1">
        <v>22567</v>
      </c>
      <c r="D256" s="2">
        <v>44924</v>
      </c>
      <c r="E256" s="1">
        <v>2022</v>
      </c>
      <c r="F256" s="2">
        <v>44924</v>
      </c>
      <c r="G256" s="2">
        <v>45654</v>
      </c>
      <c r="H256" s="2">
        <v>45289</v>
      </c>
      <c r="I256" s="1">
        <v>2023</v>
      </c>
      <c r="J256" s="2">
        <v>45314</v>
      </c>
      <c r="K256" s="1">
        <f>YEAR(Tableau13[[#This Row],[Date de déclaration]])</f>
        <v>2024</v>
      </c>
      <c r="L256" s="4">
        <v>300000</v>
      </c>
      <c r="M256" s="15">
        <f>Tableau13[[#This Row],[Année de déclaration]]-Tableau13[[#This Row],[Année de sinistre]]</f>
        <v>1</v>
      </c>
    </row>
    <row r="257" spans="1:13" x14ac:dyDescent="0.3">
      <c r="A257" s="1" t="s">
        <v>269</v>
      </c>
      <c r="B257" s="1" t="s">
        <v>13</v>
      </c>
      <c r="C257" s="1">
        <v>15184</v>
      </c>
      <c r="D257" s="2">
        <v>44483</v>
      </c>
      <c r="E257" s="1">
        <v>2021</v>
      </c>
      <c r="F257" s="2">
        <v>44499</v>
      </c>
      <c r="G257" s="2">
        <v>47420</v>
      </c>
      <c r="H257" s="2">
        <v>45253</v>
      </c>
      <c r="I257" s="1">
        <v>2023</v>
      </c>
      <c r="J257" s="2">
        <v>45253</v>
      </c>
      <c r="K257" s="1">
        <f>YEAR(Tableau13[[#This Row],[Date de déclaration]])</f>
        <v>2023</v>
      </c>
      <c r="L257" s="4">
        <v>398604.35</v>
      </c>
      <c r="M257" s="15">
        <f>Tableau13[[#This Row],[Année de déclaration]]-Tableau13[[#This Row],[Année de sinistre]]</f>
        <v>0</v>
      </c>
    </row>
    <row r="258" spans="1:13" x14ac:dyDescent="0.3">
      <c r="A258" s="1" t="s">
        <v>270</v>
      </c>
      <c r="B258" s="1" t="s">
        <v>16</v>
      </c>
      <c r="C258" s="1">
        <v>19729</v>
      </c>
      <c r="D258" s="2">
        <v>44882</v>
      </c>
      <c r="E258" s="1">
        <v>2022</v>
      </c>
      <c r="F258" s="2">
        <v>44882</v>
      </c>
      <c r="G258" s="2">
        <v>45977</v>
      </c>
      <c r="H258" s="2">
        <v>45283</v>
      </c>
      <c r="I258" s="1">
        <v>2023</v>
      </c>
      <c r="J258" s="2">
        <f>VLOOKUP(Tableau13[[#This Row],[N°Adhesion ]],[2]Sinistre!$G$232:$U$443,12,FALSE)</f>
        <v>45309</v>
      </c>
      <c r="K258" s="1">
        <f>YEAR(Tableau13[[#This Row],[Date de déclaration]])</f>
        <v>2024</v>
      </c>
      <c r="L258" s="4">
        <v>614776.25570776255</v>
      </c>
      <c r="M258" s="15">
        <f>Tableau13[[#This Row],[Année de déclaration]]-Tableau13[[#This Row],[Année de sinistre]]</f>
        <v>1</v>
      </c>
    </row>
    <row r="259" spans="1:13" x14ac:dyDescent="0.3">
      <c r="A259" s="1" t="s">
        <v>271</v>
      </c>
      <c r="B259" s="1" t="s">
        <v>16</v>
      </c>
      <c r="C259" s="1">
        <v>27445</v>
      </c>
      <c r="D259" s="2">
        <v>45111</v>
      </c>
      <c r="E259" s="1">
        <v>2023</v>
      </c>
      <c r="F259" s="2">
        <v>45111</v>
      </c>
      <c r="G259" s="2">
        <v>46206</v>
      </c>
      <c r="H259" s="2">
        <v>45303</v>
      </c>
      <c r="I259" s="1">
        <v>2024</v>
      </c>
      <c r="J259" s="2">
        <v>45327</v>
      </c>
      <c r="K259" s="1">
        <f>YEAR(Tableau13[[#This Row],[Date de déclaration]])</f>
        <v>2024</v>
      </c>
      <c r="L259" s="4">
        <v>453561.64383561647</v>
      </c>
      <c r="M259" s="15">
        <f>Tableau13[[#This Row],[Année de déclaration]]-Tableau13[[#This Row],[Année de sinistre]]</f>
        <v>0</v>
      </c>
    </row>
    <row r="260" spans="1:13" x14ac:dyDescent="0.3">
      <c r="A260" s="1" t="s">
        <v>272</v>
      </c>
      <c r="B260" s="1" t="s">
        <v>16</v>
      </c>
      <c r="C260" s="1">
        <v>11057</v>
      </c>
      <c r="D260" s="2">
        <v>44187</v>
      </c>
      <c r="E260" s="1">
        <v>2020</v>
      </c>
      <c r="F260" s="2">
        <v>44189</v>
      </c>
      <c r="G260" s="2">
        <v>45283</v>
      </c>
      <c r="H260" s="2">
        <v>44913</v>
      </c>
      <c r="I260" s="1">
        <v>2022</v>
      </c>
      <c r="J260" s="2">
        <v>45327</v>
      </c>
      <c r="K260" s="1">
        <f>YEAR(Tableau13[[#This Row],[Date de déclaration]])</f>
        <v>2024</v>
      </c>
      <c r="L260" s="4">
        <v>209689.21389396707</v>
      </c>
      <c r="M260" s="15">
        <f>Tableau13[[#This Row],[Année de déclaration]]-Tableau13[[#This Row],[Année de sinistre]]</f>
        <v>2</v>
      </c>
    </row>
    <row r="261" spans="1:13" x14ac:dyDescent="0.3">
      <c r="A261" s="1" t="s">
        <v>273</v>
      </c>
      <c r="B261" s="1" t="s">
        <v>13</v>
      </c>
      <c r="C261" s="1">
        <v>24329</v>
      </c>
      <c r="D261" s="2">
        <v>45011</v>
      </c>
      <c r="E261" s="1">
        <v>2023</v>
      </c>
      <c r="F261" s="2">
        <v>45011</v>
      </c>
      <c r="G261" s="2">
        <v>52315</v>
      </c>
      <c r="H261" s="2">
        <v>45309</v>
      </c>
      <c r="I261" s="1">
        <v>2024</v>
      </c>
      <c r="J261" s="2">
        <v>45334</v>
      </c>
      <c r="K261" s="1">
        <f>YEAR(Tableau13[[#This Row],[Date de déclaration]])</f>
        <v>2024</v>
      </c>
      <c r="L261" s="4">
        <v>1848500</v>
      </c>
      <c r="M261" s="15">
        <f>Tableau13[[#This Row],[Année de déclaration]]-Tableau13[[#This Row],[Année de sinistre]]</f>
        <v>0</v>
      </c>
    </row>
    <row r="262" spans="1:13" x14ac:dyDescent="0.3">
      <c r="A262" s="1" t="s">
        <v>274</v>
      </c>
      <c r="B262" s="1" t="s">
        <v>13</v>
      </c>
      <c r="C262" s="1">
        <v>12312</v>
      </c>
      <c r="D262" s="2">
        <v>44276</v>
      </c>
      <c r="E262" s="1">
        <v>2021</v>
      </c>
      <c r="F262" s="2">
        <v>44280</v>
      </c>
      <c r="G262" s="2">
        <v>45374</v>
      </c>
      <c r="H262" s="2">
        <v>45314</v>
      </c>
      <c r="I262" s="1">
        <v>2024</v>
      </c>
      <c r="J262" s="2">
        <v>45334</v>
      </c>
      <c r="K262" s="1">
        <f>YEAR(Tableau13[[#This Row],[Date de déclaration]])</f>
        <v>2024</v>
      </c>
      <c r="L262" s="4">
        <v>153291.28</v>
      </c>
      <c r="M262" s="15">
        <f>Tableau13[[#This Row],[Année de déclaration]]-Tableau13[[#This Row],[Année de sinistre]]</f>
        <v>0</v>
      </c>
    </row>
    <row r="263" spans="1:13" x14ac:dyDescent="0.3">
      <c r="A263" s="1" t="s">
        <v>275</v>
      </c>
      <c r="B263" s="1" t="s">
        <v>24</v>
      </c>
      <c r="C263" s="1">
        <v>504</v>
      </c>
      <c r="D263" s="2">
        <v>45217</v>
      </c>
      <c r="E263" s="1">
        <v>2023</v>
      </c>
      <c r="F263" s="2">
        <v>45217</v>
      </c>
      <c r="G263" s="2">
        <v>45582</v>
      </c>
      <c r="H263" s="2">
        <v>45316</v>
      </c>
      <c r="I263" s="1">
        <v>2024</v>
      </c>
      <c r="J263" s="2">
        <v>45337</v>
      </c>
      <c r="K263" s="1">
        <f>YEAR(Tableau13[[#This Row],[Date de déclaration]])</f>
        <v>2024</v>
      </c>
      <c r="L263" s="4">
        <v>500000</v>
      </c>
      <c r="M263" s="15">
        <f>Tableau13[[#This Row],[Année de déclaration]]-Tableau13[[#This Row],[Année de sinistre]]</f>
        <v>0</v>
      </c>
    </row>
    <row r="264" spans="1:13" x14ac:dyDescent="0.3">
      <c r="A264" s="1" t="s">
        <v>276</v>
      </c>
      <c r="B264" s="1" t="s">
        <v>13</v>
      </c>
      <c r="C264" s="1">
        <v>10973</v>
      </c>
      <c r="D264" s="2">
        <v>44188</v>
      </c>
      <c r="E264" s="1">
        <v>2020</v>
      </c>
      <c r="F264" s="2">
        <v>44195</v>
      </c>
      <c r="G264" s="2">
        <v>49669</v>
      </c>
      <c r="H264" s="2">
        <v>45289</v>
      </c>
      <c r="I264" s="1">
        <v>2023</v>
      </c>
      <c r="J264" s="2">
        <v>45335</v>
      </c>
      <c r="K264" s="1">
        <f>YEAR(Tableau13[[#This Row],[Date de déclaration]])</f>
        <v>2024</v>
      </c>
      <c r="L264" s="4">
        <v>3946284.12</v>
      </c>
      <c r="M264" s="15">
        <f>Tableau13[[#This Row],[Année de déclaration]]-Tableau13[[#This Row],[Année de sinistre]]</f>
        <v>1</v>
      </c>
    </row>
    <row r="265" spans="1:13" x14ac:dyDescent="0.3">
      <c r="A265" s="1" t="s">
        <v>277</v>
      </c>
      <c r="B265" s="1" t="s">
        <v>13</v>
      </c>
      <c r="C265" s="1">
        <v>24243</v>
      </c>
      <c r="D265" s="2">
        <v>45006</v>
      </c>
      <c r="E265" s="1">
        <v>2023</v>
      </c>
      <c r="F265" s="2">
        <v>45006</v>
      </c>
      <c r="G265" s="2">
        <v>46832</v>
      </c>
      <c r="H265" s="2">
        <v>45333</v>
      </c>
      <c r="I265" s="1">
        <v>2024</v>
      </c>
      <c r="J265" s="2">
        <v>45341</v>
      </c>
      <c r="K265" s="1">
        <f>YEAR(Tableau13[[#This Row],[Date de déclaration]])</f>
        <v>2024</v>
      </c>
      <c r="L265" s="4">
        <v>563991.44999999995</v>
      </c>
      <c r="M265" s="15">
        <f>Tableau13[[#This Row],[Année de déclaration]]-Tableau13[[#This Row],[Année de sinistre]]</f>
        <v>0</v>
      </c>
    </row>
    <row r="266" spans="1:13" x14ac:dyDescent="0.3">
      <c r="A266" s="1" t="s">
        <v>278</v>
      </c>
      <c r="B266" s="1" t="s">
        <v>13</v>
      </c>
      <c r="C266" s="1">
        <v>19368</v>
      </c>
      <c r="D266" s="2">
        <v>44741</v>
      </c>
      <c r="E266" s="1">
        <v>2022</v>
      </c>
      <c r="F266" s="2">
        <v>44741</v>
      </c>
      <c r="G266" s="2">
        <v>55698</v>
      </c>
      <c r="H266" s="2">
        <v>45314</v>
      </c>
      <c r="I266" s="1">
        <v>2024</v>
      </c>
      <c r="J266" s="2">
        <v>45336</v>
      </c>
      <c r="K266" s="1">
        <f>YEAR(Tableau13[[#This Row],[Date de déclaration]])</f>
        <v>2024</v>
      </c>
      <c r="L266" s="4">
        <v>1326464.3095737884</v>
      </c>
      <c r="M266" s="15">
        <f>Tableau13[[#This Row],[Année de déclaration]]-Tableau13[[#This Row],[Année de sinistre]]</f>
        <v>0</v>
      </c>
    </row>
    <row r="267" spans="1:13" x14ac:dyDescent="0.3">
      <c r="A267" s="1" t="s">
        <v>279</v>
      </c>
      <c r="B267" s="1" t="s">
        <v>16</v>
      </c>
      <c r="C267" s="1">
        <v>25238</v>
      </c>
      <c r="D267" s="2">
        <v>45060</v>
      </c>
      <c r="E267" s="1">
        <v>2023</v>
      </c>
      <c r="F267" s="2">
        <v>45060</v>
      </c>
      <c r="G267" s="2">
        <v>46155</v>
      </c>
      <c r="H267" s="2">
        <v>45356</v>
      </c>
      <c r="I267" s="1">
        <v>2024</v>
      </c>
      <c r="J267" s="2">
        <v>45357</v>
      </c>
      <c r="K267" s="1">
        <f>YEAR(Tableau13[[#This Row],[Date de déclaration]])</f>
        <v>2024</v>
      </c>
      <c r="L267" s="4">
        <v>375808.14</v>
      </c>
      <c r="M267" s="15">
        <f>Tableau13[[#This Row],[Année de déclaration]]-Tableau13[[#This Row],[Année de sinistre]]</f>
        <v>0</v>
      </c>
    </row>
    <row r="268" spans="1:13" x14ac:dyDescent="0.3">
      <c r="A268" s="1" t="s">
        <v>280</v>
      </c>
      <c r="B268" s="1" t="s">
        <v>16</v>
      </c>
      <c r="C268" s="1">
        <v>25227</v>
      </c>
      <c r="D268" s="2">
        <v>45060</v>
      </c>
      <c r="E268" s="1">
        <v>2023</v>
      </c>
      <c r="F268" s="2">
        <v>45060</v>
      </c>
      <c r="G268" s="2">
        <v>46155</v>
      </c>
      <c r="H268" s="2">
        <v>45157</v>
      </c>
      <c r="I268" s="1">
        <v>2023</v>
      </c>
      <c r="J268" s="2">
        <v>45358</v>
      </c>
      <c r="K268" s="1">
        <f>YEAR(Tableau13[[#This Row],[Date de déclaration]])</f>
        <v>2024</v>
      </c>
      <c r="L268" s="4">
        <v>941176.48</v>
      </c>
      <c r="M268" s="15">
        <f>Tableau13[[#This Row],[Année de déclaration]]-Tableau13[[#This Row],[Année de sinistre]]</f>
        <v>1</v>
      </c>
    </row>
    <row r="269" spans="1:13" x14ac:dyDescent="0.3">
      <c r="A269" s="1" t="s">
        <v>281</v>
      </c>
      <c r="B269" s="1" t="s">
        <v>16</v>
      </c>
      <c r="C269" s="1">
        <v>26338</v>
      </c>
      <c r="D269" s="2">
        <v>45085</v>
      </c>
      <c r="E269" s="1">
        <v>2023</v>
      </c>
      <c r="F269" s="2">
        <v>45085</v>
      </c>
      <c r="G269" s="2">
        <v>46180</v>
      </c>
      <c r="H269" s="2">
        <v>45284</v>
      </c>
      <c r="I269" s="1">
        <v>2023</v>
      </c>
      <c r="J269" s="2">
        <v>45358</v>
      </c>
      <c r="K269" s="1">
        <f>YEAR(Tableau13[[#This Row],[Date de déclaration]])</f>
        <v>2024</v>
      </c>
      <c r="L269" s="4">
        <v>499141.55251141556</v>
      </c>
      <c r="M269" s="15">
        <f>Tableau13[[#This Row],[Année de déclaration]]-Tableau13[[#This Row],[Année de sinistre]]</f>
        <v>1</v>
      </c>
    </row>
    <row r="270" spans="1:13" x14ac:dyDescent="0.3">
      <c r="A270" s="1" t="s">
        <v>282</v>
      </c>
      <c r="B270" s="1" t="s">
        <v>13</v>
      </c>
      <c r="C270" s="1">
        <v>15305</v>
      </c>
      <c r="D270" s="2">
        <v>44494</v>
      </c>
      <c r="E270" s="1">
        <v>2021</v>
      </c>
      <c r="F270" s="2">
        <v>44494</v>
      </c>
      <c r="G270" s="2">
        <v>52894</v>
      </c>
      <c r="H270" s="2">
        <v>45345</v>
      </c>
      <c r="I270" s="1">
        <v>2024</v>
      </c>
      <c r="J270" s="2">
        <v>45358</v>
      </c>
      <c r="K270" s="1">
        <f>YEAR(Tableau13[[#This Row],[Date de déclaration]])</f>
        <v>2024</v>
      </c>
      <c r="L270" s="4">
        <v>9247106.2102380954</v>
      </c>
      <c r="M270" s="15">
        <f>Tableau13[[#This Row],[Année de déclaration]]-Tableau13[[#This Row],[Année de sinistre]]</f>
        <v>0</v>
      </c>
    </row>
    <row r="271" spans="1:13" x14ac:dyDescent="0.3">
      <c r="A271" s="1" t="s">
        <v>283</v>
      </c>
      <c r="B271" s="1" t="s">
        <v>16</v>
      </c>
      <c r="C271" s="1">
        <v>13572</v>
      </c>
      <c r="D271" s="2">
        <v>44439</v>
      </c>
      <c r="E271" s="1">
        <v>2021</v>
      </c>
      <c r="F271" s="2">
        <v>44439</v>
      </c>
      <c r="G271" s="2">
        <v>45534</v>
      </c>
      <c r="H271" s="2">
        <v>45327</v>
      </c>
      <c r="I271" s="1">
        <v>2024</v>
      </c>
      <c r="J271" s="2">
        <v>45358</v>
      </c>
      <c r="K271" s="1">
        <f>YEAR(Tableau13[[#This Row],[Date de déclaration]])</f>
        <v>2024</v>
      </c>
      <c r="L271" s="4">
        <v>53309.589041095889</v>
      </c>
      <c r="M271" s="15">
        <f>Tableau13[[#This Row],[Année de déclaration]]-Tableau13[[#This Row],[Année de sinistre]]</f>
        <v>0</v>
      </c>
    </row>
    <row r="272" spans="1:13" x14ac:dyDescent="0.3">
      <c r="A272" s="1" t="s">
        <v>284</v>
      </c>
      <c r="B272" s="1" t="s">
        <v>16</v>
      </c>
      <c r="C272" s="1">
        <v>26978</v>
      </c>
      <c r="D272" s="2">
        <v>45099</v>
      </c>
      <c r="E272" s="1">
        <v>2023</v>
      </c>
      <c r="F272" s="2">
        <v>45099</v>
      </c>
      <c r="G272" s="2">
        <v>46194</v>
      </c>
      <c r="H272" s="2">
        <v>45242</v>
      </c>
      <c r="I272" s="1">
        <v>2023</v>
      </c>
      <c r="J272" s="2">
        <v>45362</v>
      </c>
      <c r="K272" s="1">
        <f>YEAR(Tableau13[[#This Row],[Date de déclaration]])</f>
        <v>2024</v>
      </c>
      <c r="L272" s="4">
        <v>426666.68</v>
      </c>
      <c r="M272" s="15">
        <f>Tableau13[[#This Row],[Année de déclaration]]-Tableau13[[#This Row],[Année de sinistre]]</f>
        <v>1</v>
      </c>
    </row>
    <row r="273" spans="1:13" x14ac:dyDescent="0.3">
      <c r="A273" s="1" t="s">
        <v>285</v>
      </c>
      <c r="B273" s="1" t="s">
        <v>16</v>
      </c>
      <c r="C273" s="1">
        <v>20926</v>
      </c>
      <c r="D273" s="2">
        <v>44923</v>
      </c>
      <c r="E273" s="1">
        <v>2022</v>
      </c>
      <c r="F273" s="2">
        <v>44924</v>
      </c>
      <c r="G273" s="2">
        <v>46019</v>
      </c>
      <c r="H273" s="2">
        <v>45306</v>
      </c>
      <c r="I273" s="1">
        <v>2024</v>
      </c>
      <c r="J273" s="2">
        <v>45362</v>
      </c>
      <c r="K273" s="1">
        <f>YEAR(Tableau13[[#This Row],[Date de déclaration]])</f>
        <v>2024</v>
      </c>
      <c r="L273" s="4">
        <v>325570.77625570772</v>
      </c>
      <c r="M273" s="15">
        <f>Tableau13[[#This Row],[Année de déclaration]]-Tableau13[[#This Row],[Année de sinistre]]</f>
        <v>0</v>
      </c>
    </row>
    <row r="274" spans="1:13" x14ac:dyDescent="0.3">
      <c r="A274" s="1" t="s">
        <v>286</v>
      </c>
      <c r="B274" s="1" t="s">
        <v>13</v>
      </c>
      <c r="C274" s="1">
        <v>19671</v>
      </c>
      <c r="D274" s="2">
        <v>44760</v>
      </c>
      <c r="E274" s="1">
        <v>2022</v>
      </c>
      <c r="F274" s="2">
        <v>44760</v>
      </c>
      <c r="G274" s="2">
        <v>47316</v>
      </c>
      <c r="H274" s="2">
        <v>45306</v>
      </c>
      <c r="I274" s="1">
        <v>2024</v>
      </c>
      <c r="J274" s="2">
        <v>45364</v>
      </c>
      <c r="K274" s="1">
        <f>YEAR(Tableau13[[#This Row],[Date de déclaration]])</f>
        <v>2024</v>
      </c>
      <c r="L274" s="4">
        <v>2440046</v>
      </c>
      <c r="M274" s="15">
        <f>Tableau13[[#This Row],[Année de déclaration]]-Tableau13[[#This Row],[Année de sinistre]]</f>
        <v>0</v>
      </c>
    </row>
    <row r="275" spans="1:13" x14ac:dyDescent="0.3">
      <c r="A275" s="1" t="s">
        <v>287</v>
      </c>
      <c r="B275" s="1" t="s">
        <v>16</v>
      </c>
      <c r="C275" s="1">
        <v>28967</v>
      </c>
      <c r="D275" s="2">
        <v>45155</v>
      </c>
      <c r="E275" s="1">
        <v>2023</v>
      </c>
      <c r="F275" s="2">
        <v>45155</v>
      </c>
      <c r="G275" s="2">
        <v>46250</v>
      </c>
      <c r="H275" s="2">
        <v>45272</v>
      </c>
      <c r="I275" s="1">
        <v>2023</v>
      </c>
      <c r="J275" s="2">
        <v>45365</v>
      </c>
      <c r="K275" s="1">
        <f>YEAR(Tableau13[[#This Row],[Date de déclaration]])</f>
        <v>2024</v>
      </c>
      <c r="L275" s="4">
        <v>556650.12</v>
      </c>
      <c r="M275" s="15">
        <f>Tableau13[[#This Row],[Année de déclaration]]-Tableau13[[#This Row],[Année de sinistre]]</f>
        <v>1</v>
      </c>
    </row>
    <row r="276" spans="1:13" x14ac:dyDescent="0.3">
      <c r="A276" s="1" t="s">
        <v>288</v>
      </c>
      <c r="B276" s="1" t="s">
        <v>13</v>
      </c>
      <c r="C276" s="1">
        <v>20891</v>
      </c>
      <c r="D276" s="2">
        <v>44836</v>
      </c>
      <c r="E276" s="1">
        <v>2022</v>
      </c>
      <c r="F276" s="2">
        <v>44836</v>
      </c>
      <c r="G276" s="2">
        <v>52140</v>
      </c>
      <c r="H276" s="2">
        <v>45355</v>
      </c>
      <c r="I276" s="1">
        <v>2024</v>
      </c>
      <c r="J276" s="2">
        <v>45369</v>
      </c>
      <c r="K276" s="1">
        <f>YEAR(Tableau13[[#This Row],[Date de déclaration]])</f>
        <v>2024</v>
      </c>
      <c r="L276" s="4">
        <v>13177286.66169907</v>
      </c>
      <c r="M276" s="15">
        <f>Tableau13[[#This Row],[Année de déclaration]]-Tableau13[[#This Row],[Année de sinistre]]</f>
        <v>0</v>
      </c>
    </row>
    <row r="277" spans="1:13" x14ac:dyDescent="0.3">
      <c r="A277" s="1" t="s">
        <v>289</v>
      </c>
      <c r="B277" s="1" t="s">
        <v>16</v>
      </c>
      <c r="C277" s="1">
        <v>21768</v>
      </c>
      <c r="D277" s="2">
        <v>44957</v>
      </c>
      <c r="E277" s="1">
        <v>2023</v>
      </c>
      <c r="F277" s="2">
        <v>44958</v>
      </c>
      <c r="G277" s="2">
        <v>46053</v>
      </c>
      <c r="H277" s="2">
        <v>45308</v>
      </c>
      <c r="I277" s="1">
        <v>2024</v>
      </c>
      <c r="J277" s="2">
        <v>45370</v>
      </c>
      <c r="K277" s="1">
        <f>YEAR(Tableau13[[#This Row],[Date de déclaration]])</f>
        <v>2024</v>
      </c>
      <c r="L277" s="4">
        <v>277777.78999999998</v>
      </c>
      <c r="M277" s="15">
        <f>Tableau13[[#This Row],[Année de déclaration]]-Tableau13[[#This Row],[Année de sinistre]]</f>
        <v>0</v>
      </c>
    </row>
    <row r="278" spans="1:13" x14ac:dyDescent="0.3">
      <c r="A278" s="1" t="s">
        <v>290</v>
      </c>
      <c r="B278" s="1" t="s">
        <v>16</v>
      </c>
      <c r="C278" s="1">
        <v>21441</v>
      </c>
      <c r="D278" s="2">
        <v>44949</v>
      </c>
      <c r="E278" s="1">
        <v>2023</v>
      </c>
      <c r="F278" s="2">
        <v>44949</v>
      </c>
      <c r="G278" s="2">
        <v>46044</v>
      </c>
      <c r="H278" s="2">
        <v>45288</v>
      </c>
      <c r="I278" s="1">
        <v>2023</v>
      </c>
      <c r="J278" s="2">
        <v>45377</v>
      </c>
      <c r="K278" s="1">
        <f>YEAR(Tableau13[[#This Row],[Date de déclaration]])</f>
        <v>2024</v>
      </c>
      <c r="L278" s="4">
        <v>269260.27397260274</v>
      </c>
      <c r="M278" s="15">
        <f>Tableau13[[#This Row],[Année de déclaration]]-Tableau13[[#This Row],[Année de sinistre]]</f>
        <v>1</v>
      </c>
    </row>
    <row r="279" spans="1:13" x14ac:dyDescent="0.3">
      <c r="A279" s="1" t="s">
        <v>291</v>
      </c>
      <c r="B279" s="1" t="s">
        <v>16</v>
      </c>
      <c r="C279" s="1">
        <v>214404</v>
      </c>
      <c r="D279" s="2">
        <v>44948</v>
      </c>
      <c r="E279" s="1">
        <v>2023</v>
      </c>
      <c r="F279" s="2">
        <v>44948</v>
      </c>
      <c r="G279" s="2">
        <v>46043</v>
      </c>
      <c r="H279" s="2">
        <v>45283</v>
      </c>
      <c r="I279" s="1">
        <v>2023</v>
      </c>
      <c r="J279" s="2">
        <v>45283</v>
      </c>
      <c r="K279" s="1">
        <f>YEAR(Tableau13[[#This Row],[Date de déclaration]])</f>
        <v>2023</v>
      </c>
      <c r="L279" s="4">
        <v>556111.1</v>
      </c>
      <c r="M279" s="15">
        <f>Tableau13[[#This Row],[Année de déclaration]]-Tableau13[[#This Row],[Année de sinistre]]</f>
        <v>0</v>
      </c>
    </row>
    <row r="280" spans="1:13" x14ac:dyDescent="0.3">
      <c r="A280" s="1" t="s">
        <v>292</v>
      </c>
      <c r="B280" s="1" t="s">
        <v>13</v>
      </c>
      <c r="C280" s="1">
        <v>413</v>
      </c>
      <c r="D280" s="2">
        <v>42919</v>
      </c>
      <c r="E280" s="1">
        <v>2017</v>
      </c>
      <c r="F280" s="2">
        <v>42920</v>
      </c>
      <c r="G280" s="2">
        <v>52415</v>
      </c>
      <c r="H280" s="2">
        <v>45371</v>
      </c>
      <c r="I280" s="1">
        <v>2024</v>
      </c>
      <c r="J280" s="2">
        <v>45382</v>
      </c>
      <c r="K280" s="1">
        <f>YEAR(Tableau13[[#This Row],[Date de déclaration]])</f>
        <v>2024</v>
      </c>
      <c r="L280" s="4">
        <v>1095106.0723665087</v>
      </c>
      <c r="M280" s="15">
        <f>Tableau13[[#This Row],[Année de déclaration]]-Tableau13[[#This Row],[Année de sinistre]]</f>
        <v>0</v>
      </c>
    </row>
    <row r="281" spans="1:13" x14ac:dyDescent="0.3">
      <c r="A281" s="1" t="s">
        <v>293</v>
      </c>
      <c r="B281" s="1" t="s">
        <v>16</v>
      </c>
      <c r="C281" s="1">
        <v>18722</v>
      </c>
      <c r="D281" s="2">
        <v>44837</v>
      </c>
      <c r="E281" s="1">
        <v>2022</v>
      </c>
      <c r="F281" s="2">
        <v>44837</v>
      </c>
      <c r="G281" s="2">
        <v>45932</v>
      </c>
      <c r="H281" s="2">
        <v>45094</v>
      </c>
      <c r="I281" s="1">
        <v>2023</v>
      </c>
      <c r="J281" s="2">
        <f>VLOOKUP(Tableau13[[#This Row],[N°Adhesion ]],[2]Sinistre!$G$232:$U$443,12,FALSE)</f>
        <v>45469</v>
      </c>
      <c r="K281" s="1">
        <f>YEAR(Tableau13[[#This Row],[Date de déclaration]])</f>
        <v>2024</v>
      </c>
      <c r="L281" s="4">
        <v>497442.92237442924</v>
      </c>
      <c r="M281" s="15">
        <f>Tableau13[[#This Row],[Année de déclaration]]-Tableau13[[#This Row],[Année de sinistre]]</f>
        <v>1</v>
      </c>
    </row>
    <row r="282" spans="1:13" x14ac:dyDescent="0.3">
      <c r="A282" s="1" t="s">
        <v>294</v>
      </c>
      <c r="B282" s="1" t="s">
        <v>16</v>
      </c>
      <c r="C282" s="1">
        <v>31077</v>
      </c>
      <c r="D282" s="2">
        <v>45266</v>
      </c>
      <c r="E282" s="1">
        <v>2023</v>
      </c>
      <c r="F282" s="2">
        <v>45266</v>
      </c>
      <c r="G282" s="2">
        <v>46361</v>
      </c>
      <c r="H282" s="2">
        <v>45382</v>
      </c>
      <c r="I282" s="1">
        <v>2024</v>
      </c>
      <c r="J282" s="2">
        <f>VLOOKUP(Tableau13[[#This Row],[N°Adhesion ]],[2]Sinistre!$G$232:$U$443,12,FALSE)</f>
        <v>45432</v>
      </c>
      <c r="K282" s="1">
        <f>YEAR(Tableau13[[#This Row],[Date de déclaration]])</f>
        <v>2024</v>
      </c>
      <c r="L282" s="4">
        <v>339744.29223744292</v>
      </c>
      <c r="M282" s="15">
        <f>Tableau13[[#This Row],[Année de déclaration]]-Tableau13[[#This Row],[Année de sinistre]]</f>
        <v>0</v>
      </c>
    </row>
    <row r="283" spans="1:13" x14ac:dyDescent="0.3">
      <c r="A283" s="1" t="s">
        <v>295</v>
      </c>
      <c r="B283" s="1" t="s">
        <v>13</v>
      </c>
      <c r="C283" s="1">
        <v>15098</v>
      </c>
      <c r="D283" s="2">
        <v>44480</v>
      </c>
      <c r="E283" s="1">
        <v>2021</v>
      </c>
      <c r="F283" s="2">
        <v>44480</v>
      </c>
      <c r="G283" s="2">
        <v>58358</v>
      </c>
      <c r="H283" s="2">
        <v>44519</v>
      </c>
      <c r="I283" s="1">
        <v>2021</v>
      </c>
      <c r="J283" s="2">
        <f>VLOOKUP(Tableau13[[#This Row],[N°Adhesion ]],[2]Sinistre!$G$232:$U$443,12,FALSE)</f>
        <v>45382</v>
      </c>
      <c r="K283" s="1">
        <f>YEAR(Tableau13[[#This Row],[Date de déclaration]])</f>
        <v>2024</v>
      </c>
      <c r="L283" s="4">
        <v>8436225.6809338517</v>
      </c>
      <c r="M283" s="15">
        <f>Tableau13[[#This Row],[Année de déclaration]]-Tableau13[[#This Row],[Année de sinistre]]</f>
        <v>3</v>
      </c>
    </row>
    <row r="284" spans="1:13" x14ac:dyDescent="0.3">
      <c r="A284" s="1" t="s">
        <v>296</v>
      </c>
      <c r="B284" s="1" t="s">
        <v>13</v>
      </c>
      <c r="C284" s="1">
        <v>574</v>
      </c>
      <c r="D284" s="2">
        <v>42946</v>
      </c>
      <c r="E284" s="1">
        <v>2017</v>
      </c>
      <c r="F284" s="2">
        <v>42947</v>
      </c>
      <c r="G284" s="2">
        <v>54269</v>
      </c>
      <c r="H284" s="2">
        <v>45374</v>
      </c>
      <c r="I284" s="1">
        <v>2024</v>
      </c>
      <c r="J284" s="2">
        <f>VLOOKUP(Tableau13[[#This Row],[N°Adhesion ]],[2]Sinistre!$G$232:$U$443,12,FALSE)</f>
        <v>45470</v>
      </c>
      <c r="K284" s="1">
        <f>YEAR(Tableau13[[#This Row],[Date de déclaration]])</f>
        <v>2024</v>
      </c>
      <c r="L284" s="4">
        <v>861595.61821674614</v>
      </c>
      <c r="M284" s="15">
        <f>Tableau13[[#This Row],[Année de déclaration]]-Tableau13[[#This Row],[Année de sinistre]]</f>
        <v>0</v>
      </c>
    </row>
    <row r="285" spans="1:13" x14ac:dyDescent="0.3">
      <c r="A285" s="1" t="s">
        <v>297</v>
      </c>
      <c r="B285" s="1" t="s">
        <v>13</v>
      </c>
      <c r="C285" s="1">
        <v>12395</v>
      </c>
      <c r="D285" s="2">
        <v>44279</v>
      </c>
      <c r="E285" s="1">
        <v>2021</v>
      </c>
      <c r="F285" s="2">
        <v>44280</v>
      </c>
      <c r="G285" s="2">
        <v>52314</v>
      </c>
      <c r="H285" s="2">
        <v>45395</v>
      </c>
      <c r="I285" s="1">
        <v>2024</v>
      </c>
      <c r="J285" s="2">
        <f>VLOOKUP(Tableau13[[#This Row],[N°Adhesion ]],[2]Sinistre!$G$232:$U$443,12,FALSE)</f>
        <v>45405</v>
      </c>
      <c r="K285" s="1">
        <f>YEAR(Tableau13[[#This Row],[Date de déclaration]])</f>
        <v>2024</v>
      </c>
      <c r="L285" s="4">
        <v>3864799.05</v>
      </c>
      <c r="M285" s="15">
        <f>Tableau13[[#This Row],[Année de déclaration]]-Tableau13[[#This Row],[Année de sinistre]]</f>
        <v>0</v>
      </c>
    </row>
    <row r="286" spans="1:13" x14ac:dyDescent="0.3">
      <c r="A286" s="1" t="s">
        <v>298</v>
      </c>
      <c r="B286" s="1" t="s">
        <v>16</v>
      </c>
      <c r="C286" s="1">
        <v>13241</v>
      </c>
      <c r="D286" s="2">
        <v>44395</v>
      </c>
      <c r="E286" s="1">
        <v>2021</v>
      </c>
      <c r="F286" s="2">
        <v>44395</v>
      </c>
      <c r="G286" s="2">
        <v>45854</v>
      </c>
      <c r="H286" s="2">
        <v>45392</v>
      </c>
      <c r="I286" s="1">
        <v>2024</v>
      </c>
      <c r="J286" s="2">
        <f>VLOOKUP(Tableau13[[#This Row],[N°Adhesion ]],[2]Sinistre!$G$232:$U$443,12,FALSE)</f>
        <v>45445</v>
      </c>
      <c r="K286" s="1">
        <f>YEAR(Tableau13[[#This Row],[Date de déclaration]])</f>
        <v>2024</v>
      </c>
      <c r="L286" s="4">
        <v>183660.04112405758</v>
      </c>
      <c r="M286" s="15">
        <f>Tableau13[[#This Row],[Année de déclaration]]-Tableau13[[#This Row],[Année de sinistre]]</f>
        <v>0</v>
      </c>
    </row>
    <row r="287" spans="1:13" x14ac:dyDescent="0.3">
      <c r="A287" s="1" t="s">
        <v>299</v>
      </c>
      <c r="B287" s="1" t="s">
        <v>16</v>
      </c>
      <c r="C287" s="1">
        <v>18870</v>
      </c>
      <c r="D287" s="2">
        <v>44845</v>
      </c>
      <c r="E287" s="1">
        <v>2022</v>
      </c>
      <c r="F287" s="2">
        <v>44845</v>
      </c>
      <c r="G287" s="2">
        <v>45940</v>
      </c>
      <c r="H287" s="2">
        <v>45403</v>
      </c>
      <c r="I287" s="1">
        <v>2024</v>
      </c>
      <c r="J287" s="2">
        <f>VLOOKUP(Tableau13[[#This Row],[N°Adhesion ]],[2]Sinistre!$G$232:$U$443,12,FALSE)</f>
        <v>45407</v>
      </c>
      <c r="K287" s="1">
        <f>YEAR(Tableau13[[#This Row],[Date de déclaration]])</f>
        <v>2024</v>
      </c>
      <c r="L287" s="4">
        <v>392328.76712328766</v>
      </c>
      <c r="M287" s="15">
        <f>Tableau13[[#This Row],[Année de déclaration]]-Tableau13[[#This Row],[Année de sinistre]]</f>
        <v>0</v>
      </c>
    </row>
    <row r="288" spans="1:13" x14ac:dyDescent="0.3">
      <c r="A288" s="1" t="s">
        <v>300</v>
      </c>
      <c r="B288" s="1" t="s">
        <v>13</v>
      </c>
      <c r="C288" s="1">
        <v>19279</v>
      </c>
      <c r="D288" s="2">
        <v>44739</v>
      </c>
      <c r="E288" s="1">
        <v>2022</v>
      </c>
      <c r="F288" s="2">
        <v>44739</v>
      </c>
      <c r="G288" s="2">
        <v>59348</v>
      </c>
      <c r="H288" s="2">
        <v>45357</v>
      </c>
      <c r="I288" s="1">
        <v>2024</v>
      </c>
      <c r="J288" s="2">
        <f>VLOOKUP(Tableau13[[#This Row],[N°Adhesion ]],[2]Sinistre!$G$232:$U$443,12,FALSE)</f>
        <v>45407</v>
      </c>
      <c r="K288" s="1">
        <f>YEAR(Tableau13[[#This Row],[Date de déclaration]])</f>
        <v>2024</v>
      </c>
      <c r="L288" s="5">
        <v>7650000</v>
      </c>
      <c r="M288" s="15">
        <f>Tableau13[[#This Row],[Année de déclaration]]-Tableau13[[#This Row],[Année de sinistre]]</f>
        <v>0</v>
      </c>
    </row>
    <row r="289" spans="1:13" x14ac:dyDescent="0.3">
      <c r="A289" s="1" t="s">
        <v>301</v>
      </c>
      <c r="B289" s="1" t="s">
        <v>13</v>
      </c>
      <c r="C289" s="1">
        <v>7463</v>
      </c>
      <c r="D289" s="2">
        <v>43822</v>
      </c>
      <c r="E289" s="1">
        <v>2019</v>
      </c>
      <c r="F289" s="2">
        <v>43819</v>
      </c>
      <c r="G289" s="2">
        <v>52213</v>
      </c>
      <c r="H289" s="2">
        <v>45402</v>
      </c>
      <c r="I289" s="1">
        <v>2024</v>
      </c>
      <c r="J289" s="2">
        <f>VLOOKUP(Tableau13[[#This Row],[N°Adhesion ]],[2]Sinistre!$G$232:$U$443,12,FALSE)</f>
        <v>45404</v>
      </c>
      <c r="K289" s="1">
        <f>YEAR(Tableau13[[#This Row],[Date de déclaration]])</f>
        <v>2024</v>
      </c>
      <c r="L289" s="4">
        <v>4108847.4</v>
      </c>
      <c r="M289" s="15">
        <f>Tableau13[[#This Row],[Année de déclaration]]-Tableau13[[#This Row],[Année de sinistre]]</f>
        <v>0</v>
      </c>
    </row>
    <row r="290" spans="1:13" x14ac:dyDescent="0.3">
      <c r="A290" s="1" t="s">
        <v>302</v>
      </c>
      <c r="B290" s="1" t="s">
        <v>13</v>
      </c>
      <c r="C290" s="1">
        <v>11636</v>
      </c>
      <c r="D290" s="2">
        <v>44237</v>
      </c>
      <c r="E290" s="1">
        <v>2021</v>
      </c>
      <c r="F290" s="2">
        <v>44242</v>
      </c>
      <c r="G290" s="2">
        <v>51911</v>
      </c>
      <c r="H290" s="2">
        <v>45421</v>
      </c>
      <c r="I290" s="1">
        <v>2024</v>
      </c>
      <c r="J290" s="2">
        <f>VLOOKUP(Tableau13[[#This Row],[N°Adhesion ]],[2]Sinistre!$G$232:$U$443,12,FALSE)</f>
        <v>45694</v>
      </c>
      <c r="K290" s="1">
        <f>YEAR(Tableau13[[#This Row],[Date de déclaration]])</f>
        <v>2025</v>
      </c>
      <c r="L290" s="4">
        <v>7539917.655496154</v>
      </c>
      <c r="M290" s="15">
        <f>Tableau13[[#This Row],[Année de déclaration]]-Tableau13[[#This Row],[Année de sinistre]]</f>
        <v>1</v>
      </c>
    </row>
    <row r="291" spans="1:13" x14ac:dyDescent="0.3">
      <c r="A291" s="1" t="s">
        <v>303</v>
      </c>
      <c r="B291" s="1" t="s">
        <v>13</v>
      </c>
      <c r="C291" s="1">
        <v>16501</v>
      </c>
      <c r="D291" s="2">
        <v>44564</v>
      </c>
      <c r="E291" s="1">
        <v>2022</v>
      </c>
      <c r="F291" s="2">
        <v>44565</v>
      </c>
      <c r="G291" s="2">
        <v>56252</v>
      </c>
      <c r="H291" s="2">
        <v>45426</v>
      </c>
      <c r="I291" s="1">
        <v>2024</v>
      </c>
      <c r="J291" s="2">
        <f>VLOOKUP(Tableau13[[#This Row],[N°Adhesion ]],[2]Sinistre!$G$232:$U$443,12,FALSE)</f>
        <v>45496</v>
      </c>
      <c r="K291" s="1">
        <f>YEAR(Tableau13[[#This Row],[Date de déclaration]])</f>
        <v>2024</v>
      </c>
      <c r="L291" s="4">
        <v>10137781.630000001</v>
      </c>
      <c r="M291" s="15">
        <f>Tableau13[[#This Row],[Année de déclaration]]-Tableau13[[#This Row],[Année de sinistre]]</f>
        <v>0</v>
      </c>
    </row>
    <row r="292" spans="1:13" x14ac:dyDescent="0.3">
      <c r="A292" s="1" t="s">
        <v>304</v>
      </c>
      <c r="B292" s="1" t="s">
        <v>13</v>
      </c>
      <c r="C292" s="1">
        <v>15669</v>
      </c>
      <c r="D292" s="2">
        <v>44517</v>
      </c>
      <c r="E292" s="1">
        <v>2021</v>
      </c>
      <c r="F292" s="2">
        <v>44532</v>
      </c>
      <c r="G292" s="2">
        <v>50740</v>
      </c>
      <c r="H292" s="2">
        <v>45427</v>
      </c>
      <c r="I292" s="1">
        <v>2024</v>
      </c>
      <c r="J292" s="2">
        <f>VLOOKUP(Tableau13[[#This Row],[N°Adhesion ]],[2]Sinistre!$G$232:$U$443,12,FALSE)</f>
        <v>45952</v>
      </c>
      <c r="K292" s="1">
        <f>YEAR(Tableau13[[#This Row],[Date de déclaration]])</f>
        <v>2025</v>
      </c>
      <c r="L292" s="4">
        <v>8535495.396262886</v>
      </c>
      <c r="M292" s="15">
        <f>Tableau13[[#This Row],[Année de déclaration]]-Tableau13[[#This Row],[Année de sinistre]]</f>
        <v>1</v>
      </c>
    </row>
    <row r="293" spans="1:13" x14ac:dyDescent="0.3">
      <c r="A293" s="1" t="s">
        <v>305</v>
      </c>
      <c r="B293" s="1" t="s">
        <v>13</v>
      </c>
      <c r="C293" s="1">
        <v>26872</v>
      </c>
      <c r="D293" s="2">
        <v>45148</v>
      </c>
      <c r="E293" s="1">
        <v>2023</v>
      </c>
      <c r="F293" s="2">
        <v>45148</v>
      </c>
      <c r="G293" s="2">
        <v>57201</v>
      </c>
      <c r="H293" s="2">
        <v>45435</v>
      </c>
      <c r="I293" s="1">
        <v>2024</v>
      </c>
      <c r="J293" s="2">
        <v>45435</v>
      </c>
      <c r="K293" s="1">
        <f>YEAR(Tableau13[[#This Row],[Date de déclaration]])</f>
        <v>2024</v>
      </c>
      <c r="L293" s="4">
        <v>9357012.4299999997</v>
      </c>
      <c r="M293" s="15">
        <f>Tableau13[[#This Row],[Année de déclaration]]-Tableau13[[#This Row],[Année de sinistre]]</f>
        <v>0</v>
      </c>
    </row>
    <row r="294" spans="1:13" x14ac:dyDescent="0.3">
      <c r="A294" s="1" t="s">
        <v>306</v>
      </c>
      <c r="B294" s="1" t="s">
        <v>13</v>
      </c>
      <c r="C294" s="1">
        <v>13644</v>
      </c>
      <c r="D294" s="2">
        <v>44360</v>
      </c>
      <c r="E294" s="1">
        <v>2021</v>
      </c>
      <c r="F294" s="2">
        <v>44362</v>
      </c>
      <c r="G294" s="2">
        <v>58970</v>
      </c>
      <c r="H294" s="2">
        <v>45115</v>
      </c>
      <c r="I294" s="1">
        <v>2023</v>
      </c>
      <c r="J294" s="2">
        <f>VLOOKUP(Tableau13[[#This Row],[N°Adhesion ]],[2]Sinistre!$G$232:$U$443,12,FALSE)</f>
        <v>45447</v>
      </c>
      <c r="K294" s="1">
        <f>YEAR(Tableau13[[#This Row],[Date de déclaration]])</f>
        <v>2024</v>
      </c>
      <c r="L294" s="4">
        <v>7113396.7688937569</v>
      </c>
      <c r="M294" s="15">
        <f>Tableau13[[#This Row],[Année de déclaration]]-Tableau13[[#This Row],[Année de sinistre]]</f>
        <v>1</v>
      </c>
    </row>
    <row r="295" spans="1:13" x14ac:dyDescent="0.3">
      <c r="A295" s="1" t="s">
        <v>307</v>
      </c>
      <c r="B295" s="1" t="s">
        <v>13</v>
      </c>
      <c r="C295" s="1">
        <v>21832</v>
      </c>
      <c r="D295" s="2">
        <v>44893</v>
      </c>
      <c r="E295" s="1">
        <v>2022</v>
      </c>
      <c r="F295" s="2">
        <v>44894</v>
      </c>
      <c r="G295" s="2">
        <v>54024</v>
      </c>
      <c r="H295" s="2">
        <v>45049</v>
      </c>
      <c r="I295" s="1">
        <v>2023</v>
      </c>
      <c r="J295" s="2">
        <f>VLOOKUP(Tableau13[[#This Row],[N°Adhesion ]],[2]Sinistre!$G$232:$U$443,12,FALSE)</f>
        <v>45439</v>
      </c>
      <c r="K295" s="1">
        <f>YEAR(Tableau13[[#This Row],[Date de déclaration]])</f>
        <v>2024</v>
      </c>
      <c r="L295" s="4">
        <v>964712.40859802859</v>
      </c>
      <c r="M295" s="15">
        <f>Tableau13[[#This Row],[Année de déclaration]]-Tableau13[[#This Row],[Année de sinistre]]</f>
        <v>1</v>
      </c>
    </row>
    <row r="296" spans="1:13" x14ac:dyDescent="0.3">
      <c r="A296" s="1" t="s">
        <v>308</v>
      </c>
      <c r="B296" s="1" t="s">
        <v>16</v>
      </c>
      <c r="C296" s="1">
        <v>17931</v>
      </c>
      <c r="D296" s="2">
        <v>44774</v>
      </c>
      <c r="E296" s="1">
        <v>2022</v>
      </c>
      <c r="F296" s="2">
        <v>44775</v>
      </c>
      <c r="G296" s="2">
        <v>45870</v>
      </c>
      <c r="H296" s="2">
        <v>45455</v>
      </c>
      <c r="I296" s="1">
        <v>2024</v>
      </c>
      <c r="J296" s="2">
        <f>VLOOKUP(Tableau13[[#This Row],[N°Adhesion ]],[2]Sinistre!$G$232:$U$443,12,FALSE)</f>
        <v>45463</v>
      </c>
      <c r="K296" s="1">
        <f>YEAR(Tableau13[[#This Row],[Date de déclaration]])</f>
        <v>2024</v>
      </c>
      <c r="L296" s="4">
        <v>185468.91</v>
      </c>
      <c r="M296" s="15">
        <f>Tableau13[[#This Row],[Année de déclaration]]-Tableau13[[#This Row],[Année de sinistre]]</f>
        <v>0</v>
      </c>
    </row>
    <row r="297" spans="1:13" x14ac:dyDescent="0.3">
      <c r="A297" s="1" t="s">
        <v>309</v>
      </c>
      <c r="B297" s="1" t="s">
        <v>13</v>
      </c>
      <c r="C297" s="1">
        <v>19263</v>
      </c>
      <c r="D297" s="2">
        <v>44739</v>
      </c>
      <c r="E297" s="1">
        <v>2022</v>
      </c>
      <c r="F297" s="2">
        <v>44739</v>
      </c>
      <c r="G297" s="2">
        <v>49852</v>
      </c>
      <c r="H297" s="2">
        <v>45458</v>
      </c>
      <c r="I297" s="1">
        <v>2024</v>
      </c>
      <c r="J297" s="2">
        <v>45458</v>
      </c>
      <c r="K297" s="1">
        <f>YEAR(Tableau13[[#This Row],[Date de déclaration]])</f>
        <v>2024</v>
      </c>
      <c r="L297" s="4">
        <v>9753528.0037160181</v>
      </c>
      <c r="M297" s="15">
        <f>Tableau13[[#This Row],[Année de déclaration]]-Tableau13[[#This Row],[Année de sinistre]]</f>
        <v>0</v>
      </c>
    </row>
    <row r="298" spans="1:13" x14ac:dyDescent="0.3">
      <c r="A298" s="1" t="s">
        <v>310</v>
      </c>
      <c r="B298" s="1" t="s">
        <v>13</v>
      </c>
      <c r="C298" s="1">
        <v>3815</v>
      </c>
      <c r="D298" s="2">
        <v>43433</v>
      </c>
      <c r="E298" s="1">
        <v>2018</v>
      </c>
      <c r="F298" s="2">
        <v>43433</v>
      </c>
      <c r="G298" s="2">
        <v>49272</v>
      </c>
      <c r="H298" s="2">
        <v>45077</v>
      </c>
      <c r="I298" s="1">
        <v>2023</v>
      </c>
      <c r="J298" s="2">
        <f>VLOOKUP(Tableau13[[#This Row],[N°Adhesion ]],[2]Sinistre!$G$232:$U$443,12,FALSE)</f>
        <v>45697</v>
      </c>
      <c r="K298" s="1">
        <f>YEAR(Tableau13[[#This Row],[Date de déclaration]])</f>
        <v>2025</v>
      </c>
      <c r="L298" s="4">
        <v>581212.17059427977</v>
      </c>
      <c r="M298" s="15">
        <f>Tableau13[[#This Row],[Année de déclaration]]-Tableau13[[#This Row],[Année de sinistre]]</f>
        <v>2</v>
      </c>
    </row>
    <row r="299" spans="1:13" x14ac:dyDescent="0.3">
      <c r="A299" s="1" t="s">
        <v>311</v>
      </c>
      <c r="B299" s="1" t="s">
        <v>16</v>
      </c>
      <c r="C299" s="1">
        <v>22260</v>
      </c>
      <c r="D299" s="2">
        <v>44971</v>
      </c>
      <c r="E299" s="1">
        <v>2023</v>
      </c>
      <c r="F299" s="2">
        <v>44985</v>
      </c>
      <c r="G299" s="2">
        <v>46080</v>
      </c>
      <c r="H299" s="2">
        <v>45415</v>
      </c>
      <c r="I299" s="1">
        <v>2024</v>
      </c>
      <c r="J299" s="2">
        <f>VLOOKUP(Tableau13[[#This Row],[N°Adhesion ]],[2]Sinistre!$G$232:$U$443,12,FALSE)</f>
        <v>45790</v>
      </c>
      <c r="K299" s="1">
        <f>YEAR(Tableau13[[#This Row],[Date de déclaration]])</f>
        <v>2025</v>
      </c>
      <c r="L299" s="4">
        <v>492525.11415525118</v>
      </c>
      <c r="M299" s="15">
        <f>Tableau13[[#This Row],[Année de déclaration]]-Tableau13[[#This Row],[Année de sinistre]]</f>
        <v>1</v>
      </c>
    </row>
    <row r="300" spans="1:13" x14ac:dyDescent="0.3">
      <c r="A300" s="1" t="s">
        <v>312</v>
      </c>
      <c r="B300" s="1" t="s">
        <v>16</v>
      </c>
      <c r="C300" s="1">
        <v>11632</v>
      </c>
      <c r="D300" s="2">
        <v>44248</v>
      </c>
      <c r="E300" s="1">
        <v>2021</v>
      </c>
      <c r="F300" s="2">
        <v>44248</v>
      </c>
      <c r="G300" s="2">
        <v>45342</v>
      </c>
      <c r="H300" s="2">
        <v>45474</v>
      </c>
      <c r="I300" s="1">
        <v>2024</v>
      </c>
      <c r="J300" s="2">
        <f>VLOOKUP(Tableau13[[#This Row],[N°Adhesion ]],[2]Sinistre!$G$232:$U$443,12,FALSE)</f>
        <v>45498</v>
      </c>
      <c r="K300" s="1">
        <f>YEAR(Tableau13[[#This Row],[Date de déclaration]])</f>
        <v>2024</v>
      </c>
      <c r="L300" s="4">
        <v>400000</v>
      </c>
      <c r="M300" s="15">
        <f>Tableau13[[#This Row],[Année de déclaration]]-Tableau13[[#This Row],[Année de sinistre]]</f>
        <v>0</v>
      </c>
    </row>
    <row r="301" spans="1:13" x14ac:dyDescent="0.3">
      <c r="A301" s="1" t="s">
        <v>313</v>
      </c>
      <c r="B301" s="1" t="s">
        <v>16</v>
      </c>
      <c r="C301" s="1">
        <v>23435</v>
      </c>
      <c r="D301" s="2">
        <v>45005</v>
      </c>
      <c r="E301" s="1">
        <v>2023</v>
      </c>
      <c r="F301" s="2">
        <v>45005</v>
      </c>
      <c r="G301" s="2">
        <v>46100</v>
      </c>
      <c r="H301" s="2">
        <v>45408</v>
      </c>
      <c r="I301" s="1">
        <v>2024</v>
      </c>
      <c r="J301" s="2">
        <f>VLOOKUP(Tableau13[[#This Row],[N°Adhesion ]],[2]Sinistre!$G$232:$U$443,12,FALSE)</f>
        <v>45463</v>
      </c>
      <c r="K301" s="1">
        <f>YEAR(Tableau13[[#This Row],[Date de déclaration]])</f>
        <v>2024</v>
      </c>
      <c r="L301" s="4">
        <v>144719.63470319632</v>
      </c>
      <c r="M301" s="15">
        <f>Tableau13[[#This Row],[Année de déclaration]]-Tableau13[[#This Row],[Année de sinistre]]</f>
        <v>0</v>
      </c>
    </row>
    <row r="302" spans="1:13" x14ac:dyDescent="0.3">
      <c r="A302" s="1" t="s">
        <v>314</v>
      </c>
      <c r="B302" s="1" t="s">
        <v>13</v>
      </c>
      <c r="C302" s="1">
        <v>12185</v>
      </c>
      <c r="D302" s="2">
        <v>44269</v>
      </c>
      <c r="E302" s="1">
        <v>2021</v>
      </c>
      <c r="F302" s="2">
        <v>44286</v>
      </c>
      <c r="G302" s="2">
        <v>57798</v>
      </c>
      <c r="H302" s="2">
        <v>45471</v>
      </c>
      <c r="I302" s="1">
        <v>2024</v>
      </c>
      <c r="J302" s="2">
        <f>VLOOKUP(Tableau13[[#This Row],[N°Adhesion ]],[2]Sinistre!$G$232:$U$443,12,FALSE)</f>
        <v>45630</v>
      </c>
      <c r="K302" s="1">
        <f>YEAR(Tableau13[[#This Row],[Date de déclaration]])</f>
        <v>2024</v>
      </c>
      <c r="L302" s="4">
        <v>7650000</v>
      </c>
      <c r="M302" s="15">
        <f>Tableau13[[#This Row],[Année de déclaration]]-Tableau13[[#This Row],[Année de sinistre]]</f>
        <v>0</v>
      </c>
    </row>
    <row r="303" spans="1:13" x14ac:dyDescent="0.3">
      <c r="A303" s="1" t="s">
        <v>315</v>
      </c>
      <c r="B303" s="1" t="s">
        <v>13</v>
      </c>
      <c r="C303" s="1">
        <v>9665</v>
      </c>
      <c r="D303" s="2">
        <v>44083</v>
      </c>
      <c r="E303" s="1">
        <v>2020</v>
      </c>
      <c r="F303" s="2">
        <v>44083</v>
      </c>
      <c r="G303" s="2">
        <v>48830</v>
      </c>
      <c r="H303" s="2">
        <v>45436</v>
      </c>
      <c r="I303" s="1">
        <v>2024</v>
      </c>
      <c r="J303" s="2">
        <f>VLOOKUP(Tableau13[[#This Row],[N°Adhesion ]],[2]Sinistre!$G$232:$U$443,12,FALSE)</f>
        <v>45852</v>
      </c>
      <c r="K303" s="1">
        <f>YEAR(Tableau13[[#This Row],[Date de déclaration]])</f>
        <v>2025</v>
      </c>
      <c r="L303" s="4">
        <v>4146871.708447441</v>
      </c>
      <c r="M303" s="15">
        <f>Tableau13[[#This Row],[Année de déclaration]]-Tableau13[[#This Row],[Année de sinistre]]</f>
        <v>1</v>
      </c>
    </row>
    <row r="304" spans="1:13" x14ac:dyDescent="0.3">
      <c r="A304" s="1" t="s">
        <v>316</v>
      </c>
      <c r="B304" s="1" t="s">
        <v>16</v>
      </c>
      <c r="C304" s="1">
        <v>17216</v>
      </c>
      <c r="D304" s="2">
        <v>44726</v>
      </c>
      <c r="E304" s="1">
        <v>2022</v>
      </c>
      <c r="F304" s="2">
        <v>44728</v>
      </c>
      <c r="G304" s="2">
        <v>45779</v>
      </c>
      <c r="H304" s="2">
        <v>45468</v>
      </c>
      <c r="I304" s="1">
        <v>2024</v>
      </c>
      <c r="J304" s="2">
        <f>VLOOKUP(Tableau13[[#This Row],[N°Adhesion ]],[2]Sinistre!$G$232:$U$443,12,FALSE)</f>
        <v>45481</v>
      </c>
      <c r="K304" s="1">
        <f>YEAR(Tableau13[[#This Row],[Date de déclaration]])</f>
        <v>2024</v>
      </c>
      <c r="L304" s="4">
        <v>180225.74</v>
      </c>
      <c r="M304" s="15">
        <f>Tableau13[[#This Row],[Année de déclaration]]-Tableau13[[#This Row],[Année de sinistre]]</f>
        <v>0</v>
      </c>
    </row>
    <row r="305" spans="1:13" x14ac:dyDescent="0.3">
      <c r="A305" s="1" t="s">
        <v>317</v>
      </c>
      <c r="B305" s="1" t="s">
        <v>16</v>
      </c>
      <c r="C305" s="1">
        <v>21035</v>
      </c>
      <c r="D305" s="2">
        <v>44928</v>
      </c>
      <c r="E305" s="1">
        <v>2023</v>
      </c>
      <c r="F305" s="2">
        <v>44929</v>
      </c>
      <c r="G305" s="2">
        <v>46024</v>
      </c>
      <c r="H305" s="2">
        <v>45038</v>
      </c>
      <c r="I305" s="1">
        <v>2023</v>
      </c>
      <c r="J305" s="2">
        <f>VLOOKUP(Tableau13[[#This Row],[N°Adhesion ]],[2]Sinistre!$G$232:$U$443,12,FALSE)</f>
        <v>45497</v>
      </c>
      <c r="K305" s="1">
        <f>YEAR(Tableau13[[#This Row],[Date de déclaration]])</f>
        <v>2024</v>
      </c>
      <c r="L305" s="4">
        <v>720365.29680365301</v>
      </c>
      <c r="M305" s="15">
        <f>Tableau13[[#This Row],[Année de déclaration]]-Tableau13[[#This Row],[Année de sinistre]]</f>
        <v>1</v>
      </c>
    </row>
    <row r="306" spans="1:13" x14ac:dyDescent="0.3">
      <c r="A306" s="1" t="s">
        <v>318</v>
      </c>
      <c r="B306" s="1" t="s">
        <v>13</v>
      </c>
      <c r="C306" s="1">
        <v>27032</v>
      </c>
      <c r="D306" s="2">
        <v>45160</v>
      </c>
      <c r="E306" s="1">
        <v>2023</v>
      </c>
      <c r="F306" s="2">
        <v>45161</v>
      </c>
      <c r="G306" s="2">
        <v>59770</v>
      </c>
      <c r="H306" s="2">
        <v>45429</v>
      </c>
      <c r="I306" s="1">
        <v>2024</v>
      </c>
      <c r="J306" s="2">
        <f>VLOOKUP(Tableau13[[#This Row],[N°Adhesion ]],[2]Sinistre!$G$232:$U$443,12,FALSE)</f>
        <v>45949</v>
      </c>
      <c r="K306" s="1">
        <f>YEAR(Tableau13[[#This Row],[Date de déclaration]])</f>
        <v>2025</v>
      </c>
      <c r="L306" s="4">
        <v>11779861.72907112</v>
      </c>
      <c r="M306" s="15">
        <f>Tableau13[[#This Row],[Année de déclaration]]-Tableau13[[#This Row],[Année de sinistre]]</f>
        <v>1</v>
      </c>
    </row>
    <row r="307" spans="1:13" x14ac:dyDescent="0.3">
      <c r="A307" s="1" t="s">
        <v>319</v>
      </c>
      <c r="B307" s="1" t="s">
        <v>16</v>
      </c>
      <c r="C307" s="1">
        <v>25711</v>
      </c>
      <c r="D307" s="2">
        <v>45071</v>
      </c>
      <c r="E307" s="1">
        <v>2023</v>
      </c>
      <c r="F307" s="2">
        <v>45071</v>
      </c>
      <c r="G307" s="2">
        <v>46166</v>
      </c>
      <c r="H307" s="2">
        <v>45493</v>
      </c>
      <c r="I307" s="1">
        <v>2024</v>
      </c>
      <c r="J307" s="2">
        <f>VLOOKUP(Tableau13[[#This Row],[N°Adhesion ]],[2]Sinistre!$G$232:$U$443,12,FALSE)</f>
        <v>45497</v>
      </c>
      <c r="K307" s="1">
        <f>YEAR(Tableau13[[#This Row],[Date de déclaration]])</f>
        <v>2024</v>
      </c>
      <c r="L307" s="4">
        <v>279033.78995433787</v>
      </c>
      <c r="M307" s="15">
        <f>Tableau13[[#This Row],[Année de déclaration]]-Tableau13[[#This Row],[Année de sinistre]]</f>
        <v>0</v>
      </c>
    </row>
    <row r="308" spans="1:13" x14ac:dyDescent="0.3">
      <c r="A308" s="1" t="s">
        <v>320</v>
      </c>
      <c r="B308" s="1" t="s">
        <v>13</v>
      </c>
      <c r="C308" s="1">
        <v>12993</v>
      </c>
      <c r="D308" s="2">
        <v>44314</v>
      </c>
      <c r="E308" s="1">
        <v>2021</v>
      </c>
      <c r="F308" s="2">
        <v>44314</v>
      </c>
      <c r="G308" s="2">
        <v>48330</v>
      </c>
      <c r="H308" s="2">
        <v>45405</v>
      </c>
      <c r="I308" s="1">
        <v>2024</v>
      </c>
      <c r="J308" s="2">
        <f>VLOOKUP(Tableau13[[#This Row],[N°Adhesion ]],[2]Sinistre!$G$232:$U$443,12,FALSE)</f>
        <v>45785</v>
      </c>
      <c r="K308" s="1">
        <f>YEAR(Tableau13[[#This Row],[Date de déclaration]])</f>
        <v>2025</v>
      </c>
      <c r="L308" s="4">
        <v>1602340.6374501991</v>
      </c>
      <c r="M308" s="15">
        <f>Tableau13[[#This Row],[Année de déclaration]]-Tableau13[[#This Row],[Année de sinistre]]</f>
        <v>1</v>
      </c>
    </row>
    <row r="309" spans="1:13" x14ac:dyDescent="0.3">
      <c r="A309" s="1" t="s">
        <v>321</v>
      </c>
      <c r="B309" s="1" t="s">
        <v>13</v>
      </c>
      <c r="C309" s="1">
        <v>17481</v>
      </c>
      <c r="D309" s="2">
        <v>44630</v>
      </c>
      <c r="E309" s="1">
        <v>2022</v>
      </c>
      <c r="F309" s="2">
        <v>44631</v>
      </c>
      <c r="G309" s="2">
        <v>53761</v>
      </c>
      <c r="H309" s="2">
        <v>45503</v>
      </c>
      <c r="I309" s="1">
        <v>2024</v>
      </c>
      <c r="J309" s="2">
        <f>VLOOKUP(Tableau13[[#This Row],[N°Adhesion ]],[2]Sinistre!$G$232:$U$443,12,FALSE)</f>
        <v>45673</v>
      </c>
      <c r="K309" s="1">
        <f>YEAR(Tableau13[[#This Row],[Date de déclaration]])</f>
        <v>2025</v>
      </c>
      <c r="L309" s="4">
        <v>6659764.9507119386</v>
      </c>
      <c r="M309" s="15">
        <f>Tableau13[[#This Row],[Année de déclaration]]-Tableau13[[#This Row],[Année de sinistre]]</f>
        <v>1</v>
      </c>
    </row>
    <row r="310" spans="1:13" x14ac:dyDescent="0.3">
      <c r="A310" s="1" t="s">
        <v>322</v>
      </c>
      <c r="B310" s="1" t="s">
        <v>13</v>
      </c>
      <c r="C310" s="1">
        <v>25272</v>
      </c>
      <c r="D310" s="2">
        <v>45062</v>
      </c>
      <c r="E310" s="1">
        <v>2023</v>
      </c>
      <c r="F310" s="2">
        <v>45063</v>
      </c>
      <c r="G310" s="2">
        <v>57481</v>
      </c>
      <c r="H310" s="2">
        <v>45492</v>
      </c>
      <c r="I310" s="1">
        <v>2024</v>
      </c>
      <c r="J310" s="2">
        <f>VLOOKUP(Tableau13[[#This Row],[N°Adhesion ]],[2]Sinistre!$G$232:$U$443,12,FALSE)</f>
        <v>45937</v>
      </c>
      <c r="K310" s="1">
        <f>YEAR(Tableau13[[#This Row],[Date de déclaration]])</f>
        <v>2025</v>
      </c>
      <c r="L310" s="4">
        <v>1922180.9806732163</v>
      </c>
      <c r="M310" s="15">
        <f>Tableau13[[#This Row],[Année de déclaration]]-Tableau13[[#This Row],[Année de sinistre]]</f>
        <v>1</v>
      </c>
    </row>
    <row r="311" spans="1:13" x14ac:dyDescent="0.3">
      <c r="A311" s="1" t="s">
        <v>323</v>
      </c>
      <c r="B311" s="1" t="s">
        <v>13</v>
      </c>
      <c r="C311" s="1">
        <v>22646</v>
      </c>
      <c r="D311" s="2">
        <v>44930</v>
      </c>
      <c r="E311" s="1">
        <v>2023</v>
      </c>
      <c r="F311" s="2">
        <v>44931</v>
      </c>
      <c r="G311" s="2">
        <v>50409</v>
      </c>
      <c r="H311" s="2">
        <v>45520</v>
      </c>
      <c r="I311" s="1">
        <v>2024</v>
      </c>
      <c r="J311" s="2">
        <v>45520</v>
      </c>
      <c r="K311" s="1">
        <f>YEAR(Tableau13[[#This Row],[Date de déclaration]])</f>
        <v>2024</v>
      </c>
      <c r="L311" s="4">
        <v>1907160.0593136179</v>
      </c>
      <c r="M311" s="15">
        <f>Tableau13[[#This Row],[Année de déclaration]]-Tableau13[[#This Row],[Année de sinistre]]</f>
        <v>0</v>
      </c>
    </row>
    <row r="312" spans="1:13" x14ac:dyDescent="0.3">
      <c r="A312" s="1" t="s">
        <v>324</v>
      </c>
      <c r="B312" s="1" t="s">
        <v>13</v>
      </c>
      <c r="C312" s="1">
        <v>8093</v>
      </c>
      <c r="D312" s="2">
        <v>43884</v>
      </c>
      <c r="E312" s="1">
        <v>2020</v>
      </c>
      <c r="F312" s="2">
        <v>43830</v>
      </c>
      <c r="G312" s="2">
        <v>45654</v>
      </c>
      <c r="H312" s="2">
        <v>45195</v>
      </c>
      <c r="I312" s="1">
        <v>2023</v>
      </c>
      <c r="J312" s="2">
        <f>VLOOKUP(Tableau13[[#This Row],[N°Adhesion ]],[2]Sinistre!$G$232:$U$443,12,FALSE)</f>
        <v>45791</v>
      </c>
      <c r="K312" s="1">
        <f>YEAR(Tableau13[[#This Row],[Date de déclaration]])</f>
        <v>2025</v>
      </c>
      <c r="L312" s="4">
        <v>233975.10656250006</v>
      </c>
      <c r="M312" s="15">
        <f>Tableau13[[#This Row],[Année de déclaration]]-Tableau13[[#This Row],[Année de sinistre]]</f>
        <v>2</v>
      </c>
    </row>
    <row r="313" spans="1:13" x14ac:dyDescent="0.3">
      <c r="A313" s="1" t="s">
        <v>325</v>
      </c>
      <c r="B313" s="1" t="s">
        <v>13</v>
      </c>
      <c r="C313" s="1">
        <v>388</v>
      </c>
      <c r="D313" s="2">
        <v>42908</v>
      </c>
      <c r="E313" s="1">
        <v>2017</v>
      </c>
      <c r="F313" s="2">
        <v>42909</v>
      </c>
      <c r="G313" s="2">
        <v>49848</v>
      </c>
      <c r="H313" s="2">
        <v>45485</v>
      </c>
      <c r="I313" s="1">
        <v>2024</v>
      </c>
      <c r="J313" s="2">
        <f>VLOOKUP(Tableau13[[#This Row],[N°Adhesion ]],[2]Sinistre!$G$232:$U$443,12,FALSE)</f>
        <v>45530</v>
      </c>
      <c r="K313" s="1">
        <f>YEAR(Tableau13[[#This Row],[Date de déclaration]])</f>
        <v>2024</v>
      </c>
      <c r="L313" s="4">
        <v>1779404.8133736851</v>
      </c>
      <c r="M313" s="15">
        <f>Tableau13[[#This Row],[Année de déclaration]]-Tableau13[[#This Row],[Année de sinistre]]</f>
        <v>0</v>
      </c>
    </row>
    <row r="314" spans="1:13" x14ac:dyDescent="0.3">
      <c r="A314" s="1" t="s">
        <v>326</v>
      </c>
      <c r="B314" s="1" t="s">
        <v>13</v>
      </c>
      <c r="C314" s="1">
        <v>10766</v>
      </c>
      <c r="D314" s="2">
        <v>44175</v>
      </c>
      <c r="E314" s="1">
        <v>2020</v>
      </c>
      <c r="F314" s="2">
        <v>44175</v>
      </c>
      <c r="G314" s="2">
        <v>47095</v>
      </c>
      <c r="H314" s="2">
        <v>44796</v>
      </c>
      <c r="I314" s="1">
        <v>2022</v>
      </c>
      <c r="J314" s="2">
        <f>VLOOKUP(Tableau13[[#This Row],[N°Adhesion ]],[2]Sinistre!$G$232:$U$443,12,FALSE)</f>
        <v>45547</v>
      </c>
      <c r="K314" s="1">
        <f>YEAR(Tableau13[[#This Row],[Date de déclaration]])</f>
        <v>2024</v>
      </c>
      <c r="L314" s="4">
        <v>323048.86643835617</v>
      </c>
      <c r="M314" s="15">
        <f>Tableau13[[#This Row],[Année de déclaration]]-Tableau13[[#This Row],[Année de sinistre]]</f>
        <v>2</v>
      </c>
    </row>
    <row r="315" spans="1:13" x14ac:dyDescent="0.3">
      <c r="A315" s="1" t="s">
        <v>327</v>
      </c>
      <c r="B315" s="1" t="s">
        <v>13</v>
      </c>
      <c r="C315" s="1">
        <v>1275</v>
      </c>
      <c r="D315" s="2">
        <v>43076</v>
      </c>
      <c r="E315" s="1">
        <v>2017</v>
      </c>
      <c r="F315" s="2">
        <v>43058</v>
      </c>
      <c r="G315" s="2">
        <v>51092</v>
      </c>
      <c r="H315" s="2">
        <v>45550</v>
      </c>
      <c r="I315" s="1">
        <v>2024</v>
      </c>
      <c r="J315" s="2">
        <f>VLOOKUP(Tableau13[[#This Row],[N°Adhesion ]],[2]Sinistre!$G$232:$U$443,12,FALSE)</f>
        <v>45636</v>
      </c>
      <c r="K315" s="1">
        <f>YEAR(Tableau13[[#This Row],[Date de déclaration]])</f>
        <v>2024</v>
      </c>
      <c r="L315" s="4">
        <v>2870292.449019168</v>
      </c>
      <c r="M315" s="15">
        <f>Tableau13[[#This Row],[Année de déclaration]]-Tableau13[[#This Row],[Année de sinistre]]</f>
        <v>0</v>
      </c>
    </row>
    <row r="316" spans="1:13" x14ac:dyDescent="0.3">
      <c r="A316" s="1" t="s">
        <v>328</v>
      </c>
      <c r="B316" s="1" t="s">
        <v>13</v>
      </c>
      <c r="C316" s="1">
        <v>22527</v>
      </c>
      <c r="D316" s="2">
        <v>44923</v>
      </c>
      <c r="E316" s="1">
        <v>2022</v>
      </c>
      <c r="F316" s="2">
        <v>44923</v>
      </c>
      <c r="G316" s="2">
        <v>57341</v>
      </c>
      <c r="H316" s="2">
        <v>45562</v>
      </c>
      <c r="I316" s="1">
        <v>2024</v>
      </c>
      <c r="J316" s="2">
        <f>VLOOKUP(Tableau13[[#This Row],[N°Adhesion ]],[2]Sinistre!$G$232:$U$443,12,FALSE)</f>
        <v>45687</v>
      </c>
      <c r="K316" s="1">
        <f>YEAR(Tableau13[[#This Row],[Date de déclaration]])</f>
        <v>2025</v>
      </c>
      <c r="L316" s="4">
        <v>4261801.1757126749</v>
      </c>
      <c r="M316" s="15">
        <f>Tableau13[[#This Row],[Année de déclaration]]-Tableau13[[#This Row],[Année de sinistre]]</f>
        <v>1</v>
      </c>
    </row>
    <row r="317" spans="1:13" x14ac:dyDescent="0.3">
      <c r="A317" s="1" t="s">
        <v>329</v>
      </c>
      <c r="B317" s="1" t="s">
        <v>16</v>
      </c>
      <c r="C317" s="1">
        <v>21109</v>
      </c>
      <c r="D317" s="2">
        <v>44931</v>
      </c>
      <c r="E317" s="1">
        <v>2023</v>
      </c>
      <c r="F317" s="2">
        <v>44938</v>
      </c>
      <c r="G317" s="2">
        <v>46033</v>
      </c>
      <c r="H317" s="2">
        <v>45506</v>
      </c>
      <c r="I317" s="1">
        <v>2024</v>
      </c>
      <c r="J317" s="2">
        <f>VLOOKUP(Tableau13[[#This Row],[N°Adhesion ]],[2]Sinistre!$G$232:$U$443,12,FALSE)</f>
        <v>45565</v>
      </c>
      <c r="K317" s="1">
        <f>YEAR(Tableau13[[#This Row],[Date de déclaration]])</f>
        <v>2024</v>
      </c>
      <c r="L317" s="4">
        <v>317745.86666666664</v>
      </c>
      <c r="M317" s="15">
        <f>Tableau13[[#This Row],[Année de déclaration]]-Tableau13[[#This Row],[Année de sinistre]]</f>
        <v>0</v>
      </c>
    </row>
    <row r="318" spans="1:13" x14ac:dyDescent="0.3">
      <c r="A318" s="1" t="s">
        <v>330</v>
      </c>
      <c r="B318" s="1" t="s">
        <v>13</v>
      </c>
      <c r="C318" s="1">
        <v>19604</v>
      </c>
      <c r="D318" s="2">
        <v>44755</v>
      </c>
      <c r="E318" s="1">
        <v>2022</v>
      </c>
      <c r="F318" s="2">
        <v>44755</v>
      </c>
      <c r="G318" s="2">
        <v>58634</v>
      </c>
      <c r="H318" s="2">
        <v>45527</v>
      </c>
      <c r="I318" s="1">
        <v>2024</v>
      </c>
      <c r="J318" s="2">
        <f>VLOOKUP(Tableau13[[#This Row],[N°Adhesion ]],[2]Sinistre!$G$232:$U$443,12,FALSE)</f>
        <v>45617</v>
      </c>
      <c r="K318" s="1">
        <f>YEAR(Tableau13[[#This Row],[Date de déclaration]])</f>
        <v>2024</v>
      </c>
      <c r="L318" s="4">
        <v>9254888.680740688</v>
      </c>
      <c r="M318" s="15">
        <f>Tableau13[[#This Row],[Année de déclaration]]-Tableau13[[#This Row],[Année de sinistre]]</f>
        <v>0</v>
      </c>
    </row>
    <row r="319" spans="1:13" x14ac:dyDescent="0.3">
      <c r="A319" s="1" t="s">
        <v>331</v>
      </c>
      <c r="B319" s="1" t="s">
        <v>16</v>
      </c>
      <c r="C319" s="1">
        <v>19051</v>
      </c>
      <c r="D319" s="2">
        <v>44854</v>
      </c>
      <c r="E319" s="1">
        <v>2022</v>
      </c>
      <c r="F319" s="2">
        <v>44857</v>
      </c>
      <c r="G319" s="2">
        <v>45952</v>
      </c>
      <c r="H319" s="2">
        <v>45536</v>
      </c>
      <c r="I319" s="1">
        <v>2024</v>
      </c>
      <c r="J319" s="2">
        <f>VLOOKUP(Tableau13[[#This Row],[N°Adhesion ]],[2]Sinistre!$G$232:$U$443,12,FALSE)</f>
        <v>45568</v>
      </c>
      <c r="K319" s="1">
        <f>YEAR(Tableau13[[#This Row],[Date de déclaration]])</f>
        <v>2024</v>
      </c>
      <c r="L319" s="4">
        <v>359013.69863013696</v>
      </c>
      <c r="M319" s="15">
        <f>Tableau13[[#This Row],[Année de déclaration]]-Tableau13[[#This Row],[Année de sinistre]]</f>
        <v>0</v>
      </c>
    </row>
    <row r="320" spans="1:13" x14ac:dyDescent="0.3">
      <c r="A320" s="1" t="s">
        <v>332</v>
      </c>
      <c r="B320" s="1" t="s">
        <v>16</v>
      </c>
      <c r="C320" s="1">
        <v>25575</v>
      </c>
      <c r="D320" s="2">
        <v>45069</v>
      </c>
      <c r="E320" s="1">
        <v>2023</v>
      </c>
      <c r="F320" s="2">
        <v>45069</v>
      </c>
      <c r="G320" s="2">
        <v>46164</v>
      </c>
      <c r="H320" s="2">
        <v>45480</v>
      </c>
      <c r="I320" s="1">
        <v>2024</v>
      </c>
      <c r="J320" s="2">
        <f>VLOOKUP(Tableau13[[#This Row],[N°Adhesion ]],[2]Sinistre!$G$232:$U$443,12,FALSE)</f>
        <v>45573</v>
      </c>
      <c r="K320" s="1">
        <f>YEAR(Tableau13[[#This Row],[Date de déclaration]])</f>
        <v>2024</v>
      </c>
      <c r="L320" s="4">
        <v>218630.13698630137</v>
      </c>
      <c r="M320" s="15">
        <f>Tableau13[[#This Row],[Année de déclaration]]-Tableau13[[#This Row],[Année de sinistre]]</f>
        <v>0</v>
      </c>
    </row>
    <row r="321" spans="1:13" x14ac:dyDescent="0.3">
      <c r="A321" s="1" t="s">
        <v>333</v>
      </c>
      <c r="B321" s="1" t="s">
        <v>13</v>
      </c>
      <c r="C321" s="1">
        <v>12024</v>
      </c>
      <c r="D321" s="2">
        <v>44258</v>
      </c>
      <c r="E321" s="1">
        <v>2021</v>
      </c>
      <c r="F321" s="2">
        <v>44258</v>
      </c>
      <c r="G321" s="2">
        <v>51561</v>
      </c>
      <c r="H321" s="2">
        <v>45579</v>
      </c>
      <c r="I321" s="1">
        <v>2024</v>
      </c>
      <c r="J321" s="2">
        <f>VLOOKUP(Tableau13[[#This Row],[N°Adhesion ]],[2]Sinistre!$G$232:$U$443,12,FALSE)</f>
        <v>45670</v>
      </c>
      <c r="K321" s="1">
        <f>YEAR(Tableau13[[#This Row],[Date de déclaration]])</f>
        <v>2025</v>
      </c>
      <c r="L321" s="4">
        <v>5633417.2367520202</v>
      </c>
      <c r="M321" s="15">
        <f>Tableau13[[#This Row],[Année de déclaration]]-Tableau13[[#This Row],[Année de sinistre]]</f>
        <v>1</v>
      </c>
    </row>
    <row r="322" spans="1:13" x14ac:dyDescent="0.3">
      <c r="A322" s="1" t="s">
        <v>334</v>
      </c>
      <c r="B322" s="1" t="s">
        <v>13</v>
      </c>
      <c r="C322" s="1">
        <v>24110</v>
      </c>
      <c r="D322" s="2">
        <v>44999</v>
      </c>
      <c r="E322" s="1">
        <v>2023</v>
      </c>
      <c r="F322" s="2">
        <v>44999</v>
      </c>
      <c r="G322" s="2">
        <v>50477</v>
      </c>
      <c r="H322" s="2">
        <v>45576</v>
      </c>
      <c r="I322" s="1">
        <v>2024</v>
      </c>
      <c r="J322" s="2">
        <f>VLOOKUP(Tableau13[[#This Row],[N°Adhesion ]],[2]Sinistre!$G$232:$U$443,12,FALSE)</f>
        <v>45671</v>
      </c>
      <c r="K322" s="1">
        <f>YEAR(Tableau13[[#This Row],[Date de déclaration]])</f>
        <v>2025</v>
      </c>
      <c r="L322" s="4">
        <v>7569343.1157393213</v>
      </c>
      <c r="M322" s="15">
        <f>Tableau13[[#This Row],[Année de déclaration]]-Tableau13[[#This Row],[Année de sinistre]]</f>
        <v>1</v>
      </c>
    </row>
    <row r="323" spans="1:13" x14ac:dyDescent="0.3">
      <c r="A323" s="1" t="s">
        <v>335</v>
      </c>
      <c r="B323" s="1" t="s">
        <v>16</v>
      </c>
      <c r="C323" s="1">
        <v>26797</v>
      </c>
      <c r="D323" s="2">
        <v>45157</v>
      </c>
      <c r="E323" s="1">
        <v>2023</v>
      </c>
      <c r="F323" s="2">
        <v>45096</v>
      </c>
      <c r="G323" s="2">
        <v>45826</v>
      </c>
      <c r="H323" s="2">
        <v>45267</v>
      </c>
      <c r="I323" s="1">
        <v>2023</v>
      </c>
      <c r="J323" s="2">
        <f>VLOOKUP(Tableau13[[#This Row],[N°Adhesion ]],[2]Sinistre!$G$232:$U$443,12,FALSE)</f>
        <v>45586</v>
      </c>
      <c r="K323" s="1">
        <f>YEAR(Tableau13[[#This Row],[Date de déclaration]])</f>
        <v>2024</v>
      </c>
      <c r="L323" s="4">
        <v>350009.80958904111</v>
      </c>
      <c r="M323" s="15">
        <f>Tableau13[[#This Row],[Année de déclaration]]-Tableau13[[#This Row],[Année de sinistre]]</f>
        <v>1</v>
      </c>
    </row>
    <row r="324" spans="1:13" x14ac:dyDescent="0.3">
      <c r="A324" s="1" t="s">
        <v>336</v>
      </c>
      <c r="B324" s="1" t="s">
        <v>13</v>
      </c>
      <c r="C324" s="1">
        <v>9374</v>
      </c>
      <c r="D324" s="2">
        <v>44049</v>
      </c>
      <c r="E324" s="1">
        <v>2020</v>
      </c>
      <c r="F324" s="2">
        <v>44074</v>
      </c>
      <c r="G324" s="2">
        <v>58682</v>
      </c>
      <c r="H324" s="2">
        <v>45533</v>
      </c>
      <c r="I324" s="1">
        <v>2024</v>
      </c>
      <c r="J324" s="2">
        <f>VLOOKUP(Tableau13[[#This Row],[N°Adhesion ]],[2]Sinistre!$G$232:$U$443,12,FALSE)</f>
        <v>45599</v>
      </c>
      <c r="K324" s="1">
        <f>YEAR(Tableau13[[#This Row],[Date de déclaration]])</f>
        <v>2024</v>
      </c>
      <c r="L324" s="4">
        <v>1236713.4608461116</v>
      </c>
      <c r="M324" s="15">
        <f>Tableau13[[#This Row],[Année de déclaration]]-Tableau13[[#This Row],[Année de sinistre]]</f>
        <v>0</v>
      </c>
    </row>
    <row r="325" spans="1:13" x14ac:dyDescent="0.3">
      <c r="A325" s="1" t="s">
        <v>337</v>
      </c>
      <c r="B325" s="1" t="s">
        <v>338</v>
      </c>
      <c r="C325" s="1">
        <v>532</v>
      </c>
      <c r="D325" s="2">
        <v>44318</v>
      </c>
      <c r="E325" s="1">
        <v>2021</v>
      </c>
      <c r="F325" s="2">
        <v>44318</v>
      </c>
      <c r="G325" s="2">
        <v>46143</v>
      </c>
      <c r="H325" s="2">
        <v>44439</v>
      </c>
      <c r="I325" s="1">
        <v>2021</v>
      </c>
      <c r="J325" s="2">
        <v>44439</v>
      </c>
      <c r="K325" s="1">
        <f>YEAR(Tableau13[[#This Row],[Date de déclaration]])</f>
        <v>2021</v>
      </c>
      <c r="L325" s="4">
        <v>409893.69863013696</v>
      </c>
      <c r="M325" s="15">
        <f>Tableau13[[#This Row],[Année de déclaration]]-Tableau13[[#This Row],[Année de sinistre]]</f>
        <v>0</v>
      </c>
    </row>
    <row r="326" spans="1:13" x14ac:dyDescent="0.3">
      <c r="A326" s="1" t="s">
        <v>111</v>
      </c>
      <c r="B326" s="1" t="s">
        <v>338</v>
      </c>
      <c r="C326" s="1">
        <v>2075</v>
      </c>
      <c r="D326" s="2">
        <v>44439</v>
      </c>
      <c r="E326" s="1">
        <v>2021</v>
      </c>
      <c r="F326" s="2">
        <v>44439</v>
      </c>
      <c r="G326" s="2">
        <v>46264</v>
      </c>
      <c r="H326" s="2">
        <v>44447</v>
      </c>
      <c r="I326" s="1">
        <v>2021</v>
      </c>
      <c r="J326" s="2">
        <v>44447</v>
      </c>
      <c r="K326" s="1">
        <f>YEAR(Tableau13[[#This Row],[Date de déclaration]])</f>
        <v>2021</v>
      </c>
      <c r="L326" s="4">
        <v>398500</v>
      </c>
      <c r="M326" s="15">
        <f>Tableau13[[#This Row],[Année de déclaration]]-Tableau13[[#This Row],[Année de sinistre]]</f>
        <v>0</v>
      </c>
    </row>
    <row r="327" spans="1:13" x14ac:dyDescent="0.3">
      <c r="A327" s="1" t="s">
        <v>339</v>
      </c>
      <c r="B327" s="1" t="s">
        <v>338</v>
      </c>
      <c r="C327" s="1">
        <v>446</v>
      </c>
      <c r="D327" s="2">
        <v>44311</v>
      </c>
      <c r="E327" s="1">
        <v>2021</v>
      </c>
      <c r="F327" s="2">
        <v>44311</v>
      </c>
      <c r="G327" s="2">
        <v>46136</v>
      </c>
      <c r="H327" s="2">
        <v>44740</v>
      </c>
      <c r="I327" s="1">
        <v>2022</v>
      </c>
      <c r="J327" s="7">
        <v>44826</v>
      </c>
      <c r="K327" s="1">
        <f>YEAR(Tableau13[[#This Row],[Date de déclaration]])</f>
        <v>2022</v>
      </c>
      <c r="L327" s="4">
        <v>384707.00273972604</v>
      </c>
      <c r="M327" s="15">
        <f>Tableau13[[#This Row],[Année de déclaration]]-Tableau13[[#This Row],[Année de sinistre]]</f>
        <v>0</v>
      </c>
    </row>
    <row r="328" spans="1:13" x14ac:dyDescent="0.3">
      <c r="A328" s="1" t="s">
        <v>340</v>
      </c>
      <c r="B328" s="1" t="s">
        <v>338</v>
      </c>
      <c r="C328" s="1">
        <v>1628</v>
      </c>
      <c r="D328" s="2">
        <v>44402</v>
      </c>
      <c r="E328" s="1">
        <v>2021</v>
      </c>
      <c r="F328" s="2">
        <v>44402</v>
      </c>
      <c r="G328" s="2">
        <v>46227</v>
      </c>
      <c r="H328" s="2">
        <v>44734</v>
      </c>
      <c r="I328" s="1">
        <v>2022</v>
      </c>
      <c r="J328" s="7">
        <v>44868</v>
      </c>
      <c r="K328" s="1">
        <f>YEAR(Tableau13[[#This Row],[Date de déclaration]])</f>
        <v>2022</v>
      </c>
      <c r="L328" s="4">
        <v>496488.73193424649</v>
      </c>
      <c r="M328" s="15">
        <f>Tableau13[[#This Row],[Année de déclaration]]-Tableau13[[#This Row],[Année de sinistre]]</f>
        <v>0</v>
      </c>
    </row>
    <row r="329" spans="1:13" x14ac:dyDescent="0.3">
      <c r="A329" s="1" t="s">
        <v>341</v>
      </c>
      <c r="B329" s="1" t="s">
        <v>338</v>
      </c>
      <c r="C329" s="1">
        <v>3559</v>
      </c>
      <c r="D329" s="2">
        <v>44558</v>
      </c>
      <c r="E329" s="1">
        <v>2021</v>
      </c>
      <c r="F329" s="2">
        <v>44558</v>
      </c>
      <c r="G329" s="2">
        <v>45653</v>
      </c>
      <c r="H329" s="2">
        <v>44882</v>
      </c>
      <c r="I329" s="1">
        <v>2022</v>
      </c>
      <c r="J329" s="2">
        <v>45336</v>
      </c>
      <c r="K329" s="1">
        <f>YEAR(Tableau13[[#This Row],[Date de déclaration]])</f>
        <v>2024</v>
      </c>
      <c r="L329" s="4">
        <v>295726.02739726024</v>
      </c>
      <c r="M329" s="15">
        <f>Tableau13[[#This Row],[Année de déclaration]]-Tableau13[[#This Row],[Année de sinistre]]</f>
        <v>2</v>
      </c>
    </row>
    <row r="330" spans="1:13" x14ac:dyDescent="0.3">
      <c r="A330" s="1" t="s">
        <v>342</v>
      </c>
      <c r="B330" s="1" t="s">
        <v>338</v>
      </c>
      <c r="C330" s="1">
        <v>4552</v>
      </c>
      <c r="D330" s="2">
        <v>44654</v>
      </c>
      <c r="E330" s="1">
        <v>2022</v>
      </c>
      <c r="F330" s="2">
        <v>44654</v>
      </c>
      <c r="G330" s="2">
        <v>46479</v>
      </c>
      <c r="H330" s="2">
        <v>44767</v>
      </c>
      <c r="I330" s="1">
        <v>2022</v>
      </c>
      <c r="J330" s="2">
        <v>44784</v>
      </c>
      <c r="K330" s="1">
        <f>YEAR(Tableau13[[#This Row],[Date de déclaration]])</f>
        <v>2022</v>
      </c>
      <c r="L330" s="4">
        <v>478890.9589041096</v>
      </c>
      <c r="M330" s="15">
        <f>Tableau13[[#This Row],[Année de déclaration]]-Tableau13[[#This Row],[Année de sinistre]]</f>
        <v>0</v>
      </c>
    </row>
    <row r="331" spans="1:13" x14ac:dyDescent="0.3">
      <c r="A331" s="1" t="s">
        <v>343</v>
      </c>
      <c r="B331" s="1" t="s">
        <v>338</v>
      </c>
      <c r="C331" s="1">
        <v>2326</v>
      </c>
      <c r="D331" s="2">
        <v>44458</v>
      </c>
      <c r="E331" s="1">
        <v>2021</v>
      </c>
      <c r="F331" s="2">
        <v>44458</v>
      </c>
      <c r="G331" s="2">
        <v>46283</v>
      </c>
      <c r="H331" s="2">
        <v>44684</v>
      </c>
      <c r="I331" s="1">
        <v>2022</v>
      </c>
      <c r="J331" s="7">
        <v>45048</v>
      </c>
      <c r="K331" s="1">
        <f>YEAR(Tableau13[[#This Row],[Date de déclaration]])</f>
        <v>2023</v>
      </c>
      <c r="L331" s="4">
        <v>462955.2369534247</v>
      </c>
      <c r="M331" s="15">
        <f>Tableau13[[#This Row],[Année de déclaration]]-Tableau13[[#This Row],[Année de sinistre]]</f>
        <v>1</v>
      </c>
    </row>
    <row r="332" spans="1:13" x14ac:dyDescent="0.3">
      <c r="A332" s="1" t="s">
        <v>344</v>
      </c>
      <c r="B332" s="1" t="s">
        <v>338</v>
      </c>
      <c r="C332" s="1">
        <v>864</v>
      </c>
      <c r="D332" s="2">
        <v>44341</v>
      </c>
      <c r="E332" s="1">
        <v>2021</v>
      </c>
      <c r="F332" s="2">
        <v>44341</v>
      </c>
      <c r="G332" s="2">
        <v>46166</v>
      </c>
      <c r="H332" s="2">
        <v>44741</v>
      </c>
      <c r="I332" s="1">
        <v>2022</v>
      </c>
      <c r="J332" s="7">
        <v>44826</v>
      </c>
      <c r="K332" s="1">
        <f>YEAR(Tableau13[[#This Row],[Date de déclaration]])</f>
        <v>2022</v>
      </c>
      <c r="L332" s="4">
        <v>555554.79452054796</v>
      </c>
      <c r="M332" s="15">
        <f>Tableau13[[#This Row],[Année de déclaration]]-Tableau13[[#This Row],[Année de sinistre]]</f>
        <v>0</v>
      </c>
    </row>
    <row r="333" spans="1:13" x14ac:dyDescent="0.3">
      <c r="A333" s="1" t="s">
        <v>345</v>
      </c>
      <c r="B333" s="1" t="s">
        <v>338</v>
      </c>
      <c r="C333" s="1">
        <v>560</v>
      </c>
      <c r="D333" s="2">
        <v>44319</v>
      </c>
      <c r="E333" s="1">
        <v>2021</v>
      </c>
      <c r="F333" s="2">
        <v>44319</v>
      </c>
      <c r="G333" s="2">
        <v>46144</v>
      </c>
      <c r="H333" s="2">
        <v>44736</v>
      </c>
      <c r="I333" s="1">
        <v>2022</v>
      </c>
      <c r="J333" s="7">
        <v>45883</v>
      </c>
      <c r="K333" s="1">
        <f>YEAR(Tableau13[[#This Row],[Date de déclaration]])</f>
        <v>2025</v>
      </c>
      <c r="L333" s="4">
        <v>297003.13424657536</v>
      </c>
      <c r="M333" s="15">
        <f>Tableau13[[#This Row],[Année de déclaration]]-Tableau13[[#This Row],[Année de sinistre]]</f>
        <v>3</v>
      </c>
    </row>
    <row r="334" spans="1:13" x14ac:dyDescent="0.3">
      <c r="A334" s="1" t="s">
        <v>346</v>
      </c>
      <c r="B334" s="1" t="s">
        <v>338</v>
      </c>
      <c r="C334" s="1">
        <v>3346</v>
      </c>
      <c r="D334" s="2">
        <v>44543</v>
      </c>
      <c r="E334" s="1">
        <v>2021</v>
      </c>
      <c r="F334" s="2">
        <v>44543</v>
      </c>
      <c r="G334" s="2">
        <v>46368</v>
      </c>
      <c r="H334" s="2">
        <v>44871</v>
      </c>
      <c r="I334" s="1">
        <v>2022</v>
      </c>
      <c r="J334" s="7">
        <v>45039</v>
      </c>
      <c r="K334" s="1">
        <f>YEAR(Tableau13[[#This Row],[Date de déclaration]])</f>
        <v>2023</v>
      </c>
      <c r="L334" s="4">
        <v>528792.63504657533</v>
      </c>
      <c r="M334" s="15">
        <f>Tableau13[[#This Row],[Année de déclaration]]-Tableau13[[#This Row],[Année de sinistre]]</f>
        <v>1</v>
      </c>
    </row>
    <row r="335" spans="1:13" x14ac:dyDescent="0.3">
      <c r="A335" s="1" t="s">
        <v>347</v>
      </c>
      <c r="B335" s="1" t="s">
        <v>338</v>
      </c>
      <c r="C335" s="1">
        <v>5064</v>
      </c>
      <c r="D335" s="2">
        <v>44696</v>
      </c>
      <c r="E335" s="1">
        <v>2022</v>
      </c>
      <c r="F335" s="2">
        <v>44696</v>
      </c>
      <c r="G335" s="2">
        <v>46521</v>
      </c>
      <c r="H335" s="2">
        <v>45101</v>
      </c>
      <c r="I335" s="1">
        <v>2023</v>
      </c>
      <c r="J335" s="2">
        <v>45101</v>
      </c>
      <c r="K335" s="1">
        <f>YEAR(Tableau13[[#This Row],[Date de déclaration]])</f>
        <v>2023</v>
      </c>
      <c r="L335" s="4">
        <v>465215.34246575343</v>
      </c>
      <c r="M335" s="15">
        <f>Tableau13[[#This Row],[Année de déclaration]]-Tableau13[[#This Row],[Année de sinistre]]</f>
        <v>0</v>
      </c>
    </row>
    <row r="336" spans="1:13" x14ac:dyDescent="0.3">
      <c r="A336" s="1" t="s">
        <v>348</v>
      </c>
      <c r="B336" s="1" t="s">
        <v>338</v>
      </c>
      <c r="C336" s="1">
        <v>4252</v>
      </c>
      <c r="D336" s="2">
        <v>44633</v>
      </c>
      <c r="E336" s="1">
        <v>2022</v>
      </c>
      <c r="F336" s="2">
        <v>44633</v>
      </c>
      <c r="G336" s="2">
        <v>46458</v>
      </c>
      <c r="H336" s="2">
        <v>45276</v>
      </c>
      <c r="I336" s="1">
        <v>2023</v>
      </c>
      <c r="J336" s="7">
        <v>45293</v>
      </c>
      <c r="K336" s="1">
        <f>YEAR(Tableau13[[#This Row],[Date de déclaration]])</f>
        <v>2024</v>
      </c>
      <c r="L336" s="4">
        <v>304599.78082191781</v>
      </c>
      <c r="M336" s="15">
        <f>Tableau13[[#This Row],[Année de déclaration]]-Tableau13[[#This Row],[Année de sinistre]]</f>
        <v>1</v>
      </c>
    </row>
    <row r="337" spans="1:13" x14ac:dyDescent="0.3">
      <c r="A337" s="1" t="s">
        <v>349</v>
      </c>
      <c r="B337" s="1" t="s">
        <v>350</v>
      </c>
      <c r="C337" s="1">
        <v>7721</v>
      </c>
      <c r="D337" s="2">
        <v>44950</v>
      </c>
      <c r="E337" s="1">
        <v>2023</v>
      </c>
      <c r="F337" s="2">
        <v>44950</v>
      </c>
      <c r="G337" s="2">
        <v>46045</v>
      </c>
      <c r="H337" s="2">
        <v>45251</v>
      </c>
      <c r="I337" s="1">
        <v>2023</v>
      </c>
      <c r="J337" s="7">
        <v>45278</v>
      </c>
      <c r="K337" s="1">
        <f>YEAR(Tableau13[[#This Row],[Date de déclaration]])</f>
        <v>2023</v>
      </c>
      <c r="L337" s="4">
        <v>547287.15981735161</v>
      </c>
      <c r="M337" s="15">
        <f>Tableau13[[#This Row],[Année de déclaration]]-Tableau13[[#This Row],[Année de sinistre]]</f>
        <v>0</v>
      </c>
    </row>
    <row r="338" spans="1:13" x14ac:dyDescent="0.3">
      <c r="A338" s="1" t="s">
        <v>351</v>
      </c>
      <c r="B338" s="1" t="s">
        <v>338</v>
      </c>
      <c r="C338" s="1">
        <v>8473</v>
      </c>
      <c r="D338" s="2">
        <v>45042</v>
      </c>
      <c r="E338" s="1">
        <v>2023</v>
      </c>
      <c r="F338" s="2">
        <v>45041</v>
      </c>
      <c r="G338" s="2">
        <v>45041</v>
      </c>
      <c r="H338" s="2">
        <v>45079</v>
      </c>
      <c r="I338" s="1">
        <v>2023</v>
      </c>
      <c r="J338" s="7">
        <v>45144</v>
      </c>
      <c r="K338" s="1">
        <f>YEAR(Tableau13[[#This Row],[Date de déclaration]])</f>
        <v>2023</v>
      </c>
      <c r="L338" s="5">
        <v>400000</v>
      </c>
      <c r="M338" s="15">
        <f>Tableau13[[#This Row],[Année de déclaration]]-Tableau13[[#This Row],[Année de sinistre]]</f>
        <v>0</v>
      </c>
    </row>
    <row r="339" spans="1:13" x14ac:dyDescent="0.3">
      <c r="A339" s="1" t="s">
        <v>352</v>
      </c>
      <c r="B339" s="1" t="s">
        <v>338</v>
      </c>
      <c r="C339" s="1">
        <v>3685</v>
      </c>
      <c r="D339" s="2">
        <v>44566</v>
      </c>
      <c r="E339" s="1">
        <v>2022</v>
      </c>
      <c r="F339" s="2">
        <v>44566</v>
      </c>
      <c r="G339" s="2">
        <v>46391</v>
      </c>
      <c r="H339" s="2">
        <v>44966</v>
      </c>
      <c r="I339" s="1">
        <v>2023</v>
      </c>
      <c r="J339" s="7">
        <v>45874</v>
      </c>
      <c r="K339" s="1">
        <f>YEAR(Tableau13[[#This Row],[Date de déclaration]])</f>
        <v>2025</v>
      </c>
      <c r="L339" s="4">
        <v>351369.86301369866</v>
      </c>
      <c r="M339" s="15">
        <f>Tableau13[[#This Row],[Année de déclaration]]-Tableau13[[#This Row],[Année de sinistre]]</f>
        <v>2</v>
      </c>
    </row>
    <row r="340" spans="1:13" x14ac:dyDescent="0.3">
      <c r="A340" s="1" t="s">
        <v>353</v>
      </c>
      <c r="B340" s="1" t="s">
        <v>338</v>
      </c>
      <c r="C340" s="1">
        <v>8285</v>
      </c>
      <c r="D340" s="2">
        <v>45021</v>
      </c>
      <c r="E340" s="1">
        <v>2023</v>
      </c>
      <c r="F340" s="2">
        <v>45021</v>
      </c>
      <c r="G340" s="2">
        <v>46847</v>
      </c>
      <c r="H340" s="2">
        <v>45157</v>
      </c>
      <c r="I340" s="1">
        <v>2023</v>
      </c>
      <c r="J340" s="7">
        <v>45190</v>
      </c>
      <c r="K340" s="1">
        <f>YEAR(Tableau13[[#This Row],[Date de déclaration]])</f>
        <v>2023</v>
      </c>
      <c r="L340" s="4">
        <v>464102.13581599126</v>
      </c>
      <c r="M340" s="15">
        <f>Tableau13[[#This Row],[Année de déclaration]]-Tableau13[[#This Row],[Année de sinistre]]</f>
        <v>0</v>
      </c>
    </row>
    <row r="341" spans="1:13" x14ac:dyDescent="0.3">
      <c r="A341" s="1" t="s">
        <v>354</v>
      </c>
      <c r="B341" s="1" t="s">
        <v>338</v>
      </c>
      <c r="C341" s="1">
        <v>2635</v>
      </c>
      <c r="D341" s="2">
        <v>44489</v>
      </c>
      <c r="E341" s="1">
        <v>2021</v>
      </c>
      <c r="F341" s="2">
        <v>44489</v>
      </c>
      <c r="G341" s="2">
        <v>46314</v>
      </c>
      <c r="H341" s="2">
        <v>44953</v>
      </c>
      <c r="I341" s="1">
        <v>2023</v>
      </c>
      <c r="J341" s="7">
        <v>44957</v>
      </c>
      <c r="K341" s="1">
        <f>YEAR(Tableau13[[#This Row],[Date de déclaration]])</f>
        <v>2023</v>
      </c>
      <c r="L341" s="4">
        <v>374003.54575342464</v>
      </c>
      <c r="M341" s="15">
        <f>Tableau13[[#This Row],[Année de déclaration]]-Tableau13[[#This Row],[Année de sinistre]]</f>
        <v>0</v>
      </c>
    </row>
    <row r="342" spans="1:13" x14ac:dyDescent="0.3">
      <c r="A342" s="1" t="s">
        <v>355</v>
      </c>
      <c r="B342" s="1" t="s">
        <v>338</v>
      </c>
      <c r="C342" s="1">
        <v>2833</v>
      </c>
      <c r="D342" s="2">
        <v>44507</v>
      </c>
      <c r="E342" s="1">
        <v>2021</v>
      </c>
      <c r="F342" s="2">
        <v>44507</v>
      </c>
      <c r="G342" s="2">
        <v>46332</v>
      </c>
      <c r="H342" s="2">
        <v>45176</v>
      </c>
      <c r="I342" s="1">
        <v>2023</v>
      </c>
      <c r="J342" s="7">
        <v>45207</v>
      </c>
      <c r="K342" s="1">
        <f>YEAR(Tableau13[[#This Row],[Date de déclaration]])</f>
        <v>2023</v>
      </c>
      <c r="L342" s="5">
        <v>597468</v>
      </c>
      <c r="M342" s="15">
        <f>Tableau13[[#This Row],[Année de déclaration]]-Tableau13[[#This Row],[Année de sinistre]]</f>
        <v>0</v>
      </c>
    </row>
    <row r="343" spans="1:13" x14ac:dyDescent="0.3">
      <c r="A343" s="1" t="s">
        <v>356</v>
      </c>
      <c r="B343" s="1" t="s">
        <v>338</v>
      </c>
      <c r="C343" s="1">
        <v>6418</v>
      </c>
      <c r="D343" s="2">
        <v>44817</v>
      </c>
      <c r="E343" s="1">
        <v>2022</v>
      </c>
      <c r="F343" s="2">
        <v>44817</v>
      </c>
      <c r="G343" s="2">
        <v>46642</v>
      </c>
      <c r="H343" s="2">
        <v>45136</v>
      </c>
      <c r="I343" s="1">
        <v>2023</v>
      </c>
      <c r="J343" s="2">
        <v>45222</v>
      </c>
      <c r="K343" s="1">
        <f>YEAR(Tableau13[[#This Row],[Date de déclaration]])</f>
        <v>2023</v>
      </c>
      <c r="L343" s="4">
        <v>511908.83358904114</v>
      </c>
      <c r="M343" s="15">
        <f>Tableau13[[#This Row],[Année de déclaration]]-Tableau13[[#This Row],[Année de sinistre]]</f>
        <v>0</v>
      </c>
    </row>
    <row r="344" spans="1:13" x14ac:dyDescent="0.3">
      <c r="A344" s="1" t="s">
        <v>357</v>
      </c>
      <c r="B344" s="1" t="s">
        <v>338</v>
      </c>
      <c r="C344" s="1">
        <v>149</v>
      </c>
      <c r="D344" s="2">
        <v>44283</v>
      </c>
      <c r="E344" s="1">
        <v>2021</v>
      </c>
      <c r="F344" s="2">
        <v>44283</v>
      </c>
      <c r="G344" s="2">
        <v>46107</v>
      </c>
      <c r="H344" s="2">
        <v>45161</v>
      </c>
      <c r="I344" s="1">
        <v>2023</v>
      </c>
      <c r="J344" s="7">
        <v>45280</v>
      </c>
      <c r="K344" s="1">
        <f>YEAR(Tableau13[[#This Row],[Date de déclaration]])</f>
        <v>2023</v>
      </c>
      <c r="L344" s="4">
        <v>320001.09649122803</v>
      </c>
      <c r="M344" s="15">
        <f>Tableau13[[#This Row],[Année de déclaration]]-Tableau13[[#This Row],[Année de sinistre]]</f>
        <v>0</v>
      </c>
    </row>
    <row r="345" spans="1:13" x14ac:dyDescent="0.3">
      <c r="A345" s="1" t="s">
        <v>358</v>
      </c>
      <c r="B345" s="1" t="s">
        <v>338</v>
      </c>
      <c r="C345" s="1">
        <v>4213</v>
      </c>
      <c r="D345" s="2">
        <v>44630</v>
      </c>
      <c r="E345" s="1">
        <v>2022</v>
      </c>
      <c r="F345" s="2">
        <v>44630</v>
      </c>
      <c r="G345" s="2">
        <v>46455</v>
      </c>
      <c r="H345" s="2">
        <v>44912</v>
      </c>
      <c r="I345" s="1">
        <v>2022</v>
      </c>
      <c r="J345" s="2">
        <v>44912</v>
      </c>
      <c r="K345" s="1">
        <f>YEAR(Tableau13[[#This Row],[Date de déclaration]])</f>
        <v>2022</v>
      </c>
      <c r="L345" s="4">
        <v>605566.61</v>
      </c>
      <c r="M345" s="15">
        <f>Tableau13[[#This Row],[Année de déclaration]]-Tableau13[[#This Row],[Année de sinistre]]</f>
        <v>0</v>
      </c>
    </row>
    <row r="346" spans="1:13" x14ac:dyDescent="0.3">
      <c r="A346" s="1" t="s">
        <v>359</v>
      </c>
      <c r="B346" s="1" t="s">
        <v>338</v>
      </c>
      <c r="C346" s="1">
        <v>2258</v>
      </c>
      <c r="D346" s="2">
        <v>44451</v>
      </c>
      <c r="E346" s="1">
        <v>2021</v>
      </c>
      <c r="F346" s="2">
        <v>44451</v>
      </c>
      <c r="G346" s="2">
        <v>46276</v>
      </c>
      <c r="H346" s="2">
        <v>45100</v>
      </c>
      <c r="I346" s="1">
        <v>2023</v>
      </c>
      <c r="J346" s="7">
        <v>45186</v>
      </c>
      <c r="K346" s="1">
        <f>YEAR(Tableau13[[#This Row],[Date de déclaration]])</f>
        <v>2023</v>
      </c>
      <c r="L346" s="4">
        <v>457636.05041095888</v>
      </c>
      <c r="M346" s="15">
        <f>Tableau13[[#This Row],[Année de déclaration]]-Tableau13[[#This Row],[Année de sinistre]]</f>
        <v>0</v>
      </c>
    </row>
    <row r="347" spans="1:13" x14ac:dyDescent="0.3">
      <c r="A347" s="1" t="s">
        <v>360</v>
      </c>
      <c r="B347" s="1" t="s">
        <v>338</v>
      </c>
      <c r="C347" s="1">
        <v>3621</v>
      </c>
      <c r="D347" s="2">
        <v>44560</v>
      </c>
      <c r="E347" s="1">
        <v>2021</v>
      </c>
      <c r="F347" s="2">
        <v>44560</v>
      </c>
      <c r="G347" s="2">
        <v>46385</v>
      </c>
      <c r="H347" s="2">
        <v>45005</v>
      </c>
      <c r="I347" s="1">
        <v>2023</v>
      </c>
      <c r="J347" s="7">
        <v>45020</v>
      </c>
      <c r="K347" s="1">
        <f>YEAR(Tableau13[[#This Row],[Date de déclaration]])</f>
        <v>2023</v>
      </c>
      <c r="L347" s="4">
        <v>385643.83561643836</v>
      </c>
      <c r="M347" s="15">
        <f>Tableau13[[#This Row],[Année de déclaration]]-Tableau13[[#This Row],[Année de sinistre]]</f>
        <v>0</v>
      </c>
    </row>
    <row r="348" spans="1:13" x14ac:dyDescent="0.3">
      <c r="A348" s="1" t="s">
        <v>361</v>
      </c>
      <c r="B348" s="1" t="s">
        <v>338</v>
      </c>
      <c r="C348" s="1">
        <v>6837</v>
      </c>
      <c r="D348" s="2">
        <v>44859</v>
      </c>
      <c r="E348" s="1">
        <v>2022</v>
      </c>
      <c r="F348" s="2">
        <v>44859</v>
      </c>
      <c r="G348" s="2">
        <v>46684</v>
      </c>
      <c r="H348" s="2">
        <v>45138</v>
      </c>
      <c r="I348" s="1">
        <v>2023</v>
      </c>
      <c r="J348" s="2">
        <v>45441</v>
      </c>
      <c r="K348" s="1">
        <f>YEAR(Tableau13[[#This Row],[Date de déclaration]])</f>
        <v>2024</v>
      </c>
      <c r="L348" s="4">
        <v>379426.52054794523</v>
      </c>
      <c r="M348" s="15">
        <f>Tableau13[[#This Row],[Année de déclaration]]-Tableau13[[#This Row],[Année de sinistre]]</f>
        <v>1</v>
      </c>
    </row>
    <row r="349" spans="1:13" x14ac:dyDescent="0.3">
      <c r="A349" s="1" t="s">
        <v>362</v>
      </c>
      <c r="B349" s="1" t="s">
        <v>338</v>
      </c>
      <c r="C349" s="1">
        <v>4595</v>
      </c>
      <c r="D349" s="2">
        <v>44657</v>
      </c>
      <c r="E349" s="1">
        <v>2022</v>
      </c>
      <c r="F349" s="2">
        <v>44657</v>
      </c>
      <c r="G349" s="2">
        <v>46482</v>
      </c>
      <c r="H349" s="2">
        <v>45219</v>
      </c>
      <c r="I349" s="1">
        <v>2023</v>
      </c>
      <c r="J349" s="7">
        <v>45267</v>
      </c>
      <c r="K349" s="1">
        <f>YEAR(Tableau13[[#This Row],[Date de déclaration]])</f>
        <v>2023</v>
      </c>
      <c r="L349" s="4">
        <v>579693.47013698635</v>
      </c>
      <c r="M349" s="15">
        <f>Tableau13[[#This Row],[Année de déclaration]]-Tableau13[[#This Row],[Année de sinistre]]</f>
        <v>0</v>
      </c>
    </row>
    <row r="350" spans="1:13" x14ac:dyDescent="0.3">
      <c r="A350" s="1" t="s">
        <v>363</v>
      </c>
      <c r="B350" s="1" t="s">
        <v>338</v>
      </c>
      <c r="C350" s="1">
        <v>1979</v>
      </c>
      <c r="D350" s="2">
        <v>44432</v>
      </c>
      <c r="E350" s="1">
        <v>2021</v>
      </c>
      <c r="F350" s="2">
        <v>44432</v>
      </c>
      <c r="G350" s="2">
        <v>46257</v>
      </c>
      <c r="H350" s="2">
        <v>44705</v>
      </c>
      <c r="I350" s="1">
        <v>2022</v>
      </c>
      <c r="J350" s="7">
        <v>45258</v>
      </c>
      <c r="K350" s="1">
        <f>YEAR(Tableau13[[#This Row],[Date de déclaration]])</f>
        <v>2023</v>
      </c>
      <c r="L350" s="4">
        <v>1138184.0745205479</v>
      </c>
      <c r="M350" s="15">
        <f>Tableau13[[#This Row],[Année de déclaration]]-Tableau13[[#This Row],[Année de sinistre]]</f>
        <v>1</v>
      </c>
    </row>
    <row r="351" spans="1:13" x14ac:dyDescent="0.3">
      <c r="A351" s="1" t="s">
        <v>364</v>
      </c>
      <c r="B351" s="1" t="s">
        <v>338</v>
      </c>
      <c r="C351" s="1">
        <v>3792</v>
      </c>
      <c r="D351" s="2">
        <v>44593</v>
      </c>
      <c r="E351" s="1">
        <v>2022</v>
      </c>
      <c r="F351" s="2">
        <v>44593</v>
      </c>
      <c r="G351" s="2">
        <v>46418</v>
      </c>
      <c r="H351" s="2">
        <v>45075</v>
      </c>
      <c r="I351" s="1">
        <v>2023</v>
      </c>
      <c r="J351" s="7">
        <v>45265</v>
      </c>
      <c r="K351" s="1">
        <f>YEAR(Tableau13[[#This Row],[Date de déclaration]])</f>
        <v>2023</v>
      </c>
      <c r="L351" s="4">
        <v>367724.43835616444</v>
      </c>
      <c r="M351" s="15">
        <f>Tableau13[[#This Row],[Année de déclaration]]-Tableau13[[#This Row],[Année de sinistre]]</f>
        <v>0</v>
      </c>
    </row>
    <row r="352" spans="1:13" x14ac:dyDescent="0.3">
      <c r="A352" s="1" t="s">
        <v>365</v>
      </c>
      <c r="B352" s="1" t="s">
        <v>338</v>
      </c>
      <c r="C352" s="1">
        <v>544</v>
      </c>
      <c r="D352" s="2">
        <v>44318</v>
      </c>
      <c r="E352" s="1">
        <v>2021</v>
      </c>
      <c r="F352" s="2">
        <v>44318</v>
      </c>
      <c r="G352" s="2">
        <v>46143</v>
      </c>
      <c r="H352" s="2">
        <v>45039</v>
      </c>
      <c r="I352" s="1">
        <v>2023</v>
      </c>
      <c r="J352" s="2">
        <v>45039</v>
      </c>
      <c r="K352" s="1">
        <f>YEAR(Tableau13[[#This Row],[Date de déclaration]])</f>
        <v>2023</v>
      </c>
      <c r="L352" s="4">
        <v>260520.40767123288</v>
      </c>
      <c r="M352" s="15">
        <f>Tableau13[[#This Row],[Année de déclaration]]-Tableau13[[#This Row],[Année de sinistre]]</f>
        <v>0</v>
      </c>
    </row>
    <row r="353" spans="1:13" x14ac:dyDescent="0.3">
      <c r="A353" s="1" t="s">
        <v>366</v>
      </c>
      <c r="B353" s="1" t="s">
        <v>338</v>
      </c>
      <c r="C353" s="1">
        <v>6870</v>
      </c>
      <c r="D353" s="2">
        <v>44861</v>
      </c>
      <c r="E353" s="1">
        <v>2022</v>
      </c>
      <c r="F353" s="2">
        <v>44861</v>
      </c>
      <c r="G353" s="2">
        <v>46321</v>
      </c>
      <c r="H353" s="2">
        <v>45202</v>
      </c>
      <c r="I353" s="1">
        <v>2023</v>
      </c>
      <c r="J353" s="8">
        <v>45607</v>
      </c>
      <c r="K353" s="1">
        <f>YEAR(Tableau13[[#This Row],[Date de déclaration]])</f>
        <v>2024</v>
      </c>
      <c r="L353" s="4">
        <v>228015.4109589041</v>
      </c>
      <c r="M353" s="15">
        <f>Tableau13[[#This Row],[Année de déclaration]]-Tableau13[[#This Row],[Année de sinistre]]</f>
        <v>1</v>
      </c>
    </row>
    <row r="354" spans="1:13" x14ac:dyDescent="0.3">
      <c r="A354" s="1" t="s">
        <v>367</v>
      </c>
      <c r="B354" s="1" t="s">
        <v>338</v>
      </c>
      <c r="C354" s="1">
        <v>8772</v>
      </c>
      <c r="D354" s="2">
        <v>45088</v>
      </c>
      <c r="E354" s="1">
        <v>2023</v>
      </c>
      <c r="F354" s="2">
        <v>45088</v>
      </c>
      <c r="G354" s="2">
        <v>46914</v>
      </c>
      <c r="H354" s="2">
        <v>45274</v>
      </c>
      <c r="I354" s="1">
        <v>2023</v>
      </c>
      <c r="J354" s="2">
        <v>45274</v>
      </c>
      <c r="K354" s="1">
        <f>YEAR(Tableau13[[#This Row],[Date de déclaration]])</f>
        <v>2023</v>
      </c>
      <c r="L354" s="4">
        <v>694068.47754654975</v>
      </c>
      <c r="M354" s="15">
        <f>Tableau13[[#This Row],[Année de déclaration]]-Tableau13[[#This Row],[Année de sinistre]]</f>
        <v>0</v>
      </c>
    </row>
    <row r="355" spans="1:13" x14ac:dyDescent="0.3">
      <c r="A355" s="1" t="s">
        <v>368</v>
      </c>
      <c r="B355" s="1" t="s">
        <v>338</v>
      </c>
      <c r="C355" s="1">
        <v>555</v>
      </c>
      <c r="D355" s="2">
        <v>44319</v>
      </c>
      <c r="E355" s="1">
        <v>2021</v>
      </c>
      <c r="F355" s="2">
        <v>44319</v>
      </c>
      <c r="G355" s="2">
        <v>46144</v>
      </c>
      <c r="H355" s="2">
        <v>44450</v>
      </c>
      <c r="I355" s="1">
        <v>2021</v>
      </c>
      <c r="J355" s="7">
        <v>45582</v>
      </c>
      <c r="K355" s="1">
        <f>YEAR(Tableau13[[#This Row],[Date de déclaration]])</f>
        <v>2024</v>
      </c>
      <c r="L355" s="4">
        <v>1182343.311780822</v>
      </c>
      <c r="M355" s="15">
        <f>Tableau13[[#This Row],[Année de déclaration]]-Tableau13[[#This Row],[Année de sinistre]]</f>
        <v>3</v>
      </c>
    </row>
    <row r="356" spans="1:13" x14ac:dyDescent="0.3">
      <c r="A356" s="1" t="s">
        <v>369</v>
      </c>
      <c r="B356" s="1" t="s">
        <v>338</v>
      </c>
      <c r="C356" s="1">
        <v>3429</v>
      </c>
      <c r="D356" s="2">
        <v>44549</v>
      </c>
      <c r="E356" s="1">
        <v>2021</v>
      </c>
      <c r="F356" s="2">
        <v>44549</v>
      </c>
      <c r="G356" s="2">
        <v>46374</v>
      </c>
      <c r="H356" s="2">
        <v>44774</v>
      </c>
      <c r="I356" s="1">
        <v>2022</v>
      </c>
      <c r="J356" s="2">
        <v>44774</v>
      </c>
      <c r="K356" s="1">
        <f>YEAR(Tableau13[[#This Row],[Date de déclaration]])</f>
        <v>2022</v>
      </c>
      <c r="L356" s="4">
        <v>455729.81</v>
      </c>
      <c r="M356" s="15">
        <f>Tableau13[[#This Row],[Année de déclaration]]-Tableau13[[#This Row],[Année de sinistre]]</f>
        <v>0</v>
      </c>
    </row>
    <row r="357" spans="1:13" x14ac:dyDescent="0.3">
      <c r="A357" s="1" t="s">
        <v>370</v>
      </c>
      <c r="B357" s="1" t="s">
        <v>338</v>
      </c>
      <c r="C357" s="1">
        <v>7587</v>
      </c>
      <c r="D357" s="2">
        <v>44931</v>
      </c>
      <c r="E357" s="1">
        <v>2023</v>
      </c>
      <c r="F357" s="2">
        <v>44931</v>
      </c>
      <c r="G357" s="2">
        <v>46756</v>
      </c>
      <c r="H357" s="2">
        <v>45022</v>
      </c>
      <c r="I357" s="1">
        <v>2023</v>
      </c>
      <c r="J357" s="2">
        <v>45022</v>
      </c>
      <c r="K357" s="1">
        <f>YEAR(Tableau13[[#This Row],[Date de déclaration]])</f>
        <v>2023</v>
      </c>
      <c r="L357" s="4">
        <v>382411.13424657536</v>
      </c>
      <c r="M357" s="15">
        <f>Tableau13[[#This Row],[Année de déclaration]]-Tableau13[[#This Row],[Année de sinistre]]</f>
        <v>0</v>
      </c>
    </row>
    <row r="358" spans="1:13" x14ac:dyDescent="0.3">
      <c r="A358" s="1" t="s">
        <v>371</v>
      </c>
      <c r="B358" s="1" t="s">
        <v>338</v>
      </c>
      <c r="C358" s="1">
        <v>4019</v>
      </c>
      <c r="D358" s="2">
        <v>44614</v>
      </c>
      <c r="E358" s="1">
        <v>2022</v>
      </c>
      <c r="F358" s="2">
        <v>44614</v>
      </c>
      <c r="G358" s="2">
        <v>46439</v>
      </c>
      <c r="H358" s="2">
        <v>45276</v>
      </c>
      <c r="I358" s="1">
        <v>2023</v>
      </c>
      <c r="J358" s="8">
        <v>45364</v>
      </c>
      <c r="K358" s="1">
        <f>YEAR(Tableau13[[#This Row],[Date de déclaration]])</f>
        <v>2024</v>
      </c>
      <c r="L358" s="4">
        <v>478582.46575342468</v>
      </c>
      <c r="M358" s="15">
        <f>Tableau13[[#This Row],[Année de déclaration]]-Tableau13[[#This Row],[Année de sinistre]]</f>
        <v>1</v>
      </c>
    </row>
    <row r="359" spans="1:13" x14ac:dyDescent="0.3">
      <c r="A359" s="1" t="s">
        <v>372</v>
      </c>
      <c r="B359" s="1" t="s">
        <v>338</v>
      </c>
      <c r="C359" s="1">
        <v>2984</v>
      </c>
      <c r="D359" s="2">
        <v>44516</v>
      </c>
      <c r="E359" s="1">
        <v>2021</v>
      </c>
      <c r="F359" s="2">
        <v>44516</v>
      </c>
      <c r="G359" s="2">
        <v>46341</v>
      </c>
      <c r="H359" s="2">
        <v>45143</v>
      </c>
      <c r="I359" s="1">
        <v>2023</v>
      </c>
      <c r="J359" s="8">
        <v>45358</v>
      </c>
      <c r="K359" s="1">
        <f>YEAR(Tableau13[[#This Row],[Date de déclaration]])</f>
        <v>2024</v>
      </c>
      <c r="L359" s="4">
        <v>525478.90410958906</v>
      </c>
      <c r="M359" s="15">
        <f>Tableau13[[#This Row],[Année de déclaration]]-Tableau13[[#This Row],[Année de sinistre]]</f>
        <v>1</v>
      </c>
    </row>
    <row r="360" spans="1:13" x14ac:dyDescent="0.3">
      <c r="A360" s="1" t="s">
        <v>373</v>
      </c>
      <c r="B360" s="1" t="s">
        <v>338</v>
      </c>
      <c r="C360" s="1">
        <v>919</v>
      </c>
      <c r="D360" s="2">
        <v>44347</v>
      </c>
      <c r="E360" s="1">
        <v>2021</v>
      </c>
      <c r="F360" s="2">
        <v>44347</v>
      </c>
      <c r="G360" s="2">
        <v>46172</v>
      </c>
      <c r="H360" s="2">
        <v>45245</v>
      </c>
      <c r="I360" s="1">
        <v>2023</v>
      </c>
      <c r="J360" s="8">
        <v>45819</v>
      </c>
      <c r="K360" s="1">
        <f>YEAR(Tableau13[[#This Row],[Date de déclaration]])</f>
        <v>2025</v>
      </c>
      <c r="L360" s="4">
        <v>227711.83561643833</v>
      </c>
      <c r="M360" s="15">
        <f>Tableau13[[#This Row],[Année de déclaration]]-Tableau13[[#This Row],[Année de sinistre]]</f>
        <v>2</v>
      </c>
    </row>
    <row r="361" spans="1:13" x14ac:dyDescent="0.3">
      <c r="A361" s="1" t="s">
        <v>374</v>
      </c>
      <c r="B361" s="1" t="s">
        <v>338</v>
      </c>
      <c r="C361" s="1">
        <v>3977</v>
      </c>
      <c r="D361" s="2">
        <v>44613</v>
      </c>
      <c r="E361" s="1">
        <v>2022</v>
      </c>
      <c r="F361" s="2">
        <v>44613</v>
      </c>
      <c r="G361" s="2">
        <v>46073</v>
      </c>
      <c r="H361" s="2">
        <v>45335</v>
      </c>
      <c r="I361" s="1">
        <v>2024</v>
      </c>
      <c r="J361" s="8">
        <v>45375</v>
      </c>
      <c r="K361" s="1">
        <f>YEAR(Tableau13[[#This Row],[Date de déclaration]])</f>
        <v>2024</v>
      </c>
      <c r="L361" s="4">
        <v>240608.21917808219</v>
      </c>
      <c r="M361" s="15">
        <f>Tableau13[[#This Row],[Année de déclaration]]-Tableau13[[#This Row],[Année de sinistre]]</f>
        <v>0</v>
      </c>
    </row>
    <row r="362" spans="1:13" x14ac:dyDescent="0.3">
      <c r="A362" s="1" t="s">
        <v>375</v>
      </c>
      <c r="B362" s="1" t="s">
        <v>338</v>
      </c>
      <c r="C362" s="1">
        <v>8597</v>
      </c>
      <c r="D362" s="2">
        <v>45067</v>
      </c>
      <c r="E362" s="1">
        <v>2023</v>
      </c>
      <c r="F362" s="2">
        <v>45067</v>
      </c>
      <c r="G362" s="2">
        <v>46893</v>
      </c>
      <c r="H362" s="2">
        <v>45379</v>
      </c>
      <c r="I362" s="1">
        <v>2024</v>
      </c>
      <c r="J362" s="8">
        <v>45580</v>
      </c>
      <c r="K362" s="1">
        <f>YEAR(Tableau13[[#This Row],[Date de déclaration]])</f>
        <v>2024</v>
      </c>
      <c r="L362" s="4">
        <v>642579.40854326403</v>
      </c>
      <c r="M362" s="15">
        <f>Tableau13[[#This Row],[Année de déclaration]]-Tableau13[[#This Row],[Année de sinistre]]</f>
        <v>0</v>
      </c>
    </row>
    <row r="363" spans="1:13" x14ac:dyDescent="0.3">
      <c r="A363" s="1" t="s">
        <v>376</v>
      </c>
      <c r="B363" s="1" t="s">
        <v>338</v>
      </c>
      <c r="C363" s="1">
        <v>1074</v>
      </c>
      <c r="D363" s="2">
        <v>44357</v>
      </c>
      <c r="E363" s="1">
        <v>2021</v>
      </c>
      <c r="F363" s="2">
        <v>44357</v>
      </c>
      <c r="G363" s="2">
        <v>46182</v>
      </c>
      <c r="H363" s="2">
        <v>45354</v>
      </c>
      <c r="I363" s="1">
        <v>2024</v>
      </c>
      <c r="J363" s="8">
        <v>45601</v>
      </c>
      <c r="K363" s="1">
        <f>YEAR(Tableau13[[#This Row],[Date de déclaration]])</f>
        <v>2024</v>
      </c>
      <c r="L363" s="4">
        <v>354288.67791780824</v>
      </c>
      <c r="M363" s="15">
        <f>Tableau13[[#This Row],[Année de déclaration]]-Tableau13[[#This Row],[Année de sinistre]]</f>
        <v>0</v>
      </c>
    </row>
    <row r="364" spans="1:13" x14ac:dyDescent="0.3">
      <c r="A364" s="1" t="s">
        <v>377</v>
      </c>
      <c r="B364" s="1" t="s">
        <v>338</v>
      </c>
      <c r="C364" s="1">
        <v>10416</v>
      </c>
      <c r="D364" s="2">
        <v>45249</v>
      </c>
      <c r="E364" s="1">
        <v>2023</v>
      </c>
      <c r="F364" s="2">
        <v>45249</v>
      </c>
      <c r="G364" s="2">
        <v>47075</v>
      </c>
      <c r="H364" s="2">
        <v>45387</v>
      </c>
      <c r="I364" s="1">
        <v>2024</v>
      </c>
      <c r="J364" s="8">
        <v>45400</v>
      </c>
      <c r="K364" s="1">
        <f>YEAR(Tableau13[[#This Row],[Date de déclaration]])</f>
        <v>2024</v>
      </c>
      <c r="L364" s="4">
        <v>684240.87623220158</v>
      </c>
      <c r="M364" s="15">
        <f>Tableau13[[#This Row],[Année de déclaration]]-Tableau13[[#This Row],[Année de sinistre]]</f>
        <v>0</v>
      </c>
    </row>
    <row r="365" spans="1:13" x14ac:dyDescent="0.3">
      <c r="A365" s="1" t="s">
        <v>378</v>
      </c>
      <c r="B365" s="1" t="s">
        <v>338</v>
      </c>
      <c r="C365" s="1">
        <v>471</v>
      </c>
      <c r="D365" s="2">
        <v>44313</v>
      </c>
      <c r="E365" s="1">
        <v>2021</v>
      </c>
      <c r="F365" s="2">
        <v>44313</v>
      </c>
      <c r="G365" s="2">
        <v>46138</v>
      </c>
      <c r="H365" s="2">
        <v>45038</v>
      </c>
      <c r="I365" s="1">
        <v>2023</v>
      </c>
      <c r="J365" s="8">
        <v>45400</v>
      </c>
      <c r="K365" s="1">
        <f>YEAR(Tableau13[[#This Row],[Date de déclaration]])</f>
        <v>2024</v>
      </c>
      <c r="L365" s="4">
        <v>422158.904109589</v>
      </c>
      <c r="M365" s="15">
        <f>Tableau13[[#This Row],[Année de déclaration]]-Tableau13[[#This Row],[Année de sinistre]]</f>
        <v>1</v>
      </c>
    </row>
    <row r="366" spans="1:13" x14ac:dyDescent="0.3">
      <c r="A366" s="1" t="s">
        <v>379</v>
      </c>
      <c r="B366" s="1" t="s">
        <v>338</v>
      </c>
      <c r="C366" s="1">
        <v>6787</v>
      </c>
      <c r="D366" s="2">
        <v>44853</v>
      </c>
      <c r="E366" s="1">
        <v>2022</v>
      </c>
      <c r="F366" s="2">
        <v>44853</v>
      </c>
      <c r="G366" s="2">
        <v>46678</v>
      </c>
      <c r="H366" s="2">
        <v>45136</v>
      </c>
      <c r="I366" s="1">
        <v>2023</v>
      </c>
      <c r="J366" s="8">
        <v>45400</v>
      </c>
      <c r="K366" s="1">
        <f>YEAR(Tableau13[[#This Row],[Date de déclaration]])</f>
        <v>2024</v>
      </c>
      <c r="L366" s="4">
        <v>1097566.0273972603</v>
      </c>
      <c r="M366" s="15">
        <f>Tableau13[[#This Row],[Année de déclaration]]-Tableau13[[#This Row],[Année de sinistre]]</f>
        <v>1</v>
      </c>
    </row>
    <row r="367" spans="1:13" x14ac:dyDescent="0.3">
      <c r="A367" s="1" t="s">
        <v>380</v>
      </c>
      <c r="B367" s="1" t="s">
        <v>338</v>
      </c>
      <c r="C367" s="1">
        <v>9506</v>
      </c>
      <c r="D367" s="2">
        <v>45168</v>
      </c>
      <c r="E367" s="1">
        <v>2023</v>
      </c>
      <c r="F367" s="2">
        <v>45168</v>
      </c>
      <c r="G367" s="2">
        <v>46994</v>
      </c>
      <c r="H367" s="2">
        <v>45407</v>
      </c>
      <c r="I367" s="1">
        <v>2024</v>
      </c>
      <c r="J367" s="2">
        <v>45433</v>
      </c>
      <c r="K367" s="1">
        <f>YEAR(Tableau13[[#This Row],[Date de déclaration]])</f>
        <v>2024</v>
      </c>
      <c r="L367" s="4">
        <v>154702.08105147866</v>
      </c>
      <c r="M367" s="15">
        <f>Tableau13[[#This Row],[Année de déclaration]]-Tableau13[[#This Row],[Année de sinistre]]</f>
        <v>0</v>
      </c>
    </row>
    <row r="368" spans="1:13" x14ac:dyDescent="0.3">
      <c r="A368" s="1" t="s">
        <v>381</v>
      </c>
      <c r="B368" s="1" t="s">
        <v>338</v>
      </c>
      <c r="C368" s="1">
        <v>8286</v>
      </c>
      <c r="D368" s="2">
        <v>45021</v>
      </c>
      <c r="E368" s="1">
        <v>2023</v>
      </c>
      <c r="F368" s="2">
        <v>45021</v>
      </c>
      <c r="G368" s="2">
        <v>46847</v>
      </c>
      <c r="H368" s="2">
        <v>45408</v>
      </c>
      <c r="I368" s="1">
        <v>2024</v>
      </c>
      <c r="J368" s="2">
        <v>45433</v>
      </c>
      <c r="K368" s="1">
        <f>YEAR(Tableau13[[#This Row],[Date de déclaration]])</f>
        <v>2024</v>
      </c>
      <c r="L368" s="4">
        <v>552058.1018510405</v>
      </c>
      <c r="M368" s="15">
        <f>Tableau13[[#This Row],[Année de déclaration]]-Tableau13[[#This Row],[Année de sinistre]]</f>
        <v>0</v>
      </c>
    </row>
    <row r="369" spans="1:13" x14ac:dyDescent="0.3">
      <c r="A369" s="1" t="s">
        <v>382</v>
      </c>
      <c r="B369" s="1" t="s">
        <v>338</v>
      </c>
      <c r="C369" s="1">
        <v>6958</v>
      </c>
      <c r="D369" s="2">
        <v>44874</v>
      </c>
      <c r="E369" s="1">
        <v>2022</v>
      </c>
      <c r="F369" s="2">
        <v>44874</v>
      </c>
      <c r="G369" s="2">
        <v>46699</v>
      </c>
      <c r="H369" s="2">
        <v>45389</v>
      </c>
      <c r="I369" s="1">
        <v>2024</v>
      </c>
      <c r="J369" s="2">
        <v>45433</v>
      </c>
      <c r="K369" s="1">
        <f>YEAR(Tableau13[[#This Row],[Date de déclaration]])</f>
        <v>2024</v>
      </c>
      <c r="L369" s="4">
        <v>357253.15068493149</v>
      </c>
      <c r="M369" s="15">
        <f>Tableau13[[#This Row],[Année de déclaration]]-Tableau13[[#This Row],[Année de sinistre]]</f>
        <v>0</v>
      </c>
    </row>
    <row r="370" spans="1:13" x14ac:dyDescent="0.3">
      <c r="A370" s="1" t="s">
        <v>383</v>
      </c>
      <c r="B370" s="1" t="s">
        <v>338</v>
      </c>
      <c r="C370" s="1">
        <v>130</v>
      </c>
      <c r="D370" s="2">
        <v>44280</v>
      </c>
      <c r="E370" s="1">
        <v>2021</v>
      </c>
      <c r="F370" s="2">
        <v>44280</v>
      </c>
      <c r="G370" s="2">
        <v>46104</v>
      </c>
      <c r="H370" s="2">
        <v>44940</v>
      </c>
      <c r="I370" s="1">
        <v>2023</v>
      </c>
      <c r="J370" s="2">
        <v>45433</v>
      </c>
      <c r="K370" s="1">
        <f>YEAR(Tableau13[[#This Row],[Date de déclaration]])</f>
        <v>2024</v>
      </c>
      <c r="L370" s="4">
        <v>573777.29723684199</v>
      </c>
      <c r="M370" s="15">
        <f>Tableau13[[#This Row],[Année de déclaration]]-Tableau13[[#This Row],[Année de sinistre]]</f>
        <v>1</v>
      </c>
    </row>
    <row r="371" spans="1:13" x14ac:dyDescent="0.3">
      <c r="A371" s="1" t="s">
        <v>384</v>
      </c>
      <c r="B371" s="1" t="s">
        <v>338</v>
      </c>
      <c r="C371" s="1">
        <v>1389</v>
      </c>
      <c r="D371" s="2">
        <v>44381</v>
      </c>
      <c r="E371" s="1">
        <v>2021</v>
      </c>
      <c r="F371" s="2">
        <v>44381</v>
      </c>
      <c r="G371" s="2">
        <v>46206</v>
      </c>
      <c r="H371" s="2">
        <v>45361</v>
      </c>
      <c r="I371" s="1">
        <v>2024</v>
      </c>
      <c r="J371" s="2">
        <f>VLOOKUP(Tableau13[[#This Row],[N°Adhesion ]],[2]Sinistre!$G$232:$U$443,12,FALSE)</f>
        <v>45642</v>
      </c>
      <c r="K371" s="1">
        <f>YEAR(Tableau13[[#This Row],[Date de déclaration]])</f>
        <v>2024</v>
      </c>
      <c r="L371" s="4">
        <v>278039.72602739726</v>
      </c>
      <c r="M371" s="15">
        <f>Tableau13[[#This Row],[Année de déclaration]]-Tableau13[[#This Row],[Année de sinistre]]</f>
        <v>0</v>
      </c>
    </row>
    <row r="372" spans="1:13" x14ac:dyDescent="0.3">
      <c r="A372" s="1" t="s">
        <v>385</v>
      </c>
      <c r="B372" s="1" t="s">
        <v>338</v>
      </c>
      <c r="C372" s="1">
        <v>1169</v>
      </c>
      <c r="D372" s="2">
        <v>44364</v>
      </c>
      <c r="E372" s="1">
        <v>2021</v>
      </c>
      <c r="F372" s="2">
        <v>44364</v>
      </c>
      <c r="G372" s="2">
        <v>46189</v>
      </c>
      <c r="H372" s="2">
        <v>45207</v>
      </c>
      <c r="I372" s="1">
        <v>2023</v>
      </c>
      <c r="J372" s="2">
        <v>45433</v>
      </c>
      <c r="K372" s="1">
        <f>YEAR(Tableau13[[#This Row],[Date de déclaration]])</f>
        <v>2024</v>
      </c>
      <c r="L372" s="4">
        <v>538082.19178082189</v>
      </c>
      <c r="M372" s="15">
        <f>Tableau13[[#This Row],[Année de déclaration]]-Tableau13[[#This Row],[Année de sinistre]]</f>
        <v>1</v>
      </c>
    </row>
    <row r="373" spans="1:13" x14ac:dyDescent="0.3">
      <c r="A373" s="1" t="s">
        <v>386</v>
      </c>
      <c r="B373" s="1" t="s">
        <v>338</v>
      </c>
      <c r="C373" s="1">
        <v>3240</v>
      </c>
      <c r="D373" s="2">
        <v>44537</v>
      </c>
      <c r="E373" s="1">
        <v>2021</v>
      </c>
      <c r="F373" s="2">
        <v>44537</v>
      </c>
      <c r="G373" s="2">
        <v>46362</v>
      </c>
      <c r="H373" s="2">
        <v>45445</v>
      </c>
      <c r="I373" s="1">
        <v>2024</v>
      </c>
      <c r="J373" s="2">
        <v>45544</v>
      </c>
      <c r="K373" s="1">
        <f>YEAR(Tableau13[[#This Row],[Date de déclaration]])</f>
        <v>2024</v>
      </c>
      <c r="L373" s="4">
        <v>175712.27397260274</v>
      </c>
      <c r="M373" s="15">
        <f>Tableau13[[#This Row],[Année de déclaration]]-Tableau13[[#This Row],[Année de sinistre]]</f>
        <v>0</v>
      </c>
    </row>
    <row r="374" spans="1:13" x14ac:dyDescent="0.3">
      <c r="A374" s="1" t="s">
        <v>387</v>
      </c>
      <c r="B374" s="1" t="s">
        <v>338</v>
      </c>
      <c r="C374" s="1">
        <v>9090</v>
      </c>
      <c r="D374" s="2">
        <v>45132</v>
      </c>
      <c r="E374" s="1">
        <v>2023</v>
      </c>
      <c r="F374" s="2">
        <v>45132</v>
      </c>
      <c r="G374" s="2">
        <v>46958</v>
      </c>
      <c r="H374" s="2">
        <v>45502</v>
      </c>
      <c r="I374" s="1">
        <v>2024</v>
      </c>
      <c r="J374" s="2">
        <v>45544</v>
      </c>
      <c r="K374" s="1">
        <f>YEAR(Tableau13[[#This Row],[Date de déclaration]])</f>
        <v>2024</v>
      </c>
      <c r="L374" s="4">
        <v>484004.38116100762</v>
      </c>
      <c r="M374" s="15">
        <f>Tableau13[[#This Row],[Année de déclaration]]-Tableau13[[#This Row],[Année de sinistre]]</f>
        <v>0</v>
      </c>
    </row>
    <row r="375" spans="1:13" x14ac:dyDescent="0.3">
      <c r="A375" s="1" t="s">
        <v>388</v>
      </c>
      <c r="B375" s="1" t="s">
        <v>338</v>
      </c>
      <c r="C375" s="1">
        <v>8839</v>
      </c>
      <c r="D375" s="2">
        <v>45097</v>
      </c>
      <c r="E375" s="1">
        <v>2023</v>
      </c>
      <c r="F375" s="2">
        <v>45097</v>
      </c>
      <c r="G375" s="2">
        <v>46923</v>
      </c>
      <c r="H375" s="2">
        <v>45512</v>
      </c>
      <c r="I375" s="1">
        <v>2024</v>
      </c>
      <c r="J375" s="2">
        <v>45544</v>
      </c>
      <c r="K375" s="1">
        <f>YEAR(Tableau13[[#This Row],[Date de déclaration]])</f>
        <v>2024</v>
      </c>
      <c r="L375" s="4">
        <v>384277.27272727271</v>
      </c>
      <c r="M375" s="15">
        <f>Tableau13[[#This Row],[Année de déclaration]]-Tableau13[[#This Row],[Année de sinistre]]</f>
        <v>0</v>
      </c>
    </row>
    <row r="376" spans="1:13" x14ac:dyDescent="0.3">
      <c r="A376" s="1" t="s">
        <v>389</v>
      </c>
      <c r="B376" s="1" t="s">
        <v>338</v>
      </c>
      <c r="C376" s="1">
        <v>4836</v>
      </c>
      <c r="D376" s="2">
        <v>44671</v>
      </c>
      <c r="E376" s="1">
        <v>2022</v>
      </c>
      <c r="F376" s="2">
        <v>44671</v>
      </c>
      <c r="G376" s="2">
        <v>46496</v>
      </c>
      <c r="H376" s="2">
        <v>45167</v>
      </c>
      <c r="I376" s="1">
        <v>2023</v>
      </c>
      <c r="J376" s="2">
        <v>45544</v>
      </c>
      <c r="K376" s="1">
        <f>YEAR(Tableau13[[#This Row],[Date de déclaration]])</f>
        <v>2024</v>
      </c>
      <c r="L376" s="4">
        <v>292744.10958904109</v>
      </c>
      <c r="M376" s="15">
        <f>Tableau13[[#This Row],[Année de déclaration]]-Tableau13[[#This Row],[Année de sinistre]]</f>
        <v>1</v>
      </c>
    </row>
    <row r="377" spans="1:13" x14ac:dyDescent="0.3">
      <c r="A377" s="1" t="s">
        <v>390</v>
      </c>
      <c r="B377" s="1" t="s">
        <v>338</v>
      </c>
      <c r="C377" s="1">
        <v>9537</v>
      </c>
      <c r="D377" s="2">
        <v>45173</v>
      </c>
      <c r="E377" s="1">
        <v>2023</v>
      </c>
      <c r="F377" s="2">
        <v>45173</v>
      </c>
      <c r="G377" s="2">
        <v>46999</v>
      </c>
      <c r="H377" s="2">
        <v>45282</v>
      </c>
      <c r="I377" s="1">
        <v>2023</v>
      </c>
      <c r="J377" s="2">
        <v>45544</v>
      </c>
      <c r="K377" s="1">
        <f>YEAR(Tableau13[[#This Row],[Date de déclaration]])</f>
        <v>2024</v>
      </c>
      <c r="L377" s="4">
        <v>917775.0525739321</v>
      </c>
      <c r="M377" s="15">
        <f>Tableau13[[#This Row],[Année de déclaration]]-Tableau13[[#This Row],[Année de sinistre]]</f>
        <v>1</v>
      </c>
    </row>
    <row r="378" spans="1:13" x14ac:dyDescent="0.3">
      <c r="A378" s="1" t="s">
        <v>391</v>
      </c>
      <c r="B378" s="1" t="s">
        <v>13</v>
      </c>
      <c r="C378" s="1">
        <v>74</v>
      </c>
      <c r="D378" s="2">
        <v>43465</v>
      </c>
      <c r="E378" s="1">
        <v>2018</v>
      </c>
      <c r="F378" s="2">
        <v>43139</v>
      </c>
      <c r="G378" s="2">
        <v>44934</v>
      </c>
      <c r="H378" s="2">
        <v>44138</v>
      </c>
      <c r="I378" s="1">
        <v>2020</v>
      </c>
      <c r="J378" s="2">
        <v>44138</v>
      </c>
      <c r="K378" s="1">
        <f>YEAR(Tableau13[[#This Row],[Date de déclaration]])</f>
        <v>2020</v>
      </c>
      <c r="L378" s="4">
        <v>576490.25069637876</v>
      </c>
      <c r="M378" s="15">
        <f>Tableau13[[#This Row],[Année de déclaration]]-Tableau13[[#This Row],[Année de sinistre]]</f>
        <v>0</v>
      </c>
    </row>
    <row r="379" spans="1:13" x14ac:dyDescent="0.3">
      <c r="A379" s="1" t="s">
        <v>392</v>
      </c>
      <c r="B379" s="1" t="s">
        <v>13</v>
      </c>
      <c r="C379" s="1">
        <v>7</v>
      </c>
      <c r="D379" s="2">
        <v>43956</v>
      </c>
      <c r="E379" s="1">
        <v>2020</v>
      </c>
      <c r="F379" s="2">
        <v>43986</v>
      </c>
      <c r="G379" s="2">
        <v>45050</v>
      </c>
      <c r="H379" s="2">
        <v>44032</v>
      </c>
      <c r="I379" s="1">
        <v>2020</v>
      </c>
      <c r="J379" s="2">
        <v>44032</v>
      </c>
      <c r="K379" s="1">
        <f>YEAR(Tableau13[[#This Row],[Date de déclaration]])</f>
        <v>2020</v>
      </c>
      <c r="L379" s="4">
        <v>741058.23</v>
      </c>
      <c r="M379" s="15">
        <f>Tableau13[[#This Row],[Année de déclaration]]-Tableau13[[#This Row],[Année de sinistre]]</f>
        <v>0</v>
      </c>
    </row>
    <row r="380" spans="1:13" x14ac:dyDescent="0.3">
      <c r="A380" s="1" t="s">
        <v>393</v>
      </c>
      <c r="B380" s="1" t="s">
        <v>13</v>
      </c>
      <c r="C380" s="1">
        <v>2114</v>
      </c>
      <c r="D380" s="2">
        <v>43831</v>
      </c>
      <c r="E380" s="1">
        <f>YEAR(Tableau13[[#This Row],[Date de sous]])</f>
        <v>2020</v>
      </c>
      <c r="H380" s="2">
        <v>44109</v>
      </c>
      <c r="I380" s="1">
        <v>2020</v>
      </c>
      <c r="J380" s="2">
        <v>44109</v>
      </c>
      <c r="K380" s="1">
        <f>YEAR(Tableau13[[#This Row],[Date de déclaration]])</f>
        <v>2020</v>
      </c>
      <c r="L380" s="4">
        <v>779865.36</v>
      </c>
      <c r="M380" s="15">
        <f>Tableau13[[#This Row],[Année de déclaration]]-Tableau13[[#This Row],[Année de sinistre]]</f>
        <v>0</v>
      </c>
    </row>
    <row r="381" spans="1:13" x14ac:dyDescent="0.3">
      <c r="A381" s="1" t="s">
        <v>394</v>
      </c>
      <c r="B381" s="1" t="s">
        <v>16</v>
      </c>
      <c r="D381" s="2">
        <v>43831</v>
      </c>
      <c r="E381" s="1">
        <f>YEAR(Tableau13[[#This Row],[Date de sous]])</f>
        <v>2020</v>
      </c>
      <c r="H381" s="2">
        <v>44055</v>
      </c>
      <c r="I381" s="1">
        <v>2020</v>
      </c>
      <c r="J381" s="2">
        <v>44055</v>
      </c>
      <c r="K381" s="1">
        <f>YEAR(Tableau13[[#This Row],[Date de déclaration]])</f>
        <v>2020</v>
      </c>
      <c r="L381" s="4">
        <v>549948.97</v>
      </c>
      <c r="M381" s="15">
        <f>Tableau13[[#This Row],[Année de déclaration]]-Tableau13[[#This Row],[Année de sinistre]]</f>
        <v>0</v>
      </c>
    </row>
    <row r="382" spans="1:13" x14ac:dyDescent="0.3">
      <c r="A382" s="1" t="s">
        <v>395</v>
      </c>
      <c r="B382" s="1" t="s">
        <v>13</v>
      </c>
      <c r="C382" s="1">
        <v>8</v>
      </c>
      <c r="D382" s="2">
        <v>43601</v>
      </c>
      <c r="E382" s="1">
        <f>YEAR(Tableau13[[#This Row],[Date de sous]])</f>
        <v>2019</v>
      </c>
      <c r="F382" s="2">
        <v>43558</v>
      </c>
      <c r="G382" s="2">
        <v>45384</v>
      </c>
      <c r="H382" s="2">
        <v>44141</v>
      </c>
      <c r="I382" s="1">
        <v>2020</v>
      </c>
      <c r="J382" s="2">
        <v>44141</v>
      </c>
      <c r="K382" s="1">
        <f>YEAR(Tableau13[[#This Row],[Date de déclaration]])</f>
        <v>2020</v>
      </c>
      <c r="L382" s="4">
        <v>884163.44</v>
      </c>
      <c r="M382" s="15">
        <f>Tableau13[[#This Row],[Année de déclaration]]-Tableau13[[#This Row],[Année de sinistre]]</f>
        <v>0</v>
      </c>
    </row>
    <row r="383" spans="1:13" x14ac:dyDescent="0.3">
      <c r="A383" s="1" t="s">
        <v>396</v>
      </c>
      <c r="B383" s="1" t="s">
        <v>13</v>
      </c>
      <c r="C383" s="1">
        <v>74</v>
      </c>
      <c r="D383" s="2">
        <v>43731</v>
      </c>
      <c r="E383" s="1">
        <f>YEAR(Tableau13[[#This Row],[Date de sous]])</f>
        <v>2019</v>
      </c>
      <c r="F383" s="2">
        <v>43703</v>
      </c>
      <c r="G383" s="2">
        <v>44798</v>
      </c>
      <c r="H383" s="2">
        <v>44310</v>
      </c>
      <c r="I383" s="1">
        <v>2021</v>
      </c>
      <c r="J383" s="2">
        <v>44310</v>
      </c>
      <c r="K383" s="1">
        <f>YEAR(Tableau13[[#This Row],[Date de déclaration]])</f>
        <v>2021</v>
      </c>
      <c r="L383" s="4">
        <v>349420.46</v>
      </c>
      <c r="M383" s="15">
        <f>Tableau13[[#This Row],[Année de déclaration]]-Tableau13[[#This Row],[Année de sinistre]]</f>
        <v>0</v>
      </c>
    </row>
    <row r="384" spans="1:13" x14ac:dyDescent="0.3">
      <c r="A384" s="1" t="s">
        <v>397</v>
      </c>
      <c r="B384" s="1" t="s">
        <v>13</v>
      </c>
      <c r="D384" s="2">
        <v>43831</v>
      </c>
      <c r="E384" s="1">
        <f>YEAR(Tableau13[[#This Row],[Date de sous]])</f>
        <v>2020</v>
      </c>
      <c r="H384" s="2">
        <v>44562</v>
      </c>
      <c r="I384" s="1">
        <v>2022</v>
      </c>
      <c r="J384" s="2">
        <v>44562</v>
      </c>
      <c r="K384" s="1">
        <f>YEAR(Tableau13[[#This Row],[Date de déclaration]])</f>
        <v>2022</v>
      </c>
      <c r="L384" s="4">
        <v>2390035.9</v>
      </c>
      <c r="M384" s="15">
        <f>Tableau13[[#This Row],[Année de déclaration]]-Tableau13[[#This Row],[Année de sinistre]]</f>
        <v>0</v>
      </c>
    </row>
    <row r="385" spans="1:13" x14ac:dyDescent="0.3">
      <c r="A385" s="1" t="s">
        <v>397</v>
      </c>
      <c r="B385" s="1" t="s">
        <v>13</v>
      </c>
      <c r="C385" s="1">
        <v>86</v>
      </c>
      <c r="D385" s="2">
        <v>43465</v>
      </c>
      <c r="E385" s="1">
        <f>YEAR(Tableau13[[#This Row],[Date de sous]])</f>
        <v>2018</v>
      </c>
      <c r="F385" s="2">
        <v>43306</v>
      </c>
      <c r="G385" s="2">
        <v>44766</v>
      </c>
      <c r="H385" s="2">
        <v>44549</v>
      </c>
      <c r="I385" s="1">
        <v>2021</v>
      </c>
      <c r="J385" s="2">
        <v>44549</v>
      </c>
      <c r="K385" s="1">
        <f>YEAR(Tableau13[[#This Row],[Date de déclaration]])</f>
        <v>2021</v>
      </c>
      <c r="L385" s="4">
        <v>168095.89</v>
      </c>
      <c r="M385" s="15">
        <f>Tableau13[[#This Row],[Année de déclaration]]-Tableau13[[#This Row],[Année de sinistre]]</f>
        <v>0</v>
      </c>
    </row>
    <row r="386" spans="1:13" x14ac:dyDescent="0.3">
      <c r="A386" s="1" t="s">
        <v>398</v>
      </c>
      <c r="B386" s="1" t="s">
        <v>13</v>
      </c>
      <c r="C386" s="1">
        <v>23</v>
      </c>
      <c r="D386" s="2">
        <v>43600</v>
      </c>
      <c r="E386" s="1">
        <f>YEAR(Tableau13[[#This Row],[Date de sous]])</f>
        <v>2019</v>
      </c>
      <c r="F386" s="2">
        <v>43622</v>
      </c>
      <c r="G386" s="2">
        <v>46147</v>
      </c>
      <c r="H386" s="2">
        <v>44685</v>
      </c>
      <c r="I386" s="1">
        <v>2022</v>
      </c>
      <c r="J386" s="2">
        <v>44876</v>
      </c>
      <c r="K386" s="1">
        <f>YEAR(Tableau13[[#This Row],[Date de déclaration]])</f>
        <v>2022</v>
      </c>
      <c r="L386" s="3">
        <v>810613.86138613871</v>
      </c>
      <c r="M386" s="15">
        <f>Tableau13[[#This Row],[Année de déclaration]]-Tableau13[[#This Row],[Année de sinistre]]</f>
        <v>0</v>
      </c>
    </row>
    <row r="387" spans="1:13" x14ac:dyDescent="0.3">
      <c r="A387" s="1" t="s">
        <v>399</v>
      </c>
      <c r="B387" s="1" t="s">
        <v>13</v>
      </c>
      <c r="C387" s="1">
        <v>7</v>
      </c>
      <c r="D387" s="2">
        <v>44553</v>
      </c>
      <c r="E387" s="1">
        <f>YEAR(Tableau13[[#This Row],[Date de sous]])</f>
        <v>2021</v>
      </c>
      <c r="F387" s="2">
        <v>43653</v>
      </c>
      <c r="G387" s="2">
        <v>42557</v>
      </c>
      <c r="H387" s="2">
        <v>44808</v>
      </c>
      <c r="I387" s="1">
        <v>2022</v>
      </c>
      <c r="J387" s="2">
        <v>44808</v>
      </c>
      <c r="K387" s="1">
        <f>YEAR(Tableau13[[#This Row],[Date de déclaration]])</f>
        <v>2022</v>
      </c>
      <c r="L387" s="5">
        <v>900000</v>
      </c>
      <c r="M387" s="15">
        <f>Tableau13[[#This Row],[Année de déclaration]]-Tableau13[[#This Row],[Année de sinistre]]</f>
        <v>0</v>
      </c>
    </row>
    <row r="388" spans="1:13" x14ac:dyDescent="0.3">
      <c r="A388" s="1" t="s">
        <v>400</v>
      </c>
      <c r="B388" s="1" t="s">
        <v>13</v>
      </c>
      <c r="C388" s="1">
        <v>198</v>
      </c>
      <c r="D388" s="2">
        <v>44867</v>
      </c>
      <c r="E388" s="1">
        <f>YEAR(Tableau13[[#This Row],[Date de sous]])</f>
        <v>2022</v>
      </c>
      <c r="F388" s="2">
        <v>44883</v>
      </c>
      <c r="G388" s="2">
        <v>51452</v>
      </c>
      <c r="H388" s="2">
        <v>44960</v>
      </c>
      <c r="I388" s="1">
        <v>2023</v>
      </c>
      <c r="J388" s="2">
        <v>44960</v>
      </c>
      <c r="K388" s="1">
        <f>YEAR(Tableau13[[#This Row],[Date de déclaration]])</f>
        <v>2023</v>
      </c>
      <c r="L388" s="4">
        <v>8721703.4510153756</v>
      </c>
      <c r="M388" s="15">
        <f>Tableau13[[#This Row],[Année de déclaration]]-Tableau13[[#This Row],[Année de sinistre]]</f>
        <v>0</v>
      </c>
    </row>
    <row r="389" spans="1:13" x14ac:dyDescent="0.3">
      <c r="A389" s="1" t="s">
        <v>401</v>
      </c>
      <c r="B389" s="1" t="s">
        <v>13</v>
      </c>
      <c r="C389" s="1">
        <v>98</v>
      </c>
      <c r="D389" s="2">
        <v>43465</v>
      </c>
      <c r="E389" s="1">
        <f>YEAR(Tableau13[[#This Row],[Date de sous]])</f>
        <v>2018</v>
      </c>
      <c r="F389" s="2">
        <v>43275</v>
      </c>
      <c r="G389" s="2">
        <v>45100</v>
      </c>
      <c r="H389" s="2">
        <v>45040</v>
      </c>
      <c r="I389" s="1">
        <v>2023</v>
      </c>
      <c r="J389" s="2">
        <v>45040</v>
      </c>
      <c r="K389" s="1">
        <f>YEAR(Tableau13[[#This Row],[Date de déclaration]])</f>
        <v>2023</v>
      </c>
      <c r="L389" s="4">
        <v>35764.120000000003</v>
      </c>
      <c r="M389" s="15">
        <f>Tableau13[[#This Row],[Année de déclaration]]-Tableau13[[#This Row],[Année de sinistre]]</f>
        <v>0</v>
      </c>
    </row>
    <row r="390" spans="1:13" x14ac:dyDescent="0.3">
      <c r="A390" s="1" t="s">
        <v>402</v>
      </c>
      <c r="B390" s="1" t="s">
        <v>13</v>
      </c>
      <c r="C390" s="1">
        <v>45</v>
      </c>
      <c r="D390" s="2">
        <v>43731</v>
      </c>
      <c r="E390" s="1">
        <f>YEAR(Tableau13[[#This Row],[Date de sous]])</f>
        <v>2019</v>
      </c>
      <c r="F390" s="2">
        <v>43612</v>
      </c>
      <c r="G390" s="2">
        <v>46168</v>
      </c>
      <c r="H390" s="2">
        <v>45017</v>
      </c>
      <c r="I390" s="1">
        <v>2023</v>
      </c>
      <c r="J390" s="2">
        <v>45544</v>
      </c>
      <c r="K390" s="1">
        <f>YEAR(Tableau13[[#This Row],[Date de déclaration]])</f>
        <v>2024</v>
      </c>
      <c r="L390" s="3">
        <v>360250.39123630675</v>
      </c>
      <c r="M390" s="15">
        <f>Tableau13[[#This Row],[Année de déclaration]]-Tableau13[[#This Row],[Année de sinistre]]</f>
        <v>1</v>
      </c>
    </row>
    <row r="391" spans="1:13" x14ac:dyDescent="0.3">
      <c r="A391" s="1" t="s">
        <v>402</v>
      </c>
      <c r="B391" s="1" t="s">
        <v>13</v>
      </c>
      <c r="C391" s="1">
        <v>6</v>
      </c>
      <c r="D391" s="2">
        <v>43951</v>
      </c>
      <c r="E391" s="1">
        <f>YEAR(Tableau13[[#This Row],[Date de sous]])</f>
        <v>2020</v>
      </c>
      <c r="F391" s="2">
        <v>43941</v>
      </c>
      <c r="G391" s="2">
        <v>46862</v>
      </c>
      <c r="H391" s="2">
        <v>45017</v>
      </c>
      <c r="I391" s="1">
        <v>2023</v>
      </c>
      <c r="J391" s="2">
        <v>45544</v>
      </c>
      <c r="K391" s="1">
        <f>YEAR(Tableau13[[#This Row],[Date de déclaration]])</f>
        <v>2024</v>
      </c>
      <c r="L391" s="3">
        <v>378979.80143786379</v>
      </c>
      <c r="M391" s="15">
        <f>Tableau13[[#This Row],[Année de déclaration]]-Tableau13[[#This Row],[Année de sinistre]]</f>
        <v>1</v>
      </c>
    </row>
    <row r="392" spans="1:13" x14ac:dyDescent="0.3">
      <c r="A392" s="1" t="s">
        <v>403</v>
      </c>
      <c r="B392" s="1" t="s">
        <v>13</v>
      </c>
      <c r="C392" s="1">
        <v>122</v>
      </c>
      <c r="D392" s="2">
        <v>43465</v>
      </c>
      <c r="E392" s="1">
        <f>YEAR(Tableau13[[#This Row],[Date de sous]])</f>
        <v>2018</v>
      </c>
      <c r="F392" s="2">
        <v>43170</v>
      </c>
      <c r="G392" s="2">
        <v>45726</v>
      </c>
      <c r="H392" s="2">
        <v>45156</v>
      </c>
      <c r="I392" s="1">
        <v>2023</v>
      </c>
      <c r="J392" s="2">
        <v>45544</v>
      </c>
      <c r="K392" s="1">
        <f>YEAR(Tableau13[[#This Row],[Date de déclaration]])</f>
        <v>2024</v>
      </c>
      <c r="L392" s="3">
        <v>334507.0422535211</v>
      </c>
      <c r="M392" s="15">
        <f>Tableau13[[#This Row],[Année de déclaration]]-Tableau13[[#This Row],[Année de sinistre]]</f>
        <v>1</v>
      </c>
    </row>
    <row r="393" spans="1:13" x14ac:dyDescent="0.3">
      <c r="A393" s="1" t="s">
        <v>404</v>
      </c>
      <c r="B393" s="1" t="s">
        <v>13</v>
      </c>
      <c r="C393" s="1">
        <v>79</v>
      </c>
      <c r="D393" s="2">
        <v>44474</v>
      </c>
      <c r="E393" s="1">
        <f>YEAR(Tableau13[[#This Row],[Date de sous]])</f>
        <v>2021</v>
      </c>
      <c r="F393" s="2">
        <v>44484</v>
      </c>
      <c r="G393" s="2">
        <v>51422</v>
      </c>
      <c r="H393" s="2">
        <v>45248</v>
      </c>
      <c r="I393" s="1">
        <v>2023</v>
      </c>
      <c r="J393" s="2">
        <v>45544</v>
      </c>
      <c r="K393" s="1">
        <f>YEAR(Tableau13[[#This Row],[Date de déclaration]])</f>
        <v>2024</v>
      </c>
      <c r="L393" s="3">
        <v>9124556.8336033449</v>
      </c>
      <c r="M393" s="15">
        <f>Tableau13[[#This Row],[Année de déclaration]]-Tableau13[[#This Row],[Année de sinistre]]</f>
        <v>1</v>
      </c>
    </row>
    <row r="394" spans="1:13" x14ac:dyDescent="0.3">
      <c r="A394" s="1" t="s">
        <v>405</v>
      </c>
      <c r="B394" s="1" t="s">
        <v>16</v>
      </c>
      <c r="C394" s="1">
        <v>600010</v>
      </c>
      <c r="D394" s="2">
        <v>44613</v>
      </c>
      <c r="E394" s="1">
        <f>YEAR(Tableau13[[#This Row],[Date de sous]])</f>
        <v>2022</v>
      </c>
      <c r="F394" s="2">
        <v>44654</v>
      </c>
      <c r="G394" s="2">
        <v>45748</v>
      </c>
      <c r="H394" s="2">
        <v>44857</v>
      </c>
      <c r="I394" s="1">
        <v>2022</v>
      </c>
      <c r="J394" s="2">
        <v>44857</v>
      </c>
      <c r="K394" s="1">
        <f>YEAR(Tableau13[[#This Row],[Date de déclaration]])</f>
        <v>2022</v>
      </c>
      <c r="L394" s="4">
        <v>437797.97</v>
      </c>
      <c r="M394" s="15">
        <f>Tableau13[[#This Row],[Année de déclaration]]-Tableau13[[#This Row],[Année de sinistre]]</f>
        <v>0</v>
      </c>
    </row>
    <row r="395" spans="1:13" x14ac:dyDescent="0.3">
      <c r="A395" s="1" t="s">
        <v>406</v>
      </c>
      <c r="B395" s="1" t="s">
        <v>16</v>
      </c>
      <c r="C395" s="1">
        <v>600341</v>
      </c>
      <c r="D395" s="2">
        <v>45015</v>
      </c>
      <c r="E395" s="1">
        <f>YEAR(Tableau13[[#This Row],[Date de sous]])</f>
        <v>2023</v>
      </c>
      <c r="F395" s="2">
        <v>45017</v>
      </c>
      <c r="G395" s="2">
        <v>46842</v>
      </c>
      <c r="H395" s="2">
        <v>45398</v>
      </c>
      <c r="I395" s="1">
        <v>2024</v>
      </c>
      <c r="J395" s="2">
        <v>45398</v>
      </c>
      <c r="K395" s="1">
        <f>YEAR(Tableau13[[#This Row],[Date de déclaration]])</f>
        <v>2024</v>
      </c>
      <c r="L395" s="4">
        <v>666122.05000000005</v>
      </c>
      <c r="M395" s="15">
        <f>Tableau13[[#This Row],[Année de déclaration]]-Tableau13[[#This Row],[Année de sinistre]]</f>
        <v>0</v>
      </c>
    </row>
    <row r="396" spans="1:13" x14ac:dyDescent="0.3">
      <c r="A396" s="1" t="s">
        <v>407</v>
      </c>
      <c r="B396" s="1" t="s">
        <v>16</v>
      </c>
      <c r="C396" s="1">
        <v>600623</v>
      </c>
      <c r="D396" s="2">
        <v>45093</v>
      </c>
      <c r="E396" s="1">
        <f>YEAR(Tableau13[[#This Row],[Date de sous]])</f>
        <v>2023</v>
      </c>
      <c r="F396" s="2">
        <v>45097</v>
      </c>
      <c r="G396" s="2">
        <v>46922</v>
      </c>
      <c r="H396" s="2">
        <v>45470</v>
      </c>
      <c r="I396" s="1">
        <v>2024</v>
      </c>
      <c r="J396" s="2">
        <v>45544</v>
      </c>
      <c r="K396" s="1">
        <f>YEAR(Tableau13[[#This Row],[Date de déclaration]])</f>
        <v>2024</v>
      </c>
      <c r="L396" s="4">
        <v>716054.79452054796</v>
      </c>
      <c r="M396" s="15">
        <f>Tableau13[[#This Row],[Année de déclaration]]-Tableau13[[#This Row],[Année de sinistre]]</f>
        <v>0</v>
      </c>
    </row>
    <row r="397" spans="1:13" x14ac:dyDescent="0.3">
      <c r="A397" s="1" t="s">
        <v>408</v>
      </c>
      <c r="B397" s="1" t="s">
        <v>16</v>
      </c>
      <c r="C397" s="1">
        <v>601241</v>
      </c>
      <c r="D397" s="2">
        <v>45228</v>
      </c>
      <c r="E397" s="1">
        <f>YEAR(Tableau13[[#This Row],[Date de sous]])</f>
        <v>2023</v>
      </c>
      <c r="F397" s="2">
        <v>45236</v>
      </c>
      <c r="G397" s="2">
        <v>47060</v>
      </c>
      <c r="H397" s="2">
        <v>45390</v>
      </c>
      <c r="I397" s="1">
        <v>2024</v>
      </c>
      <c r="J397" s="2">
        <v>45544</v>
      </c>
      <c r="K397" s="1">
        <f>YEAR(Tableau13[[#This Row],[Date de déclaration]])</f>
        <v>2024</v>
      </c>
      <c r="L397" s="4">
        <v>520358.81578947371</v>
      </c>
      <c r="M397" s="15">
        <f>Tableau13[[#This Row],[Année de déclaration]]-Tableau13[[#This Row],[Année de sinistre]]</f>
        <v>0</v>
      </c>
    </row>
    <row r="398" spans="1:13" x14ac:dyDescent="0.3">
      <c r="A398" s="1" t="s">
        <v>409</v>
      </c>
      <c r="B398" s="1" t="s">
        <v>16</v>
      </c>
      <c r="C398" s="1">
        <v>600584</v>
      </c>
      <c r="D398" s="2">
        <v>45085</v>
      </c>
      <c r="E398" s="1">
        <f>YEAR(Tableau13[[#This Row],[Date de sous]])</f>
        <v>2023</v>
      </c>
      <c r="F398" s="2">
        <v>45090</v>
      </c>
      <c r="G398" s="2">
        <v>46914</v>
      </c>
      <c r="H398" s="2">
        <v>45496</v>
      </c>
      <c r="I398" s="1">
        <v>2024</v>
      </c>
      <c r="J398" s="2">
        <v>45546</v>
      </c>
      <c r="K398" s="1">
        <f>YEAR(Tableau13[[#This Row],[Date de déclaration]])</f>
        <v>2024</v>
      </c>
      <c r="L398" s="4">
        <v>481995.6140350877</v>
      </c>
      <c r="M398" s="15">
        <f>Tableau13[[#This Row],[Année de déclaration]]-Tableau13[[#This Row],[Année de sinistre]]</f>
        <v>0</v>
      </c>
    </row>
    <row r="399" spans="1:13" x14ac:dyDescent="0.3">
      <c r="A399" s="1" t="s">
        <v>410</v>
      </c>
      <c r="B399" s="1" t="s">
        <v>338</v>
      </c>
      <c r="C399" s="1">
        <v>4836</v>
      </c>
      <c r="D399" s="2">
        <v>44671</v>
      </c>
      <c r="E399" s="1">
        <f>YEAR(Tableau13[[#This Row],[Date de sous]])</f>
        <v>2022</v>
      </c>
      <c r="F399" s="2">
        <v>44671</v>
      </c>
      <c r="G399" s="2">
        <v>46496</v>
      </c>
      <c r="H399" s="2">
        <v>45167</v>
      </c>
      <c r="I399" s="1">
        <v>2023</v>
      </c>
      <c r="J399" s="2">
        <v>45564</v>
      </c>
      <c r="K399" s="1">
        <f>YEAR(Tableau13[[#This Row],[Date de déclaration]])</f>
        <v>2024</v>
      </c>
      <c r="L399" s="4">
        <v>316878.55</v>
      </c>
      <c r="M399" s="15">
        <f>Tableau13[[#This Row],[Année de déclaration]]-Tableau13[[#This Row],[Année de sinistre]]</f>
        <v>1</v>
      </c>
    </row>
    <row r="400" spans="1:13" x14ac:dyDescent="0.3">
      <c r="A400" s="1" t="s">
        <v>411</v>
      </c>
      <c r="B400" s="1" t="s">
        <v>338</v>
      </c>
      <c r="C400" s="1">
        <v>9341</v>
      </c>
      <c r="D400" s="2">
        <v>45153</v>
      </c>
      <c r="E400" s="1">
        <f>YEAR(Tableau13[[#This Row],[Date de sous]])</f>
        <v>2023</v>
      </c>
      <c r="F400" s="2">
        <v>45153</v>
      </c>
      <c r="G400" s="2">
        <v>46979</v>
      </c>
      <c r="H400" s="2">
        <v>45587</v>
      </c>
      <c r="I400" s="1">
        <v>2024</v>
      </c>
      <c r="J400" s="2">
        <v>45600</v>
      </c>
      <c r="K400" s="1">
        <f>YEAR(Tableau13[[#This Row],[Date de déclaration]])</f>
        <v>2024</v>
      </c>
      <c r="L400" s="9">
        <v>343044.90690032858</v>
      </c>
      <c r="M400" s="15">
        <f>Tableau13[[#This Row],[Année de déclaration]]-Tableau13[[#This Row],[Année de sinistre]]</f>
        <v>0</v>
      </c>
    </row>
    <row r="401" spans="1:13" x14ac:dyDescent="0.3">
      <c r="A401" s="1" t="s">
        <v>412</v>
      </c>
      <c r="B401" s="1" t="s">
        <v>338</v>
      </c>
      <c r="C401" s="1">
        <v>6008</v>
      </c>
      <c r="D401" s="2">
        <v>44770</v>
      </c>
      <c r="E401" s="1">
        <f>YEAR(Tableau13[[#This Row],[Date de sous]])</f>
        <v>2022</v>
      </c>
      <c r="F401" s="2">
        <v>44770</v>
      </c>
      <c r="G401" s="2">
        <v>46595</v>
      </c>
      <c r="H401" s="2">
        <v>45559</v>
      </c>
      <c r="I401" s="1">
        <v>2024</v>
      </c>
      <c r="J401" s="2">
        <v>45602</v>
      </c>
      <c r="K401" s="1">
        <f>YEAR(Tableau13[[#This Row],[Date de déclaration]])</f>
        <v>2024</v>
      </c>
      <c r="L401" s="10">
        <v>220006.66301369865</v>
      </c>
      <c r="M401" s="15">
        <f>Tableau13[[#This Row],[Année de déclaration]]-Tableau13[[#This Row],[Année de sinistre]]</f>
        <v>0</v>
      </c>
    </row>
    <row r="402" spans="1:13" x14ac:dyDescent="0.3">
      <c r="A402" s="1" t="s">
        <v>413</v>
      </c>
      <c r="B402" s="1" t="s">
        <v>338</v>
      </c>
      <c r="C402" s="1">
        <v>1037</v>
      </c>
      <c r="D402" s="2">
        <v>44355</v>
      </c>
      <c r="E402" s="1">
        <f>YEAR(Tableau13[[#This Row],[Date de sous]])</f>
        <v>2021</v>
      </c>
      <c r="F402" s="2">
        <v>44355</v>
      </c>
      <c r="G402" s="2">
        <v>46180</v>
      </c>
      <c r="H402" s="2">
        <v>45448</v>
      </c>
      <c r="I402" s="1">
        <v>2024</v>
      </c>
      <c r="J402" s="2">
        <v>45606</v>
      </c>
      <c r="K402" s="1">
        <f>YEAR(Tableau13[[#This Row],[Date de déclaration]])</f>
        <v>2024</v>
      </c>
      <c r="L402" s="10">
        <v>138769.15068493152</v>
      </c>
      <c r="M402" s="15">
        <f>Tableau13[[#This Row],[Année de déclaration]]-Tableau13[[#This Row],[Année de sinistre]]</f>
        <v>0</v>
      </c>
    </row>
    <row r="403" spans="1:13" x14ac:dyDescent="0.3">
      <c r="A403" s="1" t="s">
        <v>414</v>
      </c>
      <c r="B403" s="1" t="s">
        <v>338</v>
      </c>
      <c r="C403" s="1">
        <v>3971</v>
      </c>
      <c r="D403" s="2">
        <v>44613</v>
      </c>
      <c r="E403" s="1">
        <f>YEAR(Tableau13[[#This Row],[Date de sous]])</f>
        <v>2022</v>
      </c>
      <c r="F403" s="2">
        <v>44613</v>
      </c>
      <c r="G403" s="2">
        <v>46438</v>
      </c>
      <c r="H403" s="2">
        <v>45095</v>
      </c>
      <c r="I403" s="1">
        <v>2023</v>
      </c>
      <c r="J403" s="2">
        <v>45610</v>
      </c>
      <c r="K403" s="1">
        <f>YEAR(Tableau13[[#This Row],[Date de déclaration]])</f>
        <v>2024</v>
      </c>
      <c r="L403" s="10">
        <v>493900.20821917814</v>
      </c>
      <c r="M403" s="15">
        <f>Tableau13[[#This Row],[Année de déclaration]]-Tableau13[[#This Row],[Année de sinistre]]</f>
        <v>1</v>
      </c>
    </row>
    <row r="404" spans="1:13" x14ac:dyDescent="0.3">
      <c r="A404" s="1" t="s">
        <v>415</v>
      </c>
      <c r="B404" s="1" t="s">
        <v>338</v>
      </c>
      <c r="C404" s="1">
        <v>2238</v>
      </c>
      <c r="D404" s="2">
        <v>44451</v>
      </c>
      <c r="E404" s="1">
        <f>YEAR(Tableau13[[#This Row],[Date de sous]])</f>
        <v>2021</v>
      </c>
      <c r="F404" s="2">
        <v>44451</v>
      </c>
      <c r="G404" s="2">
        <v>46276</v>
      </c>
      <c r="H404" s="2">
        <v>45327</v>
      </c>
      <c r="I404" s="1">
        <v>2024</v>
      </c>
      <c r="J404" s="2">
        <v>45615</v>
      </c>
      <c r="K404" s="1">
        <f>YEAR(Tableau13[[#This Row],[Date de déclaration]])</f>
        <v>2024</v>
      </c>
      <c r="L404" s="9">
        <v>338000</v>
      </c>
      <c r="M404" s="15">
        <f>Tableau13[[#This Row],[Année de déclaration]]-Tableau13[[#This Row],[Année de sinistre]]</f>
        <v>0</v>
      </c>
    </row>
    <row r="405" spans="1:13" x14ac:dyDescent="0.3">
      <c r="A405" s="1" t="s">
        <v>416</v>
      </c>
      <c r="B405" s="1" t="s">
        <v>338</v>
      </c>
      <c r="C405" s="1">
        <v>3756</v>
      </c>
      <c r="D405" s="2">
        <v>44586</v>
      </c>
      <c r="E405" s="1">
        <f>YEAR(Tableau13[[#This Row],[Date de sous]])</f>
        <v>2022</v>
      </c>
      <c r="F405" s="2">
        <v>44586</v>
      </c>
      <c r="G405" s="2">
        <v>45681</v>
      </c>
      <c r="H405" s="2">
        <v>45472</v>
      </c>
      <c r="I405" s="1">
        <v>2024</v>
      </c>
      <c r="J405" s="2">
        <v>45617</v>
      </c>
      <c r="K405" s="1">
        <f>YEAR(Tableau13[[#This Row],[Date de déclaration]])</f>
        <v>2024</v>
      </c>
      <c r="L405" s="10">
        <v>47637.683022831035</v>
      </c>
      <c r="M405" s="15">
        <f>Tableau13[[#This Row],[Année de déclaration]]-Tableau13[[#This Row],[Année de sinistre]]</f>
        <v>0</v>
      </c>
    </row>
    <row r="406" spans="1:13" x14ac:dyDescent="0.3">
      <c r="A406" s="1" t="s">
        <v>417</v>
      </c>
      <c r="B406" s="1" t="s">
        <v>338</v>
      </c>
      <c r="C406" s="1">
        <v>5730</v>
      </c>
      <c r="D406" s="2">
        <v>44742</v>
      </c>
      <c r="E406" s="1">
        <f>YEAR(Tableau13[[#This Row],[Date de sous]])</f>
        <v>2022</v>
      </c>
      <c r="F406" s="2">
        <v>44742</v>
      </c>
      <c r="G406" s="2">
        <v>46567</v>
      </c>
      <c r="H406" s="2">
        <v>45585</v>
      </c>
      <c r="I406" s="1">
        <v>2024</v>
      </c>
      <c r="J406" s="2">
        <v>45623</v>
      </c>
      <c r="K406" s="1">
        <f>YEAR(Tableau13[[#This Row],[Date de déclaration]])</f>
        <v>2024</v>
      </c>
      <c r="L406" s="10">
        <v>404099.72602739721</v>
      </c>
      <c r="M406" s="15">
        <f>Tableau13[[#This Row],[Année de déclaration]]-Tableau13[[#This Row],[Année de sinistre]]</f>
        <v>0</v>
      </c>
    </row>
    <row r="407" spans="1:13" x14ac:dyDescent="0.3">
      <c r="A407" s="1" t="s">
        <v>418</v>
      </c>
      <c r="B407" s="1" t="s">
        <v>338</v>
      </c>
      <c r="C407" s="1">
        <v>3258</v>
      </c>
      <c r="D407" s="2">
        <v>44537</v>
      </c>
      <c r="E407" s="1">
        <f>YEAR(Tableau13[[#This Row],[Date de sous]])</f>
        <v>2021</v>
      </c>
      <c r="F407" s="2">
        <v>44537</v>
      </c>
      <c r="G407" s="2">
        <v>46362</v>
      </c>
      <c r="H407" s="2">
        <v>45633</v>
      </c>
      <c r="I407" s="1">
        <v>2024</v>
      </c>
      <c r="J407" s="2">
        <v>45636</v>
      </c>
      <c r="K407" s="1">
        <f>YEAR(Tableau13[[#This Row],[Date de déclaration]])</f>
        <v>2024</v>
      </c>
      <c r="L407" s="10">
        <v>311685.64767123281</v>
      </c>
      <c r="M407" s="15">
        <f>Tableau13[[#This Row],[Année de déclaration]]-Tableau13[[#This Row],[Année de sinistre]]</f>
        <v>0</v>
      </c>
    </row>
    <row r="408" spans="1:13" x14ac:dyDescent="0.3">
      <c r="A408" s="1" t="s">
        <v>419</v>
      </c>
      <c r="B408" s="1" t="s">
        <v>338</v>
      </c>
      <c r="C408" s="1">
        <v>1262</v>
      </c>
      <c r="D408" s="2">
        <v>44371</v>
      </c>
      <c r="E408" s="1">
        <f>YEAR(Tableau13[[#This Row],[Date de sous]])</f>
        <v>2021</v>
      </c>
      <c r="F408" s="2">
        <v>45467</v>
      </c>
      <c r="G408" s="2">
        <v>46196</v>
      </c>
      <c r="H408" s="2">
        <v>45631</v>
      </c>
      <c r="I408" s="1">
        <v>2024</v>
      </c>
      <c r="J408" s="2">
        <v>45642</v>
      </c>
      <c r="K408" s="1">
        <f>YEAR(Tableau13[[#This Row],[Date de déclaration]])</f>
        <v>2024</v>
      </c>
      <c r="L408" s="10">
        <v>275119.34842249658</v>
      </c>
      <c r="M408" s="15">
        <f>Tableau13[[#This Row],[Année de déclaration]]-Tableau13[[#This Row],[Année de sinistre]]</f>
        <v>0</v>
      </c>
    </row>
    <row r="409" spans="1:13" x14ac:dyDescent="0.3">
      <c r="A409" s="1" t="s">
        <v>420</v>
      </c>
      <c r="B409" s="1" t="s">
        <v>338</v>
      </c>
      <c r="C409" s="1">
        <v>10520</v>
      </c>
      <c r="D409" s="2">
        <v>45256</v>
      </c>
      <c r="E409" s="1">
        <f>YEAR(Tableau13[[#This Row],[Date de sous]])</f>
        <v>2023</v>
      </c>
      <c r="F409" s="2">
        <v>45256</v>
      </c>
      <c r="G409" s="2">
        <v>47082</v>
      </c>
      <c r="H409" s="2">
        <v>45515</v>
      </c>
      <c r="I409" s="1">
        <v>2024</v>
      </c>
      <c r="J409" s="2">
        <v>45650</v>
      </c>
      <c r="K409" s="1">
        <f>YEAR(Tableau13[[#This Row],[Date de déclaration]])</f>
        <v>2024</v>
      </c>
      <c r="L409" s="10">
        <v>602556.98247535597</v>
      </c>
      <c r="M409" s="15">
        <f>Tableau13[[#This Row],[Année de déclaration]]-Tableau13[[#This Row],[Année de sinistre]]</f>
        <v>0</v>
      </c>
    </row>
    <row r="410" spans="1:13" x14ac:dyDescent="0.3">
      <c r="A410" s="1" t="s">
        <v>421</v>
      </c>
      <c r="B410" s="1" t="s">
        <v>16</v>
      </c>
      <c r="C410" s="1">
        <v>26797</v>
      </c>
      <c r="D410" s="2">
        <v>45096</v>
      </c>
      <c r="E410" s="1">
        <f>YEAR(Tableau13[[#This Row],[Date de sous]])</f>
        <v>2023</v>
      </c>
      <c r="F410" s="2">
        <v>45096</v>
      </c>
      <c r="G410" s="2">
        <v>45826</v>
      </c>
      <c r="H410" s="2">
        <v>45267</v>
      </c>
      <c r="I410" s="1">
        <v>2023</v>
      </c>
      <c r="J410" s="2">
        <v>45592</v>
      </c>
      <c r="K410" s="1">
        <f>YEAR(Tableau13[[#This Row],[Date de déclaration]])</f>
        <v>2024</v>
      </c>
      <c r="L410" s="9">
        <v>350009.80958904111</v>
      </c>
      <c r="M410" s="15">
        <f>Tableau13[[#This Row],[Année de déclaration]]-Tableau13[[#This Row],[Année de sinistre]]</f>
        <v>1</v>
      </c>
    </row>
    <row r="411" spans="1:13" x14ac:dyDescent="0.3">
      <c r="A411" s="1" t="s">
        <v>422</v>
      </c>
      <c r="B411" s="1" t="s">
        <v>13</v>
      </c>
      <c r="C411" s="1">
        <v>9374</v>
      </c>
      <c r="D411" s="2">
        <v>44049</v>
      </c>
      <c r="E411" s="1">
        <f>YEAR(Tableau13[[#This Row],[Date de sous]])</f>
        <v>2020</v>
      </c>
      <c r="F411" s="2">
        <v>44074</v>
      </c>
      <c r="G411" s="2">
        <v>58682</v>
      </c>
      <c r="H411" s="2">
        <v>45533</v>
      </c>
      <c r="I411" s="1">
        <v>2024</v>
      </c>
      <c r="J411" s="2">
        <v>45593</v>
      </c>
      <c r="K411" s="1">
        <f>YEAR(Tableau13[[#This Row],[Date de déclaration]])</f>
        <v>2024</v>
      </c>
      <c r="L411" s="10">
        <v>1236713.4608461116</v>
      </c>
      <c r="M411" s="15">
        <f>Tableau13[[#This Row],[Année de déclaration]]-Tableau13[[#This Row],[Année de sinistre]]</f>
        <v>0</v>
      </c>
    </row>
    <row r="412" spans="1:13" x14ac:dyDescent="0.3">
      <c r="A412" s="1" t="s">
        <v>423</v>
      </c>
      <c r="B412" s="1" t="s">
        <v>13</v>
      </c>
      <c r="C412" s="1">
        <v>26386</v>
      </c>
      <c r="D412" s="2">
        <v>45124</v>
      </c>
      <c r="E412" s="1">
        <f>YEAR(Tableau13[[#This Row],[Date de sous]])</f>
        <v>2023</v>
      </c>
      <c r="F412" s="2">
        <v>45124</v>
      </c>
      <c r="G412" s="2">
        <v>59733</v>
      </c>
      <c r="H412" s="2">
        <v>45588</v>
      </c>
      <c r="I412" s="1">
        <v>2024</v>
      </c>
      <c r="J412" s="2">
        <v>45596</v>
      </c>
      <c r="K412" s="1">
        <f>YEAR(Tableau13[[#This Row],[Date de déclaration]])</f>
        <v>2024</v>
      </c>
      <c r="L412" s="9">
        <v>6777671.2985146148</v>
      </c>
      <c r="M412" s="15">
        <f>Tableau13[[#This Row],[Année de déclaration]]-Tableau13[[#This Row],[Année de sinistre]]</f>
        <v>0</v>
      </c>
    </row>
    <row r="413" spans="1:13" x14ac:dyDescent="0.3">
      <c r="A413" s="1" t="s">
        <v>424</v>
      </c>
      <c r="B413" s="1" t="s">
        <v>13</v>
      </c>
      <c r="C413" s="1">
        <v>28600</v>
      </c>
      <c r="D413" s="2">
        <v>45230</v>
      </c>
      <c r="E413" s="1">
        <f>YEAR(Tableau13[[#This Row],[Date de sous]])</f>
        <v>2023</v>
      </c>
      <c r="F413" s="2">
        <v>45230</v>
      </c>
      <c r="G413" s="2">
        <v>48882</v>
      </c>
      <c r="H413" s="2">
        <v>45596</v>
      </c>
      <c r="I413" s="1">
        <v>2024</v>
      </c>
      <c r="J413" s="2">
        <v>45596</v>
      </c>
      <c r="K413" s="1">
        <f>YEAR(Tableau13[[#This Row],[Date de déclaration]])</f>
        <v>2024</v>
      </c>
      <c r="L413" s="10">
        <v>2316052.0167141296</v>
      </c>
      <c r="M413" s="15">
        <f>Tableau13[[#This Row],[Année de déclaration]]-Tableau13[[#This Row],[Année de sinistre]]</f>
        <v>0</v>
      </c>
    </row>
    <row r="414" spans="1:13" x14ac:dyDescent="0.3">
      <c r="A414" s="1" t="s">
        <v>425</v>
      </c>
      <c r="B414" s="1" t="s">
        <v>13</v>
      </c>
      <c r="C414" s="1">
        <v>15988</v>
      </c>
      <c r="D414" s="2">
        <v>44536</v>
      </c>
      <c r="E414" s="1">
        <f>YEAR(Tableau13[[#This Row],[Date de sous]])</f>
        <v>2021</v>
      </c>
      <c r="F414" s="2">
        <v>44536</v>
      </c>
      <c r="G414" s="2">
        <v>50014</v>
      </c>
      <c r="H414" s="2">
        <v>45534</v>
      </c>
      <c r="I414" s="1">
        <v>2024</v>
      </c>
      <c r="J414" s="2">
        <v>45603</v>
      </c>
      <c r="K414" s="1">
        <f>YEAR(Tableau13[[#This Row],[Date de déclaration]])</f>
        <v>2024</v>
      </c>
      <c r="L414" s="10">
        <v>75703458.722161368</v>
      </c>
      <c r="M414" s="15">
        <f>Tableau13[[#This Row],[Année de déclaration]]-Tableau13[[#This Row],[Année de sinistre]]</f>
        <v>0</v>
      </c>
    </row>
    <row r="415" spans="1:13" x14ac:dyDescent="0.3">
      <c r="A415" s="1" t="s">
        <v>426</v>
      </c>
      <c r="B415" s="1" t="s">
        <v>13</v>
      </c>
      <c r="C415" s="1">
        <v>18512</v>
      </c>
      <c r="D415" s="2">
        <v>44700</v>
      </c>
      <c r="E415" s="1">
        <f>YEAR(Tableau13[[#This Row],[Date de sous]])</f>
        <v>2022</v>
      </c>
      <c r="F415" s="2">
        <v>44700</v>
      </c>
      <c r="G415" s="2">
        <v>50543</v>
      </c>
      <c r="H415" s="2">
        <v>45599</v>
      </c>
      <c r="I415" s="1">
        <v>2024</v>
      </c>
      <c r="J415" s="2">
        <v>45607</v>
      </c>
      <c r="K415" s="1">
        <f>YEAR(Tableau13[[#This Row],[Date de déclaration]])</f>
        <v>2024</v>
      </c>
      <c r="L415" s="10">
        <v>5330686.2912887214</v>
      </c>
      <c r="M415" s="15">
        <f>Tableau13[[#This Row],[Année de déclaration]]-Tableau13[[#This Row],[Année de sinistre]]</f>
        <v>0</v>
      </c>
    </row>
    <row r="416" spans="1:13" x14ac:dyDescent="0.3">
      <c r="A416" s="1" t="s">
        <v>427</v>
      </c>
      <c r="B416" s="1" t="s">
        <v>13</v>
      </c>
      <c r="C416" s="1">
        <v>5077</v>
      </c>
      <c r="D416" s="2">
        <v>43552</v>
      </c>
      <c r="E416" s="1">
        <f>YEAR(Tableau13[[#This Row],[Date de sous]])</f>
        <v>2019</v>
      </c>
      <c r="F416" s="2">
        <v>43553</v>
      </c>
      <c r="G416" s="2">
        <v>53042</v>
      </c>
      <c r="H416" s="2">
        <v>45586</v>
      </c>
      <c r="I416" s="1">
        <v>2024</v>
      </c>
      <c r="J416" s="2">
        <v>45613</v>
      </c>
      <c r="K416" s="1">
        <f>YEAR(Tableau13[[#This Row],[Date de déclaration]])</f>
        <v>2024</v>
      </c>
      <c r="L416" s="10">
        <v>1284437.254623248</v>
      </c>
      <c r="M416" s="15">
        <f>Tableau13[[#This Row],[Année de déclaration]]-Tableau13[[#This Row],[Année de sinistre]]</f>
        <v>0</v>
      </c>
    </row>
    <row r="417" spans="1:13" x14ac:dyDescent="0.3">
      <c r="A417" s="1" t="s">
        <v>428</v>
      </c>
      <c r="B417" s="1" t="s">
        <v>13</v>
      </c>
      <c r="C417" s="1">
        <v>1155</v>
      </c>
      <c r="D417" s="2">
        <v>43059</v>
      </c>
      <c r="E417" s="1">
        <f>YEAR(Tableau13[[#This Row],[Date de sous]])</f>
        <v>2017</v>
      </c>
      <c r="F417" s="2">
        <v>42954</v>
      </c>
      <c r="G417" s="2">
        <v>47701</v>
      </c>
      <c r="H417" s="2">
        <v>45544</v>
      </c>
      <c r="I417" s="1">
        <v>2024</v>
      </c>
      <c r="J417" s="2">
        <v>45617</v>
      </c>
      <c r="K417" s="1">
        <f>YEAR(Tableau13[[#This Row],[Date de déclaration]])</f>
        <v>2024</v>
      </c>
      <c r="L417" s="10">
        <v>451713.74175268598</v>
      </c>
      <c r="M417" s="15">
        <f>Tableau13[[#This Row],[Année de déclaration]]-Tableau13[[#This Row],[Année de sinistre]]</f>
        <v>0</v>
      </c>
    </row>
    <row r="418" spans="1:13" x14ac:dyDescent="0.3">
      <c r="A418" s="1" t="s">
        <v>429</v>
      </c>
      <c r="B418" s="1" t="s">
        <v>13</v>
      </c>
      <c r="C418" s="1">
        <v>4002</v>
      </c>
      <c r="D418" s="2">
        <v>43453</v>
      </c>
      <c r="E418" s="1">
        <f>YEAR(Tableau13[[#This Row],[Date de sous]])</f>
        <v>2018</v>
      </c>
      <c r="F418" s="2">
        <v>43424</v>
      </c>
      <c r="G418" s="2">
        <v>57303</v>
      </c>
      <c r="H418" s="2">
        <v>45546</v>
      </c>
      <c r="I418" s="1">
        <v>2024</v>
      </c>
      <c r="J418" s="2">
        <v>45627</v>
      </c>
      <c r="K418" s="1">
        <f>YEAR(Tableau13[[#This Row],[Date de déclaration]])</f>
        <v>2024</v>
      </c>
      <c r="L418" s="9">
        <v>866067.86316521361</v>
      </c>
      <c r="M418" s="15">
        <f>Tableau13[[#This Row],[Année de déclaration]]-Tableau13[[#This Row],[Année de sinistre]]</f>
        <v>0</v>
      </c>
    </row>
    <row r="419" spans="1:13" x14ac:dyDescent="0.3">
      <c r="A419" s="1" t="s">
        <v>430</v>
      </c>
      <c r="B419" s="1" t="s">
        <v>16</v>
      </c>
      <c r="C419" s="1">
        <v>23810</v>
      </c>
      <c r="D419" s="2">
        <v>45015</v>
      </c>
      <c r="E419" s="1">
        <f>YEAR(Tableau13[[#This Row],[Date de sous]])</f>
        <v>2023</v>
      </c>
      <c r="F419" s="2">
        <v>45015</v>
      </c>
      <c r="G419" s="2">
        <v>46110</v>
      </c>
      <c r="H419" s="2">
        <v>45624</v>
      </c>
      <c r="I419" s="1">
        <v>2024</v>
      </c>
      <c r="J419" s="2">
        <v>45630</v>
      </c>
      <c r="K419" s="1">
        <f>YEAR(Tableau13[[#This Row],[Date de déclaration]])</f>
        <v>2024</v>
      </c>
      <c r="L419" s="9">
        <v>115397.26027397258</v>
      </c>
      <c r="M419" s="15">
        <f>Tableau13[[#This Row],[Année de déclaration]]-Tableau13[[#This Row],[Année de sinistre]]</f>
        <v>0</v>
      </c>
    </row>
    <row r="420" spans="1:13" x14ac:dyDescent="0.3">
      <c r="A420" s="1" t="s">
        <v>431</v>
      </c>
      <c r="B420" s="1" t="s">
        <v>16</v>
      </c>
      <c r="C420" s="1">
        <v>24996</v>
      </c>
      <c r="D420" s="2">
        <v>45050</v>
      </c>
      <c r="E420" s="1">
        <f>YEAR(Tableau13[[#This Row],[Date de sous]])</f>
        <v>2023</v>
      </c>
      <c r="F420" s="2">
        <v>45112</v>
      </c>
      <c r="G420" s="2">
        <v>46207</v>
      </c>
      <c r="H420" s="2">
        <v>45620</v>
      </c>
      <c r="I420" s="1">
        <v>2024</v>
      </c>
      <c r="J420" s="2">
        <v>45631</v>
      </c>
      <c r="K420" s="1">
        <f>YEAR(Tableau13[[#This Row],[Date de déclaration]])</f>
        <v>2024</v>
      </c>
      <c r="L420" s="9">
        <v>310922.37442922371</v>
      </c>
      <c r="M420" s="15">
        <f>Tableau13[[#This Row],[Année de déclaration]]-Tableau13[[#This Row],[Année de sinistre]]</f>
        <v>0</v>
      </c>
    </row>
    <row r="421" spans="1:13" x14ac:dyDescent="0.3">
      <c r="A421" s="1" t="s">
        <v>432</v>
      </c>
      <c r="B421" s="1" t="s">
        <v>16</v>
      </c>
      <c r="C421" s="1">
        <v>16458</v>
      </c>
      <c r="D421" s="2">
        <v>44676</v>
      </c>
      <c r="E421" s="1">
        <f>YEAR(Tableau13[[#This Row],[Date de sous]])</f>
        <v>2022</v>
      </c>
      <c r="F421" s="2">
        <v>44676</v>
      </c>
      <c r="G421" s="2">
        <v>45771</v>
      </c>
      <c r="H421" s="2">
        <v>45571</v>
      </c>
      <c r="I421" s="1">
        <v>2024</v>
      </c>
      <c r="J421" s="2">
        <v>45631</v>
      </c>
      <c r="K421" s="1">
        <f>YEAR(Tableau13[[#This Row],[Date de déclaration]])</f>
        <v>2024</v>
      </c>
      <c r="L421" s="9">
        <v>42374.429223744293</v>
      </c>
      <c r="M421" s="15">
        <f>Tableau13[[#This Row],[Année de déclaration]]-Tableau13[[#This Row],[Année de sinistre]]</f>
        <v>0</v>
      </c>
    </row>
    <row r="422" spans="1:13" x14ac:dyDescent="0.3">
      <c r="A422" s="1" t="s">
        <v>433</v>
      </c>
      <c r="B422" s="1" t="s">
        <v>16</v>
      </c>
      <c r="C422" s="1">
        <v>17332</v>
      </c>
      <c r="D422" s="2">
        <v>44734</v>
      </c>
      <c r="E422" s="1">
        <f>YEAR(Tableau13[[#This Row],[Date de sous]])</f>
        <v>2022</v>
      </c>
      <c r="F422" s="2">
        <v>44734</v>
      </c>
      <c r="G422" s="2">
        <v>45829</v>
      </c>
      <c r="H422" s="2">
        <v>45501</v>
      </c>
      <c r="I422" s="1">
        <v>2024</v>
      </c>
      <c r="J422" s="2">
        <v>45634</v>
      </c>
      <c r="K422" s="1">
        <f>YEAR(Tableau13[[#This Row],[Date de déclaration]])</f>
        <v>2024</v>
      </c>
      <c r="L422" s="10">
        <v>76084.018264840197</v>
      </c>
      <c r="M422" s="15">
        <f>Tableau13[[#This Row],[Année de déclaration]]-Tableau13[[#This Row],[Année de sinistre]]</f>
        <v>0</v>
      </c>
    </row>
    <row r="423" spans="1:13" x14ac:dyDescent="0.3">
      <c r="A423" s="1" t="s">
        <v>434</v>
      </c>
      <c r="B423" s="1" t="s">
        <v>13</v>
      </c>
      <c r="C423" s="1">
        <v>22274</v>
      </c>
      <c r="D423" s="2">
        <v>44914</v>
      </c>
      <c r="E423" s="1">
        <f>YEAR(Tableau13[[#This Row],[Date de sous]])</f>
        <v>2022</v>
      </c>
      <c r="F423" s="2">
        <v>44914</v>
      </c>
      <c r="G423" s="2">
        <v>54775</v>
      </c>
      <c r="H423" s="2">
        <v>45622</v>
      </c>
      <c r="I423" s="1">
        <v>2024</v>
      </c>
      <c r="J423" s="2">
        <v>45637</v>
      </c>
      <c r="K423" s="1">
        <f>YEAR(Tableau13[[#This Row],[Date de déclaration]])</f>
        <v>2024</v>
      </c>
      <c r="L423" s="10">
        <v>10024581.68542744</v>
      </c>
      <c r="M423" s="15">
        <f>Tableau13[[#This Row],[Année de déclaration]]-Tableau13[[#This Row],[Année de sinistre]]</f>
        <v>0</v>
      </c>
    </row>
    <row r="424" spans="1:13" x14ac:dyDescent="0.3">
      <c r="A424" s="1" t="s">
        <v>435</v>
      </c>
      <c r="B424" s="1" t="s">
        <v>16</v>
      </c>
      <c r="C424" s="1">
        <v>29337</v>
      </c>
      <c r="D424" s="2">
        <v>45183</v>
      </c>
      <c r="E424" s="1">
        <f>YEAR(Tableau13[[#This Row],[Date de sous]])</f>
        <v>2023</v>
      </c>
      <c r="F424" s="2">
        <v>45199</v>
      </c>
      <c r="G424" s="2">
        <v>46294</v>
      </c>
      <c r="H424" s="2">
        <v>45609</v>
      </c>
      <c r="I424" s="1">
        <v>2024</v>
      </c>
      <c r="J424" s="2">
        <v>45641</v>
      </c>
      <c r="K424" s="1">
        <f>YEAR(Tableau13[[#This Row],[Date de déclaration]])</f>
        <v>2024</v>
      </c>
      <c r="L424" s="9">
        <v>185076.99086757991</v>
      </c>
      <c r="M424" s="15">
        <f>Tableau13[[#This Row],[Année de déclaration]]-Tableau13[[#This Row],[Année de sinistre]]</f>
        <v>0</v>
      </c>
    </row>
    <row r="425" spans="1:13" x14ac:dyDescent="0.3">
      <c r="A425" s="1" t="s">
        <v>436</v>
      </c>
      <c r="B425" s="1" t="s">
        <v>13</v>
      </c>
      <c r="C425" s="1">
        <v>14223</v>
      </c>
      <c r="D425" s="2">
        <v>44404</v>
      </c>
      <c r="E425" s="1">
        <f>YEAR(Tableau13[[#This Row],[Date de sous]])</f>
        <v>2021</v>
      </c>
      <c r="F425" s="2">
        <v>44379</v>
      </c>
      <c r="G425" s="2">
        <v>55360</v>
      </c>
      <c r="H425" s="2">
        <v>45457</v>
      </c>
      <c r="I425" s="1">
        <v>2024</v>
      </c>
      <c r="J425" s="2">
        <v>45642</v>
      </c>
      <c r="K425" s="1">
        <f>YEAR(Tableau13[[#This Row],[Date de déclaration]])</f>
        <v>2024</v>
      </c>
      <c r="L425" s="10">
        <v>3361803.5241817688</v>
      </c>
      <c r="M425" s="15">
        <f>Tableau13[[#This Row],[Année de déclaration]]-Tableau13[[#This Row],[Année de sinistre]]</f>
        <v>0</v>
      </c>
    </row>
    <row r="426" spans="1:13" x14ac:dyDescent="0.3">
      <c r="A426" s="1" t="s">
        <v>437</v>
      </c>
      <c r="B426" s="1" t="s">
        <v>13</v>
      </c>
      <c r="C426" s="1">
        <v>17132</v>
      </c>
      <c r="D426" s="2">
        <v>44609</v>
      </c>
      <c r="E426" s="1">
        <f>YEAR(Tableau13[[#This Row],[Date de sous]])</f>
        <v>2022</v>
      </c>
      <c r="F426" s="2">
        <v>44612</v>
      </c>
      <c r="G426" s="2">
        <v>51916</v>
      </c>
      <c r="H426" s="2">
        <v>45376</v>
      </c>
      <c r="I426" s="1">
        <v>2024</v>
      </c>
      <c r="J426" s="2">
        <v>45642</v>
      </c>
      <c r="K426" s="1">
        <f>YEAR(Tableau13[[#This Row],[Date de déclaration]])</f>
        <v>2024</v>
      </c>
      <c r="L426" s="9">
        <v>7252738.2256297916</v>
      </c>
      <c r="M426" s="15">
        <f>Tableau13[[#This Row],[Année de déclaration]]-Tableau13[[#This Row],[Année de sinistre]]</f>
        <v>0</v>
      </c>
    </row>
    <row r="427" spans="1:13" x14ac:dyDescent="0.3">
      <c r="A427" s="1" t="s">
        <v>438</v>
      </c>
      <c r="B427" s="1" t="s">
        <v>24</v>
      </c>
      <c r="D427" s="2">
        <v>45211</v>
      </c>
      <c r="E427" s="1">
        <f>YEAR(Tableau13[[#This Row],[Date de sous]])</f>
        <v>2023</v>
      </c>
      <c r="F427" s="2">
        <v>45211</v>
      </c>
      <c r="G427" s="2">
        <v>45576</v>
      </c>
      <c r="H427" s="2">
        <v>45645</v>
      </c>
      <c r="I427" s="1">
        <v>2024</v>
      </c>
      <c r="J427" s="2">
        <v>45645</v>
      </c>
      <c r="K427" s="1">
        <f>YEAR(Tableau13[[#This Row],[Date de déclaration]])</f>
        <v>2024</v>
      </c>
      <c r="L427" s="5">
        <v>500000</v>
      </c>
      <c r="M427" s="15">
        <f>Tableau13[[#This Row],[Année de déclaration]]-Tableau13[[#This Row],[Année de sinistre]]</f>
        <v>0</v>
      </c>
    </row>
    <row r="428" spans="1:13" x14ac:dyDescent="0.3">
      <c r="A428" s="1" t="s">
        <v>439</v>
      </c>
      <c r="B428" s="1" t="s">
        <v>13</v>
      </c>
      <c r="C428" s="1">
        <v>30569</v>
      </c>
      <c r="D428" s="2">
        <v>45322</v>
      </c>
      <c r="E428" s="1">
        <f>YEAR(Tableau13[[#This Row],[Date de sous]])</f>
        <v>2024</v>
      </c>
      <c r="F428" s="2">
        <v>45322</v>
      </c>
      <c r="G428" s="2">
        <v>57740</v>
      </c>
      <c r="H428" s="2">
        <v>45413</v>
      </c>
      <c r="I428" s="1">
        <v>2024</v>
      </c>
      <c r="J428" s="2">
        <v>45649</v>
      </c>
      <c r="K428" s="1">
        <f>YEAR(Tableau13[[#This Row],[Date de déclaration]])</f>
        <v>2024</v>
      </c>
      <c r="L428" s="10">
        <v>4875900.3286640355</v>
      </c>
      <c r="M428" s="15">
        <f>Tableau13[[#This Row],[Année de déclaration]]-Tableau13[[#This Row],[Année de sinistre]]</f>
        <v>0</v>
      </c>
    </row>
    <row r="429" spans="1:13" x14ac:dyDescent="0.3">
      <c r="A429" s="1" t="s">
        <v>440</v>
      </c>
      <c r="B429" s="1" t="s">
        <v>13</v>
      </c>
      <c r="C429" s="1">
        <v>1463</v>
      </c>
      <c r="D429" s="2">
        <v>43100</v>
      </c>
      <c r="E429" s="1">
        <f>YEAR(Tableau13[[#This Row],[Date de sous]])</f>
        <v>2017</v>
      </c>
      <c r="F429" s="2">
        <v>43097</v>
      </c>
      <c r="G429" s="2">
        <v>48940</v>
      </c>
      <c r="H429" s="2">
        <v>45636</v>
      </c>
      <c r="I429" s="1">
        <v>2024</v>
      </c>
      <c r="J429" s="2">
        <v>45652</v>
      </c>
      <c r="K429" s="1">
        <f>YEAR(Tableau13[[#This Row],[Date de déclaration]])</f>
        <v>2024</v>
      </c>
      <c r="L429" s="9">
        <v>3167643.0265685432</v>
      </c>
      <c r="M429" s="15">
        <f>Tableau13[[#This Row],[Année de déclaration]]-Tableau13[[#This Row],[Année de sinistre]]</f>
        <v>0</v>
      </c>
    </row>
    <row r="430" spans="1:13" x14ac:dyDescent="0.3">
      <c r="A430" s="1" t="s">
        <v>441</v>
      </c>
      <c r="B430" s="1" t="s">
        <v>16</v>
      </c>
      <c r="C430" s="1">
        <v>29703</v>
      </c>
      <c r="D430" s="2">
        <v>45196</v>
      </c>
      <c r="E430" s="1">
        <f>YEAR(Tableau13[[#This Row],[Date de sous]])</f>
        <v>2023</v>
      </c>
      <c r="F430" s="2">
        <v>45196</v>
      </c>
      <c r="G430" s="2">
        <v>46291</v>
      </c>
      <c r="H430" s="2">
        <v>45573</v>
      </c>
      <c r="I430" s="1">
        <v>2024</v>
      </c>
      <c r="J430" s="2">
        <v>45655</v>
      </c>
      <c r="K430" s="1">
        <f>YEAR(Tableau13[[#This Row],[Date de déclaration]])</f>
        <v>2024</v>
      </c>
      <c r="L430" s="9">
        <v>485223.74429223745</v>
      </c>
      <c r="M430" s="15">
        <f>Tableau13[[#This Row],[Année de déclaration]]-Tableau13[[#This Row],[Année de sinistre]]</f>
        <v>0</v>
      </c>
    </row>
    <row r="431" spans="1:13" x14ac:dyDescent="0.3">
      <c r="A431" s="1" t="s">
        <v>442</v>
      </c>
      <c r="B431" s="1" t="s">
        <v>16</v>
      </c>
      <c r="C431" s="1">
        <v>982</v>
      </c>
      <c r="D431" s="2">
        <v>43033</v>
      </c>
      <c r="E431" s="1">
        <f>YEAR(Tableau13[[#This Row],[Date de sous]])</f>
        <v>2017</v>
      </c>
      <c r="F431" s="2">
        <v>43034</v>
      </c>
      <c r="G431" s="2">
        <v>48877</v>
      </c>
      <c r="H431" s="2">
        <v>45538</v>
      </c>
      <c r="I431" s="1">
        <v>2024</v>
      </c>
      <c r="J431" s="2">
        <v>45656</v>
      </c>
      <c r="K431" s="1">
        <f>YEAR(Tableau13[[#This Row],[Date de déclaration]])</f>
        <v>2024</v>
      </c>
      <c r="L431" s="9">
        <v>2571538.5931884311</v>
      </c>
      <c r="M431" s="15">
        <f>Tableau13[[#This Row],[Année de déclaration]]-Tableau13[[#This Row],[Année de sinistre]]</f>
        <v>0</v>
      </c>
    </row>
    <row r="432" spans="1:13" x14ac:dyDescent="0.3">
      <c r="A432" s="1" t="s">
        <v>443</v>
      </c>
      <c r="B432" s="1" t="s">
        <v>13</v>
      </c>
      <c r="C432" s="1">
        <v>6765</v>
      </c>
      <c r="D432" s="2">
        <v>43751</v>
      </c>
      <c r="E432" s="1">
        <f>YEAR(Tableau13[[#This Row],[Date de sous]])</f>
        <v>2019</v>
      </c>
      <c r="F432" s="2">
        <v>43751</v>
      </c>
      <c r="G432" s="2">
        <v>47037</v>
      </c>
      <c r="H432" s="2">
        <v>45638</v>
      </c>
      <c r="I432" s="1">
        <v>2024</v>
      </c>
      <c r="J432" s="2">
        <v>45656</v>
      </c>
      <c r="K432" s="1">
        <f>YEAR(Tableau13[[#This Row],[Date de déclaration]])</f>
        <v>2024</v>
      </c>
      <c r="L432" s="9">
        <v>374573.74360316491</v>
      </c>
      <c r="M432" s="15">
        <f>Tableau13[[#This Row],[Année de déclaration]]-Tableau13[[#This Row],[Année de sinistre]]</f>
        <v>0</v>
      </c>
    </row>
    <row r="433" spans="1:13" x14ac:dyDescent="0.3">
      <c r="A433" s="1" t="s">
        <v>444</v>
      </c>
      <c r="B433" s="1" t="s">
        <v>13</v>
      </c>
      <c r="C433" s="1">
        <v>24632</v>
      </c>
      <c r="D433" s="2">
        <v>45026</v>
      </c>
      <c r="E433" s="1">
        <f>YEAR(Tableau13[[#This Row],[Date de sous]])</f>
        <v>2023</v>
      </c>
      <c r="F433" s="2">
        <v>45026</v>
      </c>
      <c r="G433" s="2">
        <v>46121</v>
      </c>
      <c r="H433" s="2">
        <v>45109</v>
      </c>
      <c r="I433" s="1">
        <v>2023</v>
      </c>
      <c r="J433" s="2">
        <v>45656</v>
      </c>
      <c r="K433" s="1">
        <f>YEAR(Tableau13[[#This Row],[Date de déclaration]])</f>
        <v>2024</v>
      </c>
      <c r="L433" s="9">
        <v>1848401.8264840182</v>
      </c>
      <c r="M433" s="15">
        <f>Tableau13[[#This Row],[Année de déclaration]]-Tableau13[[#This Row],[Année de sinistre]]</f>
        <v>1</v>
      </c>
    </row>
    <row r="434" spans="1:13" x14ac:dyDescent="0.3">
      <c r="A434" s="1" t="s">
        <v>445</v>
      </c>
      <c r="B434" s="1" t="s">
        <v>16</v>
      </c>
      <c r="C434" s="1">
        <v>22183</v>
      </c>
      <c r="D434" s="2">
        <v>44969</v>
      </c>
      <c r="E434" s="1">
        <f>YEAR(Tableau13[[#This Row],[Date de sous]])</f>
        <v>2023</v>
      </c>
      <c r="F434" s="2">
        <v>44969</v>
      </c>
      <c r="G434" s="2" t="s">
        <v>446</v>
      </c>
      <c r="H434" s="2">
        <v>45628</v>
      </c>
      <c r="I434" s="1">
        <v>2024</v>
      </c>
      <c r="J434" s="2">
        <v>45656</v>
      </c>
      <c r="K434" s="1">
        <f>YEAR(Tableau13[[#This Row],[Date de déclaration]])</f>
        <v>2024</v>
      </c>
      <c r="L434" s="5">
        <v>850000</v>
      </c>
      <c r="M434" s="15">
        <f>Tableau13[[#This Row],[Année de déclaration]]-Tableau13[[#This Row],[Année de sinistre]]</f>
        <v>0</v>
      </c>
    </row>
    <row r="435" spans="1:13" x14ac:dyDescent="0.3">
      <c r="A435" s="1" t="s">
        <v>447</v>
      </c>
      <c r="B435" s="1" t="s">
        <v>16</v>
      </c>
      <c r="C435" s="1">
        <v>2759</v>
      </c>
      <c r="D435" s="2">
        <v>43291</v>
      </c>
      <c r="E435" s="1">
        <f>YEAR(Tableau13[[#This Row],[Date de sous]])</f>
        <v>2018</v>
      </c>
      <c r="F435" s="2">
        <v>43292</v>
      </c>
      <c r="G435" s="2">
        <v>46213</v>
      </c>
      <c r="H435" s="2">
        <v>45644</v>
      </c>
      <c r="I435" s="1">
        <v>2024</v>
      </c>
      <c r="J435" s="2">
        <v>45656</v>
      </c>
      <c r="K435" s="1">
        <f>YEAR(Tableau13[[#This Row],[Date de déclaration]])</f>
        <v>2024</v>
      </c>
      <c r="L435" s="3">
        <v>188368.02464909275</v>
      </c>
      <c r="M435" s="15">
        <f>Tableau13[[#This Row],[Année de déclaration]]-Tableau13[[#This Row],[Année de sinistre]]</f>
        <v>0</v>
      </c>
    </row>
    <row r="436" spans="1:13" x14ac:dyDescent="0.3">
      <c r="A436" s="1" t="s">
        <v>448</v>
      </c>
      <c r="B436" s="1" t="s">
        <v>16</v>
      </c>
      <c r="C436" s="1">
        <v>22694</v>
      </c>
      <c r="D436" s="2">
        <v>44984</v>
      </c>
      <c r="E436" s="1">
        <f>YEAR(Tableau13[[#This Row],[Date de sous]])</f>
        <v>2023</v>
      </c>
      <c r="F436" s="2">
        <v>45015</v>
      </c>
      <c r="G436" s="2">
        <v>46110</v>
      </c>
      <c r="H436" s="2">
        <v>45139</v>
      </c>
      <c r="I436" s="1">
        <v>2023</v>
      </c>
      <c r="J436" s="2">
        <v>45657</v>
      </c>
      <c r="K436" s="1">
        <f>YEAR(Tableau13[[#This Row],[Date de déclaration]])</f>
        <v>2024</v>
      </c>
      <c r="L436" s="3">
        <v>221689.49771689498</v>
      </c>
      <c r="M436" s="15">
        <f>Tableau13[[#This Row],[Année de déclaration]]-Tableau13[[#This Row],[Année de sinistre]]</f>
        <v>1</v>
      </c>
    </row>
    <row r="437" spans="1:13" x14ac:dyDescent="0.3">
      <c r="A437" s="1" t="s">
        <v>449</v>
      </c>
      <c r="B437" s="1" t="s">
        <v>16</v>
      </c>
      <c r="C437" s="1">
        <v>601241</v>
      </c>
      <c r="D437" s="2">
        <v>45228</v>
      </c>
      <c r="E437" s="1">
        <f>YEAR(Tableau13[[#This Row],[Date de sous]])</f>
        <v>2023</v>
      </c>
      <c r="F437" s="2">
        <v>45236</v>
      </c>
      <c r="G437" s="2">
        <v>47060</v>
      </c>
      <c r="H437" s="2">
        <v>45390</v>
      </c>
      <c r="I437" s="1">
        <v>2024</v>
      </c>
      <c r="J437" s="2">
        <v>45509</v>
      </c>
      <c r="K437" s="1">
        <f>YEAR(Tableau13[[#This Row],[Date de déclaration]])</f>
        <v>2024</v>
      </c>
      <c r="L437" s="3">
        <v>520358.81578947371</v>
      </c>
      <c r="M437" s="15">
        <f>Tableau13[[#This Row],[Année de déclaration]]-Tableau13[[#This Row],[Année de sinistre]]</f>
        <v>0</v>
      </c>
    </row>
    <row r="438" spans="1:13" x14ac:dyDescent="0.3">
      <c r="A438" s="1" t="s">
        <v>450</v>
      </c>
      <c r="B438" s="1" t="s">
        <v>16</v>
      </c>
      <c r="C438" s="1">
        <v>600786</v>
      </c>
      <c r="D438" s="2">
        <v>45132</v>
      </c>
      <c r="E438" s="1">
        <f>YEAR(Tableau13[[#This Row],[Date de sous]])</f>
        <v>2023</v>
      </c>
      <c r="F438" s="2">
        <v>45134</v>
      </c>
      <c r="G438" s="2">
        <v>46959</v>
      </c>
      <c r="H438" s="2">
        <v>45574</v>
      </c>
      <c r="I438" s="1">
        <v>2024</v>
      </c>
      <c r="J438" s="2">
        <v>45596</v>
      </c>
      <c r="K438" s="1">
        <f>YEAR(Tableau13[[#This Row],[Date de déclaration]])</f>
        <v>2024</v>
      </c>
      <c r="L438" s="3">
        <v>533889.04868493148</v>
      </c>
      <c r="M438" s="15">
        <f>Tableau13[[#This Row],[Année de déclaration]]-Tableau13[[#This Row],[Année de sinistre]]</f>
        <v>0</v>
      </c>
    </row>
    <row r="439" spans="1:13" x14ac:dyDescent="0.3">
      <c r="A439" s="1" t="s">
        <v>451</v>
      </c>
      <c r="B439" s="1" t="s">
        <v>16</v>
      </c>
      <c r="C439" s="1">
        <v>602011</v>
      </c>
      <c r="D439" s="2">
        <v>45428</v>
      </c>
      <c r="E439" s="1">
        <f>YEAR(Tableau13[[#This Row],[Date de sous]])</f>
        <v>2024</v>
      </c>
      <c r="F439" s="2">
        <v>45431</v>
      </c>
      <c r="G439" s="2">
        <v>47255</v>
      </c>
      <c r="H439" s="2">
        <v>45587</v>
      </c>
      <c r="I439" s="1">
        <v>2024</v>
      </c>
      <c r="J439" s="2">
        <v>45637</v>
      </c>
      <c r="K439" s="1">
        <f>YEAR(Tableau13[[#This Row],[Date de déclaration]])</f>
        <v>2024</v>
      </c>
      <c r="L439" s="3">
        <v>395569.30921052635</v>
      </c>
      <c r="M439" s="15">
        <f>Tableau13[[#This Row],[Année de déclaration]]-Tableau13[[#This Row],[Année de sinistre]]</f>
        <v>0</v>
      </c>
    </row>
    <row r="440" spans="1:13" x14ac:dyDescent="0.3">
      <c r="A440" s="1" t="s">
        <v>452</v>
      </c>
      <c r="B440" s="1" t="s">
        <v>16</v>
      </c>
      <c r="C440" s="1">
        <v>600277</v>
      </c>
      <c r="D440" s="2">
        <v>44993</v>
      </c>
      <c r="E440" s="1">
        <f>YEAR(Tableau13[[#This Row],[Date de sous]])</f>
        <v>2023</v>
      </c>
      <c r="F440" s="2">
        <v>44994</v>
      </c>
      <c r="G440" s="2">
        <v>46818</v>
      </c>
      <c r="H440" s="2">
        <v>45601</v>
      </c>
      <c r="I440" s="1">
        <v>2024</v>
      </c>
      <c r="J440" s="2">
        <v>45649</v>
      </c>
      <c r="K440" s="1">
        <f>YEAR(Tableau13[[#This Row],[Date de déclaration]])</f>
        <v>2024</v>
      </c>
      <c r="L440" s="3">
        <v>733936.40350877191</v>
      </c>
      <c r="M440" s="15">
        <f>Tableau13[[#This Row],[Année de déclaration]]-Tableau13[[#This Row],[Année de sinistre]]</f>
        <v>0</v>
      </c>
    </row>
    <row r="441" spans="1:13" x14ac:dyDescent="0.3">
      <c r="A441" s="1" t="s">
        <v>453</v>
      </c>
      <c r="B441" s="1" t="s">
        <v>16</v>
      </c>
      <c r="C441" s="1">
        <v>18102</v>
      </c>
      <c r="D441" s="2">
        <v>44787</v>
      </c>
      <c r="E441" s="1">
        <f>YEAR(Tableau13[[#This Row],[Date de sous]])</f>
        <v>2022</v>
      </c>
      <c r="F441" s="2">
        <v>44788</v>
      </c>
      <c r="G441" s="2">
        <v>45883</v>
      </c>
      <c r="H441" s="2">
        <v>45292</v>
      </c>
      <c r="I441" s="1">
        <v>2024</v>
      </c>
      <c r="J441" s="2">
        <v>45306</v>
      </c>
      <c r="K441" s="1">
        <f>YEAR(Tableau13[[#This Row],[Date de déclaration]])</f>
        <v>2024</v>
      </c>
      <c r="L441" s="3">
        <v>452830.1369863014</v>
      </c>
      <c r="M441" s="15">
        <f>Tableau13[[#This Row],[Année de déclaration]]-Tableau13[[#This Row],[Année de sinistre]]</f>
        <v>0</v>
      </c>
    </row>
    <row r="442" spans="1:13" x14ac:dyDescent="0.3">
      <c r="A442" s="11" t="s">
        <v>454</v>
      </c>
      <c r="B442" s="11" t="s">
        <v>13</v>
      </c>
      <c r="C442" s="11">
        <v>22470</v>
      </c>
      <c r="D442" s="12">
        <v>44922</v>
      </c>
      <c r="E442" s="11">
        <f>YEAR(Tableau13[[#This Row],[Date de sous]])</f>
        <v>2022</v>
      </c>
      <c r="F442" s="12">
        <v>44922</v>
      </c>
      <c r="G442" s="12">
        <v>56974</v>
      </c>
      <c r="H442" s="12">
        <v>45614</v>
      </c>
      <c r="I442" s="11">
        <v>2024</v>
      </c>
      <c r="J442" s="12">
        <v>45662</v>
      </c>
      <c r="K442" s="1">
        <f>YEAR(Tableau13[[#This Row],[Date de déclaration]])</f>
        <v>2025</v>
      </c>
      <c r="L442" s="13">
        <v>7871150</v>
      </c>
      <c r="M442" s="15">
        <f>Tableau13[[#This Row],[Année de déclaration]]-Tableau13[[#This Row],[Année de sinistre]]</f>
        <v>1</v>
      </c>
    </row>
    <row r="443" spans="1:13" x14ac:dyDescent="0.3">
      <c r="A443" s="11" t="s">
        <v>455</v>
      </c>
      <c r="B443" s="11" t="s">
        <v>13</v>
      </c>
      <c r="C443" s="11">
        <v>24812</v>
      </c>
      <c r="D443" s="12">
        <v>45036</v>
      </c>
      <c r="E443" s="11">
        <f>YEAR(Tableau13[[#This Row],[Date de sous]])</f>
        <v>2023</v>
      </c>
      <c r="F443" s="12">
        <v>45036</v>
      </c>
      <c r="G443" s="12">
        <v>47957</v>
      </c>
      <c r="H443" s="12">
        <v>45411</v>
      </c>
      <c r="I443" s="11">
        <v>2024</v>
      </c>
      <c r="J443" s="12">
        <v>45671</v>
      </c>
      <c r="K443" s="1">
        <f>YEAR(Tableau13[[#This Row],[Date de déclaration]])</f>
        <v>2025</v>
      </c>
      <c r="L443" s="13">
        <v>3383274.31</v>
      </c>
      <c r="M443" s="15">
        <f>Tableau13[[#This Row],[Année de déclaration]]-Tableau13[[#This Row],[Année de sinistre]]</f>
        <v>1</v>
      </c>
    </row>
    <row r="444" spans="1:13" x14ac:dyDescent="0.3">
      <c r="A444" s="11" t="s">
        <v>456</v>
      </c>
      <c r="B444" s="11" t="s">
        <v>16</v>
      </c>
      <c r="C444" s="11">
        <v>18277</v>
      </c>
      <c r="D444" s="12">
        <v>44802</v>
      </c>
      <c r="E444" s="11">
        <f>YEAR(Tableau13[[#This Row],[Date de sous]])</f>
        <v>2022</v>
      </c>
      <c r="F444" s="12">
        <v>44833</v>
      </c>
      <c r="G444" s="12">
        <v>45897</v>
      </c>
      <c r="H444" s="12">
        <v>45676</v>
      </c>
      <c r="I444" s="11">
        <v>2025</v>
      </c>
      <c r="J444" s="12">
        <v>45676</v>
      </c>
      <c r="K444" s="1">
        <f>YEAR(Tableau13[[#This Row],[Date de déclaration]])</f>
        <v>2025</v>
      </c>
      <c r="L444" s="13">
        <v>101745.25</v>
      </c>
      <c r="M444" s="15">
        <f>Tableau13[[#This Row],[Année de déclaration]]-Tableau13[[#This Row],[Année de sinistre]]</f>
        <v>0</v>
      </c>
    </row>
    <row r="445" spans="1:13" x14ac:dyDescent="0.3">
      <c r="A445" s="11" t="s">
        <v>457</v>
      </c>
      <c r="B445" s="11" t="s">
        <v>16</v>
      </c>
      <c r="C445" s="11">
        <v>14679</v>
      </c>
      <c r="D445" s="12">
        <v>45587</v>
      </c>
      <c r="E445" s="11">
        <f>YEAR(Tableau13[[#This Row],[Date de sous]])</f>
        <v>2024</v>
      </c>
      <c r="F445" s="12">
        <v>45587</v>
      </c>
      <c r="G445" s="12">
        <v>47412</v>
      </c>
      <c r="H445" s="12">
        <v>45658</v>
      </c>
      <c r="I445" s="11">
        <v>2025</v>
      </c>
      <c r="J445" s="12">
        <v>45664</v>
      </c>
      <c r="K445" s="1">
        <f>YEAR(Tableau13[[#This Row],[Date de déclaration]])</f>
        <v>2025</v>
      </c>
      <c r="L445" s="13">
        <v>965570.45</v>
      </c>
      <c r="M445" s="15">
        <f>Tableau13[[#This Row],[Année de déclaration]]-Tableau13[[#This Row],[Année de sinistre]]</f>
        <v>0</v>
      </c>
    </row>
    <row r="446" spans="1:13" x14ac:dyDescent="0.3">
      <c r="A446" s="11" t="s">
        <v>458</v>
      </c>
      <c r="B446" s="11" t="s">
        <v>13</v>
      </c>
      <c r="C446" s="11">
        <v>2469</v>
      </c>
      <c r="D446" s="12">
        <v>43147</v>
      </c>
      <c r="E446" s="11">
        <f>YEAR(Tableau13[[#This Row],[Date de sous]])</f>
        <v>2018</v>
      </c>
      <c r="F446" s="12">
        <v>43147</v>
      </c>
      <c r="G446" s="12">
        <v>51547</v>
      </c>
      <c r="H446" s="12">
        <v>45502</v>
      </c>
      <c r="I446" s="11">
        <v>2024</v>
      </c>
      <c r="J446" s="12">
        <v>45670</v>
      </c>
      <c r="K446" s="1">
        <f>YEAR(Tableau13[[#This Row],[Date de déclaration]])</f>
        <v>2025</v>
      </c>
      <c r="L446" s="14">
        <v>810000</v>
      </c>
      <c r="M446" s="15">
        <f>Tableau13[[#This Row],[Année de déclaration]]-Tableau13[[#This Row],[Année de sinistre]]</f>
        <v>1</v>
      </c>
    </row>
    <row r="447" spans="1:13" x14ac:dyDescent="0.3">
      <c r="A447" s="11" t="s">
        <v>459</v>
      </c>
      <c r="B447" s="11" t="s">
        <v>13</v>
      </c>
      <c r="C447" s="11">
        <v>5687</v>
      </c>
      <c r="D447" s="12">
        <v>43608</v>
      </c>
      <c r="E447" s="11">
        <f>YEAR(Tableau13[[#This Row],[Date de sous]])</f>
        <v>2019</v>
      </c>
      <c r="F447" s="12">
        <v>43608</v>
      </c>
      <c r="G447" s="12">
        <v>50907</v>
      </c>
      <c r="H447" s="12">
        <v>45482</v>
      </c>
      <c r="I447" s="11">
        <v>2024</v>
      </c>
      <c r="J447" s="12">
        <v>45673</v>
      </c>
      <c r="K447" s="1">
        <f>YEAR(Tableau13[[#This Row],[Date de déclaration]])</f>
        <v>2025</v>
      </c>
      <c r="L447" s="13">
        <v>1596233.68</v>
      </c>
      <c r="M447" s="15">
        <f>Tableau13[[#This Row],[Année de déclaration]]-Tableau13[[#This Row],[Année de sinistre]]</f>
        <v>1</v>
      </c>
    </row>
    <row r="448" spans="1:13" x14ac:dyDescent="0.3">
      <c r="A448" s="11" t="s">
        <v>460</v>
      </c>
      <c r="B448" s="11" t="s">
        <v>13</v>
      </c>
      <c r="C448" s="11">
        <v>10103</v>
      </c>
      <c r="D448" s="12">
        <v>44180</v>
      </c>
      <c r="E448" s="11">
        <f>YEAR(Tableau13[[#This Row],[Date de sous]])</f>
        <v>2020</v>
      </c>
      <c r="F448" s="12">
        <v>44180</v>
      </c>
      <c r="G448" s="12">
        <v>50022</v>
      </c>
      <c r="H448" s="12">
        <v>45658</v>
      </c>
      <c r="I448" s="11">
        <v>2025</v>
      </c>
      <c r="J448" s="12">
        <v>45673</v>
      </c>
      <c r="K448" s="1">
        <f>YEAR(Tableau13[[#This Row],[Date de déclaration]])</f>
        <v>2025</v>
      </c>
      <c r="L448" s="13">
        <v>1032075.67</v>
      </c>
      <c r="M448" s="15">
        <f>Tableau13[[#This Row],[Année de déclaration]]-Tableau13[[#This Row],[Année de sinistre]]</f>
        <v>0</v>
      </c>
    </row>
    <row r="449" spans="1:13" x14ac:dyDescent="0.3">
      <c r="A449" s="11" t="s">
        <v>461</v>
      </c>
      <c r="B449" s="11" t="s">
        <v>13</v>
      </c>
      <c r="C449" s="11">
        <v>6263</v>
      </c>
      <c r="D449" s="12">
        <v>43671</v>
      </c>
      <c r="E449" s="11">
        <f>YEAR(Tableau13[[#This Row],[Date de sous]])</f>
        <v>2019</v>
      </c>
      <c r="F449" s="12">
        <v>43671</v>
      </c>
      <c r="G449" s="12">
        <v>47322</v>
      </c>
      <c r="H449" s="12">
        <v>45611</v>
      </c>
      <c r="I449" s="11">
        <v>2024</v>
      </c>
      <c r="J449" s="12">
        <v>45678</v>
      </c>
      <c r="K449" s="1">
        <f>YEAR(Tableau13[[#This Row],[Date de déclaration]])</f>
        <v>2025</v>
      </c>
      <c r="L449" s="13">
        <v>1416028.63</v>
      </c>
      <c r="M449" s="15">
        <f>Tableau13[[#This Row],[Année de déclaration]]-Tableau13[[#This Row],[Année de sinistre]]</f>
        <v>1</v>
      </c>
    </row>
    <row r="450" spans="1:13" x14ac:dyDescent="0.3">
      <c r="A450" s="11" t="s">
        <v>462</v>
      </c>
      <c r="B450" s="11" t="s">
        <v>16</v>
      </c>
      <c r="C450" s="11">
        <v>16283</v>
      </c>
      <c r="D450" s="12">
        <v>44662</v>
      </c>
      <c r="E450" s="11">
        <f>YEAR(Tableau13[[#This Row],[Date de sous]])</f>
        <v>2022</v>
      </c>
      <c r="F450" s="12">
        <v>45757</v>
      </c>
      <c r="G450" s="12">
        <v>45757</v>
      </c>
      <c r="H450" s="12">
        <v>45648</v>
      </c>
      <c r="I450" s="11">
        <v>2024</v>
      </c>
      <c r="J450" s="12">
        <v>45680</v>
      </c>
      <c r="K450" s="1">
        <f>YEAR(Tableau13[[#This Row],[Date de déclaration]])</f>
        <v>2025</v>
      </c>
      <c r="L450" s="13">
        <v>43302.96</v>
      </c>
      <c r="M450" s="15">
        <f>Tableau13[[#This Row],[Année de déclaration]]-Tableau13[[#This Row],[Année de sinistre]]</f>
        <v>1</v>
      </c>
    </row>
    <row r="451" spans="1:13" x14ac:dyDescent="0.3">
      <c r="A451" s="11" t="s">
        <v>463</v>
      </c>
      <c r="B451" s="11" t="s">
        <v>16</v>
      </c>
      <c r="C451" s="11">
        <v>3693</v>
      </c>
      <c r="D451" s="12">
        <v>44566</v>
      </c>
      <c r="E451" s="11">
        <f>YEAR(Tableau13[[#This Row],[Date de sous]])</f>
        <v>2022</v>
      </c>
      <c r="F451" s="12">
        <v>44566</v>
      </c>
      <c r="G451" s="12">
        <v>46391</v>
      </c>
      <c r="H451" s="12">
        <v>45583</v>
      </c>
      <c r="I451" s="11">
        <v>2024</v>
      </c>
      <c r="J451" s="12">
        <v>45685</v>
      </c>
      <c r="K451" s="1">
        <f>YEAR(Tableau13[[#This Row],[Date de déclaration]])</f>
        <v>2025</v>
      </c>
      <c r="L451" s="13">
        <v>333754.59999999998</v>
      </c>
      <c r="M451" s="15">
        <f>Tableau13[[#This Row],[Année de déclaration]]-Tableau13[[#This Row],[Année de sinistre]]</f>
        <v>1</v>
      </c>
    </row>
    <row r="452" spans="1:13" x14ac:dyDescent="0.3">
      <c r="A452" s="11" t="s">
        <v>464</v>
      </c>
      <c r="B452" s="11" t="s">
        <v>13</v>
      </c>
      <c r="C452" s="11">
        <v>9298</v>
      </c>
      <c r="D452" s="12">
        <v>44039</v>
      </c>
      <c r="E452" s="11">
        <f>YEAR(Tableau13[[#This Row],[Date de sous]])</f>
        <v>2020</v>
      </c>
      <c r="F452" s="12">
        <v>44039</v>
      </c>
      <c r="G452" s="12">
        <v>50243</v>
      </c>
      <c r="H452" s="12">
        <v>45690</v>
      </c>
      <c r="I452" s="11">
        <v>2025</v>
      </c>
      <c r="J452" s="12">
        <v>45692</v>
      </c>
      <c r="K452" s="1">
        <f>YEAR(Tableau13[[#This Row],[Date de déclaration]])</f>
        <v>2025</v>
      </c>
      <c r="L452" s="13">
        <v>4624786.3</v>
      </c>
      <c r="M452" s="15">
        <f>Tableau13[[#This Row],[Année de déclaration]]-Tableau13[[#This Row],[Année de sinistre]]</f>
        <v>0</v>
      </c>
    </row>
    <row r="453" spans="1:13" x14ac:dyDescent="0.3">
      <c r="A453" s="11" t="s">
        <v>465</v>
      </c>
      <c r="B453" s="11" t="s">
        <v>16</v>
      </c>
      <c r="C453" s="11">
        <v>600290</v>
      </c>
      <c r="D453" s="12">
        <v>44999</v>
      </c>
      <c r="E453" s="11">
        <f>YEAR(Tableau13[[#This Row],[Date de sous]])</f>
        <v>2023</v>
      </c>
      <c r="F453" s="12">
        <v>45001</v>
      </c>
      <c r="G453" s="12">
        <v>46825</v>
      </c>
      <c r="H453" s="12">
        <v>45678</v>
      </c>
      <c r="I453" s="11">
        <v>2025</v>
      </c>
      <c r="J453" s="12">
        <v>45692</v>
      </c>
      <c r="K453" s="1">
        <f>YEAR(Tableau13[[#This Row],[Date de déclaration]])</f>
        <v>2025</v>
      </c>
      <c r="L453" s="13">
        <v>387495.19</v>
      </c>
      <c r="M453" s="15">
        <f>Tableau13[[#This Row],[Année de déclaration]]-Tableau13[[#This Row],[Année de sinistre]]</f>
        <v>0</v>
      </c>
    </row>
    <row r="454" spans="1:13" x14ac:dyDescent="0.3">
      <c r="A454" s="11" t="s">
        <v>466</v>
      </c>
      <c r="B454" s="11" t="s">
        <v>13</v>
      </c>
      <c r="C454" s="11">
        <v>16749</v>
      </c>
      <c r="D454" s="12">
        <v>44584</v>
      </c>
      <c r="E454" s="11">
        <f>YEAR(Tableau13[[#This Row],[Date de sous]])</f>
        <v>2022</v>
      </c>
      <c r="F454" s="12">
        <v>44584</v>
      </c>
      <c r="G454" s="12">
        <v>48235</v>
      </c>
      <c r="H454" s="12">
        <v>44982</v>
      </c>
      <c r="I454" s="11">
        <v>2023</v>
      </c>
      <c r="J454" s="12">
        <v>45698</v>
      </c>
      <c r="K454" s="1">
        <f>YEAR(Tableau13[[#This Row],[Date de déclaration]])</f>
        <v>2025</v>
      </c>
      <c r="L454" s="14">
        <v>1150000</v>
      </c>
      <c r="M454" s="15">
        <f>Tableau13[[#This Row],[Année de déclaration]]-Tableau13[[#This Row],[Année de sinistre]]</f>
        <v>2</v>
      </c>
    </row>
    <row r="455" spans="1:13" x14ac:dyDescent="0.3">
      <c r="A455" s="11" t="s">
        <v>467</v>
      </c>
      <c r="B455" s="11" t="s">
        <v>16</v>
      </c>
      <c r="C455" s="11">
        <v>24898</v>
      </c>
      <c r="D455" s="12">
        <v>45048</v>
      </c>
      <c r="E455" s="11">
        <f>YEAR(Tableau13[[#This Row],[Date de sous]])</f>
        <v>2023</v>
      </c>
      <c r="F455" s="12">
        <v>45048</v>
      </c>
      <c r="G455" s="12">
        <v>46143</v>
      </c>
      <c r="H455" s="12">
        <v>45571</v>
      </c>
      <c r="I455" s="11">
        <v>2024</v>
      </c>
      <c r="J455" s="12">
        <v>45701</v>
      </c>
      <c r="K455" s="1">
        <f>YEAR(Tableau13[[#This Row],[Date de déclaration]])</f>
        <v>2025</v>
      </c>
      <c r="L455" s="13">
        <v>200555.48</v>
      </c>
      <c r="M455" s="15">
        <f>Tableau13[[#This Row],[Année de déclaration]]-Tableau13[[#This Row],[Année de sinistre]]</f>
        <v>1</v>
      </c>
    </row>
    <row r="456" spans="1:13" x14ac:dyDescent="0.3">
      <c r="A456" s="11" t="s">
        <v>468</v>
      </c>
      <c r="B456" s="11" t="s">
        <v>16</v>
      </c>
      <c r="C456" s="11">
        <v>33072</v>
      </c>
      <c r="D456" s="12">
        <v>45384</v>
      </c>
      <c r="E456" s="11">
        <f>YEAR(Tableau13[[#This Row],[Date de sous]])</f>
        <v>2024</v>
      </c>
      <c r="F456" s="12">
        <v>45385</v>
      </c>
      <c r="G456" s="12">
        <v>46479</v>
      </c>
      <c r="H456" s="12">
        <v>45673</v>
      </c>
      <c r="I456" s="11">
        <v>2025</v>
      </c>
      <c r="J456" s="12">
        <v>45701</v>
      </c>
      <c r="K456" s="1">
        <f>YEAR(Tableau13[[#This Row],[Date de déclaration]])</f>
        <v>2025</v>
      </c>
      <c r="L456" s="13">
        <v>653086.28</v>
      </c>
      <c r="M456" s="15">
        <f>Tableau13[[#This Row],[Année de déclaration]]-Tableau13[[#This Row],[Année de sinistre]]</f>
        <v>0</v>
      </c>
    </row>
    <row r="457" spans="1:13" x14ac:dyDescent="0.3">
      <c r="A457" s="11" t="s">
        <v>469</v>
      </c>
      <c r="B457" s="11" t="s">
        <v>16</v>
      </c>
      <c r="C457" s="11">
        <v>6814</v>
      </c>
      <c r="D457" s="12">
        <v>44857</v>
      </c>
      <c r="E457" s="11">
        <f>YEAR(Tableau13[[#This Row],[Date de sous]])</f>
        <v>2022</v>
      </c>
      <c r="F457" s="12">
        <v>44857</v>
      </c>
      <c r="G457" s="12">
        <v>46682</v>
      </c>
      <c r="H457" s="12">
        <v>45602</v>
      </c>
      <c r="I457" s="11">
        <v>2024</v>
      </c>
      <c r="J457" s="12">
        <v>45706</v>
      </c>
      <c r="K457" s="1">
        <f>YEAR(Tableau13[[#This Row],[Date de déclaration]])</f>
        <v>2025</v>
      </c>
      <c r="L457" s="14">
        <v>704800</v>
      </c>
      <c r="M457" s="15">
        <f>Tableau13[[#This Row],[Année de déclaration]]-Tableau13[[#This Row],[Année de sinistre]]</f>
        <v>1</v>
      </c>
    </row>
    <row r="458" spans="1:13" x14ac:dyDescent="0.3">
      <c r="A458" s="11" t="s">
        <v>470</v>
      </c>
      <c r="B458" s="11" t="s">
        <v>16</v>
      </c>
      <c r="C458" s="11">
        <v>17475</v>
      </c>
      <c r="D458" s="12">
        <v>44629</v>
      </c>
      <c r="E458" s="11">
        <f>YEAR(Tableau13[[#This Row],[Date de sous]])</f>
        <v>2022</v>
      </c>
      <c r="F458" s="12">
        <v>44634</v>
      </c>
      <c r="G458" s="12">
        <v>50112</v>
      </c>
      <c r="H458" s="12">
        <v>45631</v>
      </c>
      <c r="I458" s="11">
        <v>2024</v>
      </c>
      <c r="J458" s="12">
        <v>45707</v>
      </c>
      <c r="K458" s="1">
        <f>YEAR(Tableau13[[#This Row],[Date de déclaration]])</f>
        <v>2025</v>
      </c>
      <c r="L458" s="13">
        <v>1208918.75</v>
      </c>
      <c r="M458" s="15">
        <f>Tableau13[[#This Row],[Année de déclaration]]-Tableau13[[#This Row],[Année de sinistre]]</f>
        <v>1</v>
      </c>
    </row>
    <row r="459" spans="1:13" x14ac:dyDescent="0.3">
      <c r="A459" s="11" t="s">
        <v>471</v>
      </c>
      <c r="B459" s="11" t="s">
        <v>16</v>
      </c>
      <c r="C459" s="11">
        <v>5651</v>
      </c>
      <c r="D459" s="12">
        <v>44738</v>
      </c>
      <c r="E459" s="11">
        <f>YEAR(Tableau13[[#This Row],[Date de sous]])</f>
        <v>2022</v>
      </c>
      <c r="F459" s="12">
        <v>44738</v>
      </c>
      <c r="G459" s="12">
        <v>46563</v>
      </c>
      <c r="H459" s="12">
        <v>45693</v>
      </c>
      <c r="I459" s="11">
        <v>2025</v>
      </c>
      <c r="J459" s="12">
        <v>45711</v>
      </c>
      <c r="K459" s="1">
        <f>YEAR(Tableau13[[#This Row],[Date de déclaration]])</f>
        <v>2025</v>
      </c>
      <c r="L459" s="13">
        <v>544779.59</v>
      </c>
      <c r="M459" s="15">
        <f>Tableau13[[#This Row],[Année de déclaration]]-Tableau13[[#This Row],[Année de sinistre]]</f>
        <v>0</v>
      </c>
    </row>
    <row r="460" spans="1:13" x14ac:dyDescent="0.3">
      <c r="A460" s="11" t="s">
        <v>472</v>
      </c>
      <c r="B460" s="11" t="s">
        <v>16</v>
      </c>
      <c r="C460" s="11">
        <v>837</v>
      </c>
      <c r="D460" s="12">
        <v>44339</v>
      </c>
      <c r="E460" s="11">
        <f>YEAR(Tableau13[[#This Row],[Date de sous]])</f>
        <v>2021</v>
      </c>
      <c r="F460" s="12">
        <v>44339</v>
      </c>
      <c r="G460" s="12">
        <v>46164</v>
      </c>
      <c r="H460" s="12">
        <v>45133</v>
      </c>
      <c r="I460" s="11">
        <v>2023</v>
      </c>
      <c r="J460" s="12">
        <v>45713</v>
      </c>
      <c r="K460" s="1">
        <f>YEAR(Tableau13[[#This Row],[Date de déclaration]])</f>
        <v>2025</v>
      </c>
      <c r="L460" s="13">
        <v>650653.77</v>
      </c>
      <c r="M460" s="15">
        <f>Tableau13[[#This Row],[Année de déclaration]]-Tableau13[[#This Row],[Année de sinistre]]</f>
        <v>2</v>
      </c>
    </row>
    <row r="461" spans="1:13" x14ac:dyDescent="0.3">
      <c r="A461" s="11" t="s">
        <v>473</v>
      </c>
      <c r="B461" s="11" t="s">
        <v>16</v>
      </c>
      <c r="C461" s="11">
        <v>17600</v>
      </c>
      <c r="D461" s="12">
        <v>44749</v>
      </c>
      <c r="E461" s="11">
        <f>YEAR(Tableau13[[#This Row],[Date de sous]])</f>
        <v>2022</v>
      </c>
      <c r="F461" s="12">
        <v>44749</v>
      </c>
      <c r="G461" s="12">
        <v>45844</v>
      </c>
      <c r="H461" s="12">
        <v>45608</v>
      </c>
      <c r="I461" s="11">
        <v>2024</v>
      </c>
      <c r="J461" s="12">
        <v>45719</v>
      </c>
      <c r="K461" s="1">
        <f>YEAR(Tableau13[[#This Row],[Date de déclaration]])</f>
        <v>2025</v>
      </c>
      <c r="L461" s="13">
        <v>199217.56</v>
      </c>
      <c r="M461" s="15">
        <f>Tableau13[[#This Row],[Année de déclaration]]-Tableau13[[#This Row],[Année de sinistre]]</f>
        <v>1</v>
      </c>
    </row>
    <row r="462" spans="1:13" x14ac:dyDescent="0.3">
      <c r="A462" s="11" t="s">
        <v>474</v>
      </c>
      <c r="B462" s="11" t="s">
        <v>16</v>
      </c>
      <c r="C462" s="11">
        <v>487</v>
      </c>
      <c r="D462" s="12">
        <v>44314</v>
      </c>
      <c r="E462" s="11">
        <f>YEAR(Tableau13[[#This Row],[Date de sous]])</f>
        <v>2021</v>
      </c>
      <c r="F462" s="12">
        <v>44314</v>
      </c>
      <c r="G462" s="12">
        <v>46139</v>
      </c>
      <c r="H462" s="12">
        <v>45592</v>
      </c>
      <c r="I462" s="11">
        <v>2024</v>
      </c>
      <c r="J462" s="12">
        <v>45719</v>
      </c>
      <c r="K462" s="1">
        <f>YEAR(Tableau13[[#This Row],[Date de déclaration]])</f>
        <v>2025</v>
      </c>
      <c r="L462" s="13">
        <v>387998</v>
      </c>
      <c r="M462" s="15">
        <f>Tableau13[[#This Row],[Année de déclaration]]-Tableau13[[#This Row],[Année de sinistre]]</f>
        <v>1</v>
      </c>
    </row>
    <row r="463" spans="1:13" x14ac:dyDescent="0.3">
      <c r="A463" s="11" t="s">
        <v>475</v>
      </c>
      <c r="B463" s="11" t="s">
        <v>16</v>
      </c>
      <c r="C463" s="11">
        <v>601192</v>
      </c>
      <c r="D463" s="12">
        <v>45216</v>
      </c>
      <c r="E463" s="11">
        <f>YEAR(Tableau13[[#This Row],[Date de sous]])</f>
        <v>2023</v>
      </c>
      <c r="F463" s="12">
        <v>45221</v>
      </c>
      <c r="G463" s="12">
        <v>47045</v>
      </c>
      <c r="H463" s="12">
        <v>45715</v>
      </c>
      <c r="I463" s="11">
        <v>2025</v>
      </c>
      <c r="J463" s="12">
        <v>45720</v>
      </c>
      <c r="K463" s="1">
        <f>YEAR(Tableau13[[#This Row],[Date de déclaration]])</f>
        <v>2025</v>
      </c>
      <c r="L463" s="13">
        <v>573922.63</v>
      </c>
      <c r="M463" s="15">
        <f>Tableau13[[#This Row],[Année de déclaration]]-Tableau13[[#This Row],[Année de sinistre]]</f>
        <v>0</v>
      </c>
    </row>
    <row r="464" spans="1:13" x14ac:dyDescent="0.3">
      <c r="A464" s="11" t="s">
        <v>476</v>
      </c>
      <c r="B464" s="11" t="s">
        <v>13</v>
      </c>
      <c r="C464" s="11">
        <v>30776</v>
      </c>
      <c r="D464" s="12">
        <v>45336</v>
      </c>
      <c r="E464" s="11">
        <f>YEAR(Tableau13[[#This Row],[Date de sous]])</f>
        <v>2024</v>
      </c>
      <c r="F464" s="12">
        <v>45336</v>
      </c>
      <c r="G464" s="12">
        <v>50814</v>
      </c>
      <c r="H464" s="12">
        <v>45683</v>
      </c>
      <c r="I464" s="11">
        <v>2025</v>
      </c>
      <c r="J464" s="12">
        <v>45720</v>
      </c>
      <c r="K464" s="1">
        <f>YEAR(Tableau13[[#This Row],[Date de déclaration]])</f>
        <v>2025</v>
      </c>
      <c r="L464" s="13">
        <v>3002515.8</v>
      </c>
      <c r="M464" s="15">
        <f>Tableau13[[#This Row],[Année de déclaration]]-Tableau13[[#This Row],[Année de sinistre]]</f>
        <v>0</v>
      </c>
    </row>
    <row r="465" spans="1:13" x14ac:dyDescent="0.3">
      <c r="A465" s="11" t="s">
        <v>477</v>
      </c>
      <c r="B465" s="11" t="s">
        <v>16</v>
      </c>
      <c r="C465" s="11">
        <v>20347</v>
      </c>
      <c r="D465" s="12">
        <v>44907</v>
      </c>
      <c r="E465" s="11">
        <f>YEAR(Tableau13[[#This Row],[Date de sous]])</f>
        <v>2022</v>
      </c>
      <c r="F465" s="12">
        <v>44907</v>
      </c>
      <c r="G465" s="12">
        <v>46002</v>
      </c>
      <c r="H465" s="12">
        <v>45706</v>
      </c>
      <c r="I465" s="11">
        <v>2025</v>
      </c>
      <c r="J465" s="12">
        <v>45720</v>
      </c>
      <c r="K465" s="1">
        <f>YEAR(Tableau13[[#This Row],[Date de déclaration]])</f>
        <v>2025</v>
      </c>
      <c r="L465" s="13">
        <v>105555.44</v>
      </c>
      <c r="M465" s="15">
        <f>Tableau13[[#This Row],[Année de déclaration]]-Tableau13[[#This Row],[Année de sinistre]]</f>
        <v>0</v>
      </c>
    </row>
    <row r="466" spans="1:13" x14ac:dyDescent="0.3">
      <c r="A466" s="11" t="s">
        <v>478</v>
      </c>
      <c r="B466" s="11" t="s">
        <v>13</v>
      </c>
      <c r="C466" s="11">
        <v>3310</v>
      </c>
      <c r="D466" s="12">
        <v>43374</v>
      </c>
      <c r="E466" s="11">
        <f>YEAR(Tableau13[[#This Row],[Date de sous]])</f>
        <v>2018</v>
      </c>
      <c r="F466" s="12">
        <v>44838</v>
      </c>
      <c r="G466" s="12">
        <v>47756</v>
      </c>
      <c r="H466" s="12">
        <v>45567</v>
      </c>
      <c r="I466" s="11">
        <v>2024</v>
      </c>
      <c r="J466" s="12">
        <v>45725</v>
      </c>
      <c r="K466" s="1">
        <f>YEAR(Tableau13[[#This Row],[Date de déclaration]])</f>
        <v>2025</v>
      </c>
      <c r="L466" s="13">
        <v>2352336.87</v>
      </c>
      <c r="M466" s="15">
        <f>Tableau13[[#This Row],[Année de déclaration]]-Tableau13[[#This Row],[Année de sinistre]]</f>
        <v>1</v>
      </c>
    </row>
    <row r="467" spans="1:13" x14ac:dyDescent="0.3">
      <c r="A467" s="11" t="s">
        <v>479</v>
      </c>
      <c r="B467" s="11" t="s">
        <v>16</v>
      </c>
      <c r="C467" s="11">
        <v>2984</v>
      </c>
      <c r="D467" s="12">
        <v>44516</v>
      </c>
      <c r="E467" s="11">
        <f>YEAR(Tableau13[[#This Row],[Date de sous]])</f>
        <v>2021</v>
      </c>
      <c r="F467" s="12">
        <v>44516</v>
      </c>
      <c r="G467" s="12">
        <v>46341</v>
      </c>
      <c r="H467" s="12">
        <v>45143</v>
      </c>
      <c r="I467" s="11">
        <v>2023</v>
      </c>
      <c r="J467" s="12">
        <v>45727</v>
      </c>
      <c r="K467" s="1">
        <f>YEAR(Tableau13[[#This Row],[Date de déclaration]])</f>
        <v>2025</v>
      </c>
      <c r="L467" s="13">
        <v>527301.27</v>
      </c>
      <c r="M467" s="15">
        <f>Tableau13[[#This Row],[Année de déclaration]]-Tableau13[[#This Row],[Année de sinistre]]</f>
        <v>2</v>
      </c>
    </row>
    <row r="468" spans="1:13" x14ac:dyDescent="0.3">
      <c r="A468" s="11" t="s">
        <v>480</v>
      </c>
      <c r="B468" s="11" t="s">
        <v>13</v>
      </c>
      <c r="C468" s="11">
        <v>19892</v>
      </c>
      <c r="D468" s="12">
        <v>44773</v>
      </c>
      <c r="E468" s="11">
        <f>YEAR(Tableau13[[#This Row],[Date de sous]])</f>
        <v>2022</v>
      </c>
      <c r="F468" s="12">
        <v>44774</v>
      </c>
      <c r="G468" s="12">
        <v>51348</v>
      </c>
      <c r="H468" s="12">
        <v>45704</v>
      </c>
      <c r="I468" s="11">
        <v>2025</v>
      </c>
      <c r="J468" s="12">
        <v>45728</v>
      </c>
      <c r="K468" s="1">
        <f>YEAR(Tableau13[[#This Row],[Date de déclaration]])</f>
        <v>2025</v>
      </c>
      <c r="L468" s="13">
        <v>4869542.0199999996</v>
      </c>
      <c r="M468" s="15">
        <f>Tableau13[[#This Row],[Année de déclaration]]-Tableau13[[#This Row],[Année de sinistre]]</f>
        <v>0</v>
      </c>
    </row>
    <row r="469" spans="1:13" x14ac:dyDescent="0.3">
      <c r="A469" s="11" t="s">
        <v>481</v>
      </c>
      <c r="B469" s="11" t="s">
        <v>16</v>
      </c>
      <c r="C469" s="11">
        <v>22429</v>
      </c>
      <c r="D469" s="12">
        <v>44977</v>
      </c>
      <c r="E469" s="11">
        <f>YEAR(Tableau13[[#This Row],[Date de sous]])</f>
        <v>2023</v>
      </c>
      <c r="F469" s="12">
        <v>44977</v>
      </c>
      <c r="G469" s="12">
        <v>46072</v>
      </c>
      <c r="H469" s="12">
        <v>45760</v>
      </c>
      <c r="I469" s="11">
        <v>2025</v>
      </c>
      <c r="J469" s="12">
        <v>45760</v>
      </c>
      <c r="K469" s="1">
        <f>YEAR(Tableau13[[#This Row],[Date de déclaration]])</f>
        <v>2025</v>
      </c>
      <c r="L469" s="13">
        <v>115000</v>
      </c>
      <c r="M469" s="15">
        <f>Tableau13[[#This Row],[Année de déclaration]]-Tableau13[[#This Row],[Année de sinistre]]</f>
        <v>0</v>
      </c>
    </row>
    <row r="470" spans="1:13" x14ac:dyDescent="0.3">
      <c r="A470" s="11" t="s">
        <v>482</v>
      </c>
      <c r="B470" s="11" t="s">
        <v>16</v>
      </c>
      <c r="C470" s="11">
        <v>17118</v>
      </c>
      <c r="D470" s="12">
        <v>44721</v>
      </c>
      <c r="E470" s="11">
        <f>YEAR(Tableau13[[#This Row],[Date de sous]])</f>
        <v>2022</v>
      </c>
      <c r="F470" s="12">
        <v>44721</v>
      </c>
      <c r="G470" s="12">
        <v>45816</v>
      </c>
      <c r="H470" s="12">
        <v>45712</v>
      </c>
      <c r="I470" s="11">
        <v>2025</v>
      </c>
      <c r="J470" s="12">
        <v>45733</v>
      </c>
      <c r="K470" s="1">
        <f>YEAR(Tableau13[[#This Row],[Date de déclaration]])</f>
        <v>2025</v>
      </c>
      <c r="L470" s="13">
        <v>125455.24</v>
      </c>
      <c r="M470" s="15">
        <f>Tableau13[[#This Row],[Année de déclaration]]-Tableau13[[#This Row],[Année de sinistre]]</f>
        <v>0</v>
      </c>
    </row>
    <row r="471" spans="1:13" x14ac:dyDescent="0.3">
      <c r="A471" s="11" t="s">
        <v>483</v>
      </c>
      <c r="B471" s="11" t="s">
        <v>16</v>
      </c>
      <c r="C471" s="11">
        <v>14309</v>
      </c>
      <c r="D471" s="12">
        <v>45559</v>
      </c>
      <c r="E471" s="11">
        <f>YEAR(Tableau13[[#This Row],[Date de sous]])</f>
        <v>2024</v>
      </c>
      <c r="F471" s="12">
        <v>45559</v>
      </c>
      <c r="G471" s="12">
        <v>47384</v>
      </c>
      <c r="H471" s="12">
        <v>45721</v>
      </c>
      <c r="I471" s="11">
        <v>2025</v>
      </c>
      <c r="J471" s="12">
        <v>45734</v>
      </c>
      <c r="K471" s="1">
        <f>YEAR(Tableau13[[#This Row],[Date de déclaration]])</f>
        <v>2025</v>
      </c>
      <c r="L471" s="13">
        <v>635827.54</v>
      </c>
      <c r="M471" s="15">
        <f>Tableau13[[#This Row],[Année de déclaration]]-Tableau13[[#This Row],[Année de sinistre]]</f>
        <v>0</v>
      </c>
    </row>
    <row r="472" spans="1:13" x14ac:dyDescent="0.3">
      <c r="A472" s="11" t="s">
        <v>484</v>
      </c>
      <c r="B472" s="11" t="s">
        <v>16</v>
      </c>
      <c r="C472" s="11">
        <v>9568</v>
      </c>
      <c r="D472" s="12">
        <v>45176</v>
      </c>
      <c r="E472" s="11">
        <f>YEAR(Tableau13[[#This Row],[Date de sous]])</f>
        <v>2023</v>
      </c>
      <c r="F472" s="12">
        <v>45176</v>
      </c>
      <c r="G472" s="12">
        <v>47002</v>
      </c>
      <c r="H472" s="12">
        <v>45436</v>
      </c>
      <c r="I472" s="11">
        <v>2024</v>
      </c>
      <c r="J472" s="12">
        <v>45736</v>
      </c>
      <c r="K472" s="1">
        <f>YEAR(Tableau13[[#This Row],[Date de déclaration]])</f>
        <v>2025</v>
      </c>
      <c r="L472" s="13">
        <v>721212.23</v>
      </c>
      <c r="M472" s="15">
        <f>Tableau13[[#This Row],[Année de déclaration]]-Tableau13[[#This Row],[Année de sinistre]]</f>
        <v>1</v>
      </c>
    </row>
    <row r="473" spans="1:13" x14ac:dyDescent="0.3">
      <c r="A473" s="11" t="s">
        <v>485</v>
      </c>
      <c r="B473" s="11" t="s">
        <v>16</v>
      </c>
      <c r="C473" s="11">
        <v>600067</v>
      </c>
      <c r="D473" s="12">
        <v>44777</v>
      </c>
      <c r="E473" s="11">
        <f>YEAR(Tableau13[[#This Row],[Date de sous]])</f>
        <v>2022</v>
      </c>
      <c r="F473" s="12">
        <v>44803</v>
      </c>
      <c r="G473" s="12">
        <v>46627</v>
      </c>
      <c r="H473" s="12">
        <v>45709</v>
      </c>
      <c r="I473" s="11">
        <v>2025</v>
      </c>
      <c r="J473" s="12">
        <v>45742</v>
      </c>
      <c r="K473" s="1">
        <f>YEAR(Tableau13[[#This Row],[Date de déclaration]])</f>
        <v>2025</v>
      </c>
      <c r="L473" s="13">
        <v>636170.68000000005</v>
      </c>
      <c r="M473" s="15">
        <f>Tableau13[[#This Row],[Année de déclaration]]-Tableau13[[#This Row],[Année de sinistre]]</f>
        <v>0</v>
      </c>
    </row>
    <row r="474" spans="1:13" x14ac:dyDescent="0.3">
      <c r="A474" s="11" t="s">
        <v>486</v>
      </c>
      <c r="B474" s="11" t="s">
        <v>16</v>
      </c>
      <c r="C474" s="11">
        <v>23530</v>
      </c>
      <c r="D474" s="12">
        <v>45007</v>
      </c>
      <c r="E474" s="11">
        <f>YEAR(Tableau13[[#This Row],[Date de sous]])</f>
        <v>2023</v>
      </c>
      <c r="F474" s="12">
        <v>45007</v>
      </c>
      <c r="G474" s="12">
        <v>46102</v>
      </c>
      <c r="H474" s="12">
        <v>45728</v>
      </c>
      <c r="I474" s="11">
        <v>2025</v>
      </c>
      <c r="J474" s="12">
        <v>45742</v>
      </c>
      <c r="K474" s="1">
        <f>YEAR(Tableau13[[#This Row],[Date de déclaration]])</f>
        <v>2025</v>
      </c>
      <c r="L474" s="13">
        <v>259003.96</v>
      </c>
      <c r="M474" s="15">
        <f>Tableau13[[#This Row],[Année de déclaration]]-Tableau13[[#This Row],[Année de sinistre]]</f>
        <v>0</v>
      </c>
    </row>
    <row r="475" spans="1:13" x14ac:dyDescent="0.3">
      <c r="A475" s="11" t="s">
        <v>487</v>
      </c>
      <c r="B475" s="11" t="s">
        <v>16</v>
      </c>
      <c r="C475" s="11">
        <v>13572</v>
      </c>
      <c r="D475" s="12">
        <v>45501</v>
      </c>
      <c r="E475" s="11">
        <f>YEAR(Tableau13[[#This Row],[Date de sous]])</f>
        <v>2024</v>
      </c>
      <c r="F475" s="12">
        <v>45501</v>
      </c>
      <c r="G475" s="12">
        <v>47326</v>
      </c>
      <c r="H475" s="12">
        <v>45705</v>
      </c>
      <c r="I475" s="11">
        <v>2025</v>
      </c>
      <c r="J475" s="12">
        <v>45742</v>
      </c>
      <c r="K475" s="1">
        <f>YEAR(Tableau13[[#This Row],[Date de déclaration]])</f>
        <v>2025</v>
      </c>
      <c r="L475" s="13">
        <v>669980.24</v>
      </c>
      <c r="M475" s="15">
        <f>Tableau13[[#This Row],[Année de déclaration]]-Tableau13[[#This Row],[Année de sinistre]]</f>
        <v>0</v>
      </c>
    </row>
    <row r="476" spans="1:13" x14ac:dyDescent="0.3">
      <c r="A476" s="11" t="s">
        <v>488</v>
      </c>
      <c r="B476" s="11" t="s">
        <v>16</v>
      </c>
      <c r="C476" s="11">
        <v>7808</v>
      </c>
      <c r="D476" s="12">
        <v>44963</v>
      </c>
      <c r="E476" s="11">
        <f>YEAR(Tableau13[[#This Row],[Date de sous]])</f>
        <v>2023</v>
      </c>
      <c r="F476" s="12">
        <v>44963</v>
      </c>
      <c r="G476" s="12">
        <v>46423</v>
      </c>
      <c r="H476" s="12">
        <v>45533</v>
      </c>
      <c r="I476" s="11">
        <v>2024</v>
      </c>
      <c r="J476" s="12">
        <v>45750</v>
      </c>
      <c r="K476" s="1">
        <f>YEAR(Tableau13[[#This Row],[Date de déclaration]])</f>
        <v>2025</v>
      </c>
      <c r="L476" s="13">
        <v>474113.03</v>
      </c>
      <c r="M476" s="15">
        <f>Tableau13[[#This Row],[Année de déclaration]]-Tableau13[[#This Row],[Année de sinistre]]</f>
        <v>1</v>
      </c>
    </row>
    <row r="477" spans="1:13" x14ac:dyDescent="0.3">
      <c r="A477" s="11" t="s">
        <v>489</v>
      </c>
      <c r="B477" s="11" t="s">
        <v>16</v>
      </c>
      <c r="C477" s="11">
        <v>10644</v>
      </c>
      <c r="D477" s="12">
        <v>45266</v>
      </c>
      <c r="E477" s="11">
        <f>YEAR(Tableau13[[#This Row],[Date de sous]])</f>
        <v>2023</v>
      </c>
      <c r="F477" s="12">
        <v>45266</v>
      </c>
      <c r="G477" s="12">
        <v>47092</v>
      </c>
      <c r="H477" s="12">
        <v>45452</v>
      </c>
      <c r="I477" s="11">
        <v>2024</v>
      </c>
      <c r="J477" s="12">
        <v>45750</v>
      </c>
      <c r="K477" s="1">
        <f>YEAR(Tableau13[[#This Row],[Date de déclaration]])</f>
        <v>2025</v>
      </c>
      <c r="L477" s="13">
        <v>462586.04</v>
      </c>
      <c r="M477" s="15">
        <f>Tableau13[[#This Row],[Année de déclaration]]-Tableau13[[#This Row],[Année de sinistre]]</f>
        <v>1</v>
      </c>
    </row>
    <row r="478" spans="1:13" x14ac:dyDescent="0.3">
      <c r="A478" s="11" t="s">
        <v>490</v>
      </c>
      <c r="B478" s="11" t="s">
        <v>13</v>
      </c>
      <c r="C478" s="11">
        <v>10324</v>
      </c>
      <c r="D478" s="12">
        <v>44146</v>
      </c>
      <c r="E478" s="11">
        <f>YEAR(Tableau13[[#This Row],[Date de sous]])</f>
        <v>2020</v>
      </c>
      <c r="F478" s="12">
        <v>44146</v>
      </c>
      <c r="G478" s="12" t="s">
        <v>491</v>
      </c>
      <c r="H478" s="12">
        <v>45623</v>
      </c>
      <c r="I478" s="11">
        <v>2024</v>
      </c>
      <c r="J478" s="12">
        <v>45753</v>
      </c>
      <c r="K478" s="1">
        <f>YEAR(Tableau13[[#This Row],[Date de déclaration]])</f>
        <v>2025</v>
      </c>
      <c r="L478" s="13">
        <v>3563836.69</v>
      </c>
      <c r="M478" s="15">
        <f>Tableau13[[#This Row],[Année de déclaration]]-Tableau13[[#This Row],[Année de sinistre]]</f>
        <v>1</v>
      </c>
    </row>
    <row r="479" spans="1:13" x14ac:dyDescent="0.3">
      <c r="A479" s="11" t="s">
        <v>492</v>
      </c>
      <c r="B479" s="11" t="s">
        <v>16</v>
      </c>
      <c r="C479" s="11">
        <v>10406</v>
      </c>
      <c r="D479" s="12">
        <v>45249</v>
      </c>
      <c r="E479" s="11">
        <f>YEAR(Tableau13[[#This Row],[Date de sous]])</f>
        <v>2023</v>
      </c>
      <c r="F479" s="12">
        <v>45249</v>
      </c>
      <c r="G479" s="12">
        <v>47075</v>
      </c>
      <c r="H479" s="12">
        <v>45412</v>
      </c>
      <c r="I479" s="11">
        <v>2024</v>
      </c>
      <c r="J479" s="12">
        <v>45754</v>
      </c>
      <c r="K479" s="1">
        <f>YEAR(Tableau13[[#This Row],[Date de déclaration]])</f>
        <v>2025</v>
      </c>
      <c r="L479" s="13">
        <v>917951.22</v>
      </c>
      <c r="M479" s="15">
        <f>Tableau13[[#This Row],[Année de déclaration]]-Tableau13[[#This Row],[Année de sinistre]]</f>
        <v>1</v>
      </c>
    </row>
    <row r="480" spans="1:13" x14ac:dyDescent="0.3">
      <c r="A480" s="11" t="s">
        <v>493</v>
      </c>
      <c r="B480" s="11" t="s">
        <v>16</v>
      </c>
      <c r="C480" s="11">
        <v>30976</v>
      </c>
      <c r="D480" s="12">
        <v>45259</v>
      </c>
      <c r="E480" s="11">
        <f>YEAR(Tableau13[[#This Row],[Date de sous]])</f>
        <v>2023</v>
      </c>
      <c r="F480" s="12">
        <v>45260</v>
      </c>
      <c r="G480" s="12">
        <v>46355</v>
      </c>
      <c r="H480" s="12">
        <v>45723</v>
      </c>
      <c r="I480" s="11">
        <v>2025</v>
      </c>
      <c r="J480" s="12">
        <v>45754</v>
      </c>
      <c r="K480" s="1">
        <f>YEAR(Tableau13[[#This Row],[Date de déclaration]])</f>
        <v>2025</v>
      </c>
      <c r="L480" s="13">
        <v>559035.06000000006</v>
      </c>
      <c r="M480" s="15">
        <f>Tableau13[[#This Row],[Année de déclaration]]-Tableau13[[#This Row],[Année de sinistre]]</f>
        <v>0</v>
      </c>
    </row>
    <row r="481" spans="1:13" x14ac:dyDescent="0.3">
      <c r="A481" s="11" t="s">
        <v>494</v>
      </c>
      <c r="B481" s="11" t="s">
        <v>16</v>
      </c>
      <c r="C481" s="11">
        <v>17041</v>
      </c>
      <c r="D481" s="12">
        <v>44605</v>
      </c>
      <c r="E481" s="11">
        <f>YEAR(Tableau13[[#This Row],[Date de sous]])</f>
        <v>2022</v>
      </c>
      <c r="F481" s="12">
        <v>44605</v>
      </c>
      <c r="G481" s="12">
        <v>47891</v>
      </c>
      <c r="H481" s="12">
        <v>44917</v>
      </c>
      <c r="I481" s="11">
        <v>2022</v>
      </c>
      <c r="J481" s="12">
        <v>45756</v>
      </c>
      <c r="K481" s="1">
        <f>YEAR(Tableau13[[#This Row],[Date de déclaration]])</f>
        <v>2025</v>
      </c>
      <c r="L481" s="13">
        <v>900000</v>
      </c>
      <c r="M481" s="15">
        <f>Tableau13[[#This Row],[Année de déclaration]]-Tableau13[[#This Row],[Année de sinistre]]</f>
        <v>3</v>
      </c>
    </row>
    <row r="482" spans="1:13" x14ac:dyDescent="0.3">
      <c r="A482" s="11" t="s">
        <v>495</v>
      </c>
      <c r="B482" s="11" t="s">
        <v>16</v>
      </c>
      <c r="C482" s="11">
        <v>33746</v>
      </c>
      <c r="D482" s="12">
        <v>45431</v>
      </c>
      <c r="E482" s="11">
        <f>YEAR(Tableau13[[#This Row],[Date de sous]])</f>
        <v>2024</v>
      </c>
      <c r="F482" s="12">
        <v>45431</v>
      </c>
      <c r="G482" s="12" t="s">
        <v>496</v>
      </c>
      <c r="H482" s="12">
        <v>45709</v>
      </c>
      <c r="I482" s="11">
        <v>2025</v>
      </c>
      <c r="J482" s="12">
        <v>45757</v>
      </c>
      <c r="K482" s="1">
        <f>YEAR(Tableau13[[#This Row],[Date de déclaration]])</f>
        <v>2025</v>
      </c>
      <c r="L482" s="13">
        <v>458849.95</v>
      </c>
      <c r="M482" s="15">
        <f>Tableau13[[#This Row],[Année de déclaration]]-Tableau13[[#This Row],[Année de sinistre]]</f>
        <v>0</v>
      </c>
    </row>
    <row r="483" spans="1:13" x14ac:dyDescent="0.3">
      <c r="A483" s="11" t="s">
        <v>497</v>
      </c>
      <c r="B483" s="11" t="s">
        <v>16</v>
      </c>
      <c r="C483" s="11">
        <v>31550</v>
      </c>
      <c r="D483" s="12">
        <v>45377</v>
      </c>
      <c r="E483" s="11">
        <f>YEAR(Tableau13[[#This Row],[Date de sous]])</f>
        <v>2024</v>
      </c>
      <c r="F483" s="12">
        <v>45377</v>
      </c>
      <c r="G483" s="12">
        <v>47932</v>
      </c>
      <c r="H483" s="12">
        <v>45745</v>
      </c>
      <c r="I483" s="11">
        <v>2025</v>
      </c>
      <c r="J483" s="12">
        <v>45760</v>
      </c>
      <c r="K483" s="1">
        <f>YEAR(Tableau13[[#This Row],[Date de déclaration]])</f>
        <v>2025</v>
      </c>
      <c r="L483" s="13">
        <v>3106353.43</v>
      </c>
      <c r="M483" s="15">
        <f>Tableau13[[#This Row],[Année de déclaration]]-Tableau13[[#This Row],[Année de sinistre]]</f>
        <v>0</v>
      </c>
    </row>
    <row r="484" spans="1:13" x14ac:dyDescent="0.3">
      <c r="A484" s="11" t="s">
        <v>498</v>
      </c>
      <c r="B484" s="11" t="s">
        <v>16</v>
      </c>
      <c r="C484" s="11">
        <v>11003</v>
      </c>
      <c r="D484" s="12">
        <v>45291</v>
      </c>
      <c r="E484" s="11">
        <f>YEAR(Tableau13[[#This Row],[Date de sous]])</f>
        <v>2023</v>
      </c>
      <c r="F484" s="12">
        <v>45291</v>
      </c>
      <c r="G484" s="12">
        <v>47117</v>
      </c>
      <c r="H484" s="12">
        <v>45750</v>
      </c>
      <c r="I484" s="11">
        <v>2025</v>
      </c>
      <c r="J484" s="12">
        <v>45761</v>
      </c>
      <c r="K484" s="1">
        <f>YEAR(Tableau13[[#This Row],[Date de déclaration]])</f>
        <v>2025</v>
      </c>
      <c r="L484" s="13">
        <v>481494.61</v>
      </c>
      <c r="M484" s="15">
        <f>Tableau13[[#This Row],[Année de déclaration]]-Tableau13[[#This Row],[Année de sinistre]]</f>
        <v>0</v>
      </c>
    </row>
    <row r="485" spans="1:13" x14ac:dyDescent="0.3">
      <c r="A485" s="11" t="s">
        <v>499</v>
      </c>
      <c r="B485" s="11" t="s">
        <v>16</v>
      </c>
      <c r="C485" s="11">
        <v>32386</v>
      </c>
      <c r="D485" s="12">
        <v>45427</v>
      </c>
      <c r="E485" s="11">
        <f>YEAR(Tableau13[[#This Row],[Date de sous]])</f>
        <v>2024</v>
      </c>
      <c r="F485" s="12">
        <v>45427</v>
      </c>
      <c r="G485" s="12">
        <v>57479</v>
      </c>
      <c r="H485" s="12">
        <v>45751</v>
      </c>
      <c r="I485" s="11">
        <v>2025</v>
      </c>
      <c r="J485" s="12">
        <v>45767</v>
      </c>
      <c r="K485" s="1">
        <f>YEAR(Tableau13[[#This Row],[Date de déclaration]])</f>
        <v>2025</v>
      </c>
      <c r="L485" s="13">
        <v>7615746.2686567167</v>
      </c>
      <c r="M485" s="15">
        <f>Tableau13[[#This Row],[Année de déclaration]]-Tableau13[[#This Row],[Année de sinistre]]</f>
        <v>0</v>
      </c>
    </row>
    <row r="486" spans="1:13" x14ac:dyDescent="0.3">
      <c r="A486" s="11" t="s">
        <v>500</v>
      </c>
      <c r="B486" s="11" t="s">
        <v>16</v>
      </c>
      <c r="C486" s="11">
        <v>21911</v>
      </c>
      <c r="D486" s="12">
        <v>44959</v>
      </c>
      <c r="E486" s="11">
        <f>YEAR(Tableau13[[#This Row],[Date de sous]])</f>
        <v>2023</v>
      </c>
      <c r="F486" s="12">
        <v>44959</v>
      </c>
      <c r="G486" s="12">
        <v>46054</v>
      </c>
      <c r="H486" s="12">
        <v>45766</v>
      </c>
      <c r="I486" s="11">
        <v>2025</v>
      </c>
      <c r="J486" s="12">
        <v>45767</v>
      </c>
      <c r="K486" s="1">
        <f>YEAR(Tableau13[[#This Row],[Date de déclaration]])</f>
        <v>2025</v>
      </c>
      <c r="L486" s="13">
        <v>322231.2</v>
      </c>
      <c r="M486" s="15">
        <f>Tableau13[[#This Row],[Année de déclaration]]-Tableau13[[#This Row],[Année de sinistre]]</f>
        <v>0</v>
      </c>
    </row>
    <row r="487" spans="1:13" x14ac:dyDescent="0.3">
      <c r="A487" s="11" t="s">
        <v>501</v>
      </c>
      <c r="B487" s="11" t="s">
        <v>16</v>
      </c>
      <c r="C487" s="11">
        <v>16057</v>
      </c>
      <c r="D487" s="12">
        <v>44539</v>
      </c>
      <c r="E487" s="11">
        <f>YEAR(Tableau13[[#This Row],[Date de sous]])</f>
        <v>2021</v>
      </c>
      <c r="F487" s="12">
        <v>44539</v>
      </c>
      <c r="G487" s="12">
        <v>55495</v>
      </c>
      <c r="H487" s="12">
        <v>45739</v>
      </c>
      <c r="I487" s="11">
        <v>2025</v>
      </c>
      <c r="J487" s="12">
        <v>45770</v>
      </c>
      <c r="K487" s="1">
        <f>YEAR(Tableau13[[#This Row],[Date de déclaration]])</f>
        <v>2025</v>
      </c>
      <c r="L487" s="13">
        <v>9782109.4600000009</v>
      </c>
      <c r="M487" s="15">
        <f>Tableau13[[#This Row],[Année de déclaration]]-Tableau13[[#This Row],[Année de sinistre]]</f>
        <v>0</v>
      </c>
    </row>
    <row r="488" spans="1:13" x14ac:dyDescent="0.3">
      <c r="A488" s="11" t="s">
        <v>502</v>
      </c>
      <c r="B488" s="11" t="s">
        <v>16</v>
      </c>
      <c r="C488" s="11">
        <v>11072</v>
      </c>
      <c r="D488" s="12">
        <v>45299</v>
      </c>
      <c r="E488" s="11">
        <f>YEAR(Tableau13[[#This Row],[Date de sous]])</f>
        <v>2024</v>
      </c>
      <c r="F488" s="12">
        <v>45299</v>
      </c>
      <c r="G488" s="12">
        <v>46394</v>
      </c>
      <c r="H488" s="12">
        <v>45573</v>
      </c>
      <c r="I488" s="11">
        <v>2024</v>
      </c>
      <c r="J488" s="12">
        <v>45776</v>
      </c>
      <c r="K488" s="1">
        <f>YEAR(Tableau13[[#This Row],[Date de déclaration]])</f>
        <v>2025</v>
      </c>
      <c r="L488" s="13">
        <v>313011.81</v>
      </c>
      <c r="M488" s="15">
        <f>Tableau13[[#This Row],[Année de déclaration]]-Tableau13[[#This Row],[Année de sinistre]]</f>
        <v>1</v>
      </c>
    </row>
    <row r="489" spans="1:13" x14ac:dyDescent="0.3">
      <c r="A489" s="11" t="s">
        <v>503</v>
      </c>
      <c r="B489" s="11" t="s">
        <v>16</v>
      </c>
      <c r="C489" s="11">
        <v>18750</v>
      </c>
      <c r="D489" s="12">
        <v>44838</v>
      </c>
      <c r="E489" s="11">
        <f>YEAR(Tableau13[[#This Row],[Date de sous]])</f>
        <v>2022</v>
      </c>
      <c r="F489" s="12">
        <v>44838</v>
      </c>
      <c r="G489" s="12">
        <v>45933</v>
      </c>
      <c r="H489" s="12">
        <v>45768</v>
      </c>
      <c r="I489" s="11">
        <v>2025</v>
      </c>
      <c r="J489" s="12">
        <v>45777</v>
      </c>
      <c r="K489" s="1">
        <f>YEAR(Tableau13[[#This Row],[Date de déclaration]])</f>
        <v>2025</v>
      </c>
      <c r="L489" s="13">
        <v>142004.19</v>
      </c>
      <c r="M489" s="15">
        <f>Tableau13[[#This Row],[Année de déclaration]]-Tableau13[[#This Row],[Année de sinistre]]</f>
        <v>0</v>
      </c>
    </row>
    <row r="490" spans="1:13" x14ac:dyDescent="0.3">
      <c r="A490" s="11" t="s">
        <v>504</v>
      </c>
      <c r="B490" s="11" t="s">
        <v>16</v>
      </c>
      <c r="C490" s="11">
        <v>3169</v>
      </c>
      <c r="D490" s="12">
        <v>44531</v>
      </c>
      <c r="E490" s="11">
        <f>YEAR(Tableau13[[#This Row],[Date de sous]])</f>
        <v>2021</v>
      </c>
      <c r="F490" s="12">
        <v>44531</v>
      </c>
      <c r="G490" s="12">
        <v>45991</v>
      </c>
      <c r="H490" s="12">
        <v>45731</v>
      </c>
      <c r="I490" s="11">
        <v>2025</v>
      </c>
      <c r="J490" s="12">
        <v>45777</v>
      </c>
      <c r="K490" s="1">
        <f>YEAR(Tableau13[[#This Row],[Date de déclaration]])</f>
        <v>2025</v>
      </c>
      <c r="L490" s="13">
        <v>77142.857142857159</v>
      </c>
      <c r="M490" s="15">
        <f>Tableau13[[#This Row],[Année de déclaration]]-Tableau13[[#This Row],[Année de sinistre]]</f>
        <v>0</v>
      </c>
    </row>
    <row r="491" spans="1:13" x14ac:dyDescent="0.3">
      <c r="A491" s="11" t="s">
        <v>505</v>
      </c>
      <c r="B491" s="11" t="s">
        <v>16</v>
      </c>
      <c r="C491" s="11">
        <v>864</v>
      </c>
      <c r="D491" s="12">
        <v>44341</v>
      </c>
      <c r="E491" s="11">
        <f>YEAR(Tableau13[[#This Row],[Date de sous]])</f>
        <v>2021</v>
      </c>
      <c r="F491" s="12">
        <v>44341</v>
      </c>
      <c r="G491" s="12">
        <v>46166</v>
      </c>
      <c r="H491" s="12">
        <v>44741</v>
      </c>
      <c r="I491" s="11">
        <v>2022</v>
      </c>
      <c r="J491" s="12">
        <v>45777</v>
      </c>
      <c r="K491" s="1">
        <f>YEAR(Tableau13[[#This Row],[Date de déclaration]])</f>
        <v>2025</v>
      </c>
      <c r="L491" s="13">
        <v>590932.66</v>
      </c>
      <c r="M491" s="15">
        <f>Tableau13[[#This Row],[Année de déclaration]]-Tableau13[[#This Row],[Année de sinistre]]</f>
        <v>3</v>
      </c>
    </row>
    <row r="492" spans="1:13" x14ac:dyDescent="0.3">
      <c r="A492" s="11" t="s">
        <v>506</v>
      </c>
      <c r="B492" s="11" t="s">
        <v>13</v>
      </c>
      <c r="C492" s="11">
        <v>10793</v>
      </c>
      <c r="D492" s="12">
        <v>44188</v>
      </c>
      <c r="E492" s="11">
        <f>YEAR(Tableau13[[#This Row],[Date de sous]])</f>
        <v>2020</v>
      </c>
      <c r="F492" s="12">
        <v>44188</v>
      </c>
      <c r="G492" s="12">
        <v>49669</v>
      </c>
      <c r="H492" s="12">
        <v>45771</v>
      </c>
      <c r="I492" s="11">
        <v>2025</v>
      </c>
      <c r="J492" s="12">
        <v>45781</v>
      </c>
      <c r="K492" s="1">
        <f>YEAR(Tableau13[[#This Row],[Date de déclaration]])</f>
        <v>2025</v>
      </c>
      <c r="L492" s="13">
        <v>2739513.83</v>
      </c>
      <c r="M492" s="15">
        <f>Tableau13[[#This Row],[Année de déclaration]]-Tableau13[[#This Row],[Année de sinistre]]</f>
        <v>0</v>
      </c>
    </row>
    <row r="493" spans="1:13" x14ac:dyDescent="0.3">
      <c r="A493" s="11" t="s">
        <v>507</v>
      </c>
      <c r="B493" s="11" t="s">
        <v>13</v>
      </c>
      <c r="C493" s="11">
        <v>4068</v>
      </c>
      <c r="D493" s="12">
        <v>43459</v>
      </c>
      <c r="E493" s="11">
        <f>YEAR(Tableau13[[#This Row],[Date de sous]])</f>
        <v>2018</v>
      </c>
      <c r="F493" s="12">
        <v>43157</v>
      </c>
      <c r="G493" s="12">
        <v>56599</v>
      </c>
      <c r="H493" s="12">
        <v>45743</v>
      </c>
      <c r="I493" s="11">
        <v>2025</v>
      </c>
      <c r="J493" s="12">
        <v>45783</v>
      </c>
      <c r="K493" s="1">
        <f>YEAR(Tableau13[[#This Row],[Date de déclaration]])</f>
        <v>2025</v>
      </c>
      <c r="L493" s="13">
        <v>8891826.2300000004</v>
      </c>
      <c r="M493" s="15">
        <f>Tableau13[[#This Row],[Année de déclaration]]-Tableau13[[#This Row],[Année de sinistre]]</f>
        <v>0</v>
      </c>
    </row>
    <row r="494" spans="1:13" x14ac:dyDescent="0.3">
      <c r="A494" s="11" t="s">
        <v>508</v>
      </c>
      <c r="B494" s="11" t="s">
        <v>16</v>
      </c>
      <c r="C494" s="11">
        <v>28861</v>
      </c>
      <c r="D494" s="12">
        <v>45151</v>
      </c>
      <c r="E494" s="11">
        <f>YEAR(Tableau13[[#This Row],[Date de sous]])</f>
        <v>2023</v>
      </c>
      <c r="F494" s="12">
        <v>45152</v>
      </c>
      <c r="G494" s="12">
        <v>46247</v>
      </c>
      <c r="H494" s="12">
        <v>45756</v>
      </c>
      <c r="I494" s="11">
        <v>2025</v>
      </c>
      <c r="J494" s="12">
        <v>45784</v>
      </c>
      <c r="K494" s="1">
        <f>YEAR(Tableau13[[#This Row],[Date de déclaration]])</f>
        <v>2025</v>
      </c>
      <c r="L494" s="13">
        <v>503972.81</v>
      </c>
      <c r="M494" s="15">
        <f>Tableau13[[#This Row],[Année de déclaration]]-Tableau13[[#This Row],[Année de sinistre]]</f>
        <v>0</v>
      </c>
    </row>
    <row r="495" spans="1:13" x14ac:dyDescent="0.3">
      <c r="A495" s="11" t="s">
        <v>509</v>
      </c>
      <c r="B495" s="11" t="s">
        <v>13</v>
      </c>
      <c r="C495" s="11">
        <v>6273</v>
      </c>
      <c r="D495" s="12">
        <v>43671</v>
      </c>
      <c r="E495" s="11">
        <f>YEAR(Tableau13[[#This Row],[Date de sous]])</f>
        <v>2019</v>
      </c>
      <c r="F495" s="12">
        <v>43572</v>
      </c>
      <c r="G495" s="12">
        <v>47951</v>
      </c>
      <c r="H495" s="12">
        <v>45773</v>
      </c>
      <c r="I495" s="11">
        <v>2025</v>
      </c>
      <c r="J495" s="12">
        <v>45791</v>
      </c>
      <c r="K495" s="1">
        <f>YEAR(Tableau13[[#This Row],[Date de déclaration]])</f>
        <v>2025</v>
      </c>
      <c r="L495" s="13">
        <v>1349064.96</v>
      </c>
      <c r="M495" s="15">
        <f>Tableau13[[#This Row],[Année de déclaration]]-Tableau13[[#This Row],[Année de sinistre]]</f>
        <v>0</v>
      </c>
    </row>
    <row r="496" spans="1:13" x14ac:dyDescent="0.3">
      <c r="A496" s="11" t="s">
        <v>510</v>
      </c>
      <c r="B496" s="11" t="s">
        <v>16</v>
      </c>
      <c r="C496" s="11">
        <v>17571</v>
      </c>
      <c r="D496" s="12">
        <v>44746</v>
      </c>
      <c r="E496" s="11">
        <f>YEAR(Tableau13[[#This Row],[Date de sous]])</f>
        <v>2022</v>
      </c>
      <c r="F496" s="12">
        <v>44747</v>
      </c>
      <c r="G496" s="12">
        <v>45842</v>
      </c>
      <c r="H496" s="12">
        <v>45741</v>
      </c>
      <c r="I496" s="11">
        <v>2025</v>
      </c>
      <c r="J496" s="12">
        <v>45792</v>
      </c>
      <c r="K496" s="1">
        <f>YEAR(Tableau13[[#This Row],[Date de déclaration]])</f>
        <v>2025</v>
      </c>
      <c r="L496" s="13">
        <v>125306.9</v>
      </c>
      <c r="M496" s="15">
        <f>Tableau13[[#This Row],[Année de déclaration]]-Tableau13[[#This Row],[Année de sinistre]]</f>
        <v>0</v>
      </c>
    </row>
    <row r="497" spans="1:13" x14ac:dyDescent="0.3">
      <c r="A497" s="11" t="s">
        <v>511</v>
      </c>
      <c r="B497" s="11" t="s">
        <v>16</v>
      </c>
      <c r="C497" s="11">
        <v>22665</v>
      </c>
      <c r="D497" s="12">
        <v>44983</v>
      </c>
      <c r="E497" s="11">
        <f>YEAR(Tableau13[[#This Row],[Date de sous]])</f>
        <v>2023</v>
      </c>
      <c r="F497" s="12">
        <v>44990</v>
      </c>
      <c r="G497" s="12">
        <v>45720</v>
      </c>
      <c r="H497" s="12">
        <v>45763</v>
      </c>
      <c r="I497" s="11">
        <v>2025</v>
      </c>
      <c r="J497" s="12">
        <v>45796</v>
      </c>
      <c r="K497" s="1">
        <f>YEAR(Tableau13[[#This Row],[Date de déclaration]])</f>
        <v>2025</v>
      </c>
      <c r="L497" s="13">
        <v>168966.17</v>
      </c>
      <c r="M497" s="15">
        <f>Tableau13[[#This Row],[Année de déclaration]]-Tableau13[[#This Row],[Année de sinistre]]</f>
        <v>0</v>
      </c>
    </row>
    <row r="498" spans="1:13" x14ac:dyDescent="0.3">
      <c r="A498" s="11" t="s">
        <v>512</v>
      </c>
      <c r="B498" s="11" t="s">
        <v>16</v>
      </c>
      <c r="C498" s="11">
        <v>12231</v>
      </c>
      <c r="D498" s="12">
        <v>45389</v>
      </c>
      <c r="E498" s="11">
        <f>YEAR(Tableau13[[#This Row],[Date de sous]])</f>
        <v>2024</v>
      </c>
      <c r="F498" s="12">
        <v>45389</v>
      </c>
      <c r="G498" s="12">
        <v>47214</v>
      </c>
      <c r="H498" s="12">
        <v>45778</v>
      </c>
      <c r="I498" s="11">
        <v>2025</v>
      </c>
      <c r="J498" s="12">
        <v>45797</v>
      </c>
      <c r="K498" s="1">
        <f>YEAR(Tableau13[[#This Row],[Date de déclaration]])</f>
        <v>2025</v>
      </c>
      <c r="L498" s="13">
        <v>595666.77</v>
      </c>
      <c r="M498" s="15">
        <f>Tableau13[[#This Row],[Année de déclaration]]-Tableau13[[#This Row],[Année de sinistre]]</f>
        <v>0</v>
      </c>
    </row>
    <row r="499" spans="1:13" x14ac:dyDescent="0.3">
      <c r="A499" s="11" t="s">
        <v>513</v>
      </c>
      <c r="B499" s="11" t="s">
        <v>16</v>
      </c>
      <c r="C499" s="11">
        <v>4579</v>
      </c>
      <c r="D499" s="12">
        <v>44656</v>
      </c>
      <c r="E499" s="11">
        <f>YEAR(Tableau13[[#This Row],[Date de sous]])</f>
        <v>2022</v>
      </c>
      <c r="F499" s="12">
        <v>44656</v>
      </c>
      <c r="G499" s="12">
        <v>46481</v>
      </c>
      <c r="H499" s="12">
        <v>45583</v>
      </c>
      <c r="I499" s="11">
        <v>2024</v>
      </c>
      <c r="J499" s="12">
        <v>45798</v>
      </c>
      <c r="K499" s="1">
        <f>YEAR(Tableau13[[#This Row],[Date de déclaration]])</f>
        <v>2025</v>
      </c>
      <c r="L499" s="13">
        <v>455242</v>
      </c>
      <c r="M499" s="15">
        <f>Tableau13[[#This Row],[Année de déclaration]]-Tableau13[[#This Row],[Année de sinistre]]</f>
        <v>1</v>
      </c>
    </row>
    <row r="500" spans="1:13" x14ac:dyDescent="0.3">
      <c r="A500" s="11" t="s">
        <v>514</v>
      </c>
      <c r="B500" s="11" t="s">
        <v>16</v>
      </c>
      <c r="C500" s="11">
        <v>11162</v>
      </c>
      <c r="D500" s="12">
        <v>45306</v>
      </c>
      <c r="E500" s="11">
        <f>YEAR(Tableau13[[#This Row],[Date de sous]])</f>
        <v>2024</v>
      </c>
      <c r="F500" s="12">
        <v>45306</v>
      </c>
      <c r="G500" s="12">
        <v>46766</v>
      </c>
      <c r="H500" s="12">
        <v>45763</v>
      </c>
      <c r="I500" s="11">
        <v>2025</v>
      </c>
      <c r="J500" s="12">
        <v>45798</v>
      </c>
      <c r="K500" s="1">
        <f>YEAR(Tableau13[[#This Row],[Date de déclaration]])</f>
        <v>2025</v>
      </c>
      <c r="L500" s="13">
        <v>185643.51</v>
      </c>
      <c r="M500" s="15">
        <f>Tableau13[[#This Row],[Année de déclaration]]-Tableau13[[#This Row],[Année de sinistre]]</f>
        <v>0</v>
      </c>
    </row>
    <row r="501" spans="1:13" x14ac:dyDescent="0.3">
      <c r="A501" s="11" t="s">
        <v>515</v>
      </c>
      <c r="B501" s="11" t="s">
        <v>16</v>
      </c>
      <c r="C501" s="11">
        <v>36728</v>
      </c>
      <c r="D501" s="12">
        <v>45631</v>
      </c>
      <c r="E501" s="11">
        <f>YEAR(Tableau13[[#This Row],[Date de sous]])</f>
        <v>2024</v>
      </c>
      <c r="F501" s="12">
        <v>45631</v>
      </c>
      <c r="G501" s="12">
        <v>46725</v>
      </c>
      <c r="H501" s="12">
        <v>45778</v>
      </c>
      <c r="I501" s="11">
        <v>2025</v>
      </c>
      <c r="J501" s="12">
        <v>45799</v>
      </c>
      <c r="K501" s="1">
        <f>YEAR(Tableau13[[#This Row],[Date de déclaration]])</f>
        <v>2025</v>
      </c>
      <c r="L501" s="13">
        <v>649942.26</v>
      </c>
      <c r="M501" s="15">
        <f>Tableau13[[#This Row],[Année de déclaration]]-Tableau13[[#This Row],[Année de sinistre]]</f>
        <v>0</v>
      </c>
    </row>
    <row r="502" spans="1:13" x14ac:dyDescent="0.3">
      <c r="A502" s="11" t="s">
        <v>516</v>
      </c>
      <c r="B502" s="11" t="s">
        <v>16</v>
      </c>
      <c r="C502" s="11">
        <v>30234</v>
      </c>
      <c r="D502" s="12">
        <v>45223</v>
      </c>
      <c r="E502" s="11">
        <f>YEAR(Tableau13[[#This Row],[Date de sous]])</f>
        <v>2023</v>
      </c>
      <c r="F502" s="12">
        <v>45223</v>
      </c>
      <c r="G502" s="12">
        <v>46318</v>
      </c>
      <c r="H502" s="12">
        <v>45749</v>
      </c>
      <c r="I502" s="11">
        <v>2025</v>
      </c>
      <c r="J502" s="12">
        <v>45802</v>
      </c>
      <c r="K502" s="1">
        <f>YEAR(Tableau13[[#This Row],[Date de déclaration]])</f>
        <v>2025</v>
      </c>
      <c r="L502" s="13">
        <v>148918.91891891893</v>
      </c>
      <c r="M502" s="15">
        <f>Tableau13[[#This Row],[Année de déclaration]]-Tableau13[[#This Row],[Année de sinistre]]</f>
        <v>0</v>
      </c>
    </row>
    <row r="503" spans="1:13" x14ac:dyDescent="0.3">
      <c r="A503" s="11" t="s">
        <v>517</v>
      </c>
      <c r="B503" s="11" t="s">
        <v>16</v>
      </c>
      <c r="C503" s="11">
        <v>17023</v>
      </c>
      <c r="D503" s="12">
        <v>44602</v>
      </c>
      <c r="E503" s="11">
        <f>YEAR(Tableau13[[#This Row],[Date de sous]])</f>
        <v>2022</v>
      </c>
      <c r="F503" s="12">
        <v>44602</v>
      </c>
      <c r="G503" s="12">
        <v>19033</v>
      </c>
      <c r="H503" s="12">
        <v>45771</v>
      </c>
      <c r="I503" s="11">
        <v>2025</v>
      </c>
      <c r="J503" s="12">
        <v>45803</v>
      </c>
      <c r="K503" s="1">
        <f>YEAR(Tableau13[[#This Row],[Date de déclaration]])</f>
        <v>2025</v>
      </c>
      <c r="L503" s="13">
        <v>5571750</v>
      </c>
      <c r="M503" s="15">
        <f>Tableau13[[#This Row],[Année de déclaration]]-Tableau13[[#This Row],[Année de sinistre]]</f>
        <v>0</v>
      </c>
    </row>
    <row r="504" spans="1:13" x14ac:dyDescent="0.3">
      <c r="A504" s="11" t="s">
        <v>518</v>
      </c>
      <c r="B504" s="11" t="s">
        <v>16</v>
      </c>
      <c r="C504" s="11">
        <v>33134</v>
      </c>
      <c r="D504" s="12">
        <v>45389</v>
      </c>
      <c r="E504" s="11">
        <f>YEAR(Tableau13[[#This Row],[Date de sous]])</f>
        <v>2024</v>
      </c>
      <c r="F504" s="12">
        <v>45389</v>
      </c>
      <c r="G504" s="12">
        <v>46483</v>
      </c>
      <c r="H504" s="12">
        <v>45459</v>
      </c>
      <c r="I504" s="11">
        <v>2024</v>
      </c>
      <c r="J504" s="12">
        <v>45805</v>
      </c>
      <c r="K504" s="1">
        <f>YEAR(Tableau13[[#This Row],[Date de déclaration]])</f>
        <v>2025</v>
      </c>
      <c r="L504" s="13">
        <v>282388.88888888888</v>
      </c>
      <c r="M504" s="15">
        <f>Tableau13[[#This Row],[Année de déclaration]]-Tableau13[[#This Row],[Année de sinistre]]</f>
        <v>1</v>
      </c>
    </row>
    <row r="505" spans="1:13" x14ac:dyDescent="0.3">
      <c r="A505" s="11" t="s">
        <v>519</v>
      </c>
      <c r="B505" s="11" t="s">
        <v>16</v>
      </c>
      <c r="C505" s="11">
        <v>27531</v>
      </c>
      <c r="D505" s="12">
        <v>45113</v>
      </c>
      <c r="E505" s="11">
        <f>YEAR(Tableau13[[#This Row],[Date de sous]])</f>
        <v>2023</v>
      </c>
      <c r="F505" s="12">
        <v>45114</v>
      </c>
      <c r="G505" s="12">
        <v>46209</v>
      </c>
      <c r="H505" s="12">
        <v>45780</v>
      </c>
      <c r="I505" s="11">
        <v>2025</v>
      </c>
      <c r="J505" s="12">
        <v>45811</v>
      </c>
      <c r="K505" s="1">
        <f>YEAR(Tableau13[[#This Row],[Date de déclaration]])</f>
        <v>2025</v>
      </c>
      <c r="L505" s="13">
        <v>259459.45945945947</v>
      </c>
      <c r="M505" s="15">
        <f>Tableau13[[#This Row],[Année de déclaration]]-Tableau13[[#This Row],[Année de sinistre]]</f>
        <v>0</v>
      </c>
    </row>
    <row r="506" spans="1:13" x14ac:dyDescent="0.3">
      <c r="A506" s="11" t="s">
        <v>520</v>
      </c>
      <c r="B506" s="11" t="s">
        <v>13</v>
      </c>
      <c r="C506" s="11">
        <v>24160</v>
      </c>
      <c r="D506" s="12">
        <v>45001</v>
      </c>
      <c r="E506" s="11">
        <f>YEAR(Tableau13[[#This Row],[Date de sous]])</f>
        <v>2023</v>
      </c>
      <c r="F506" s="12">
        <v>45001</v>
      </c>
      <c r="G506" s="12">
        <v>53766</v>
      </c>
      <c r="H506" s="12">
        <v>45621</v>
      </c>
      <c r="I506" s="11">
        <v>2024</v>
      </c>
      <c r="J506" s="12">
        <v>45812</v>
      </c>
      <c r="K506" s="1">
        <f>YEAR(Tableau13[[#This Row],[Date de déclaration]])</f>
        <v>2025</v>
      </c>
      <c r="L506" s="13">
        <v>4459185</v>
      </c>
      <c r="M506" s="15">
        <f>Tableau13[[#This Row],[Année de déclaration]]-Tableau13[[#This Row],[Année de sinistre]]</f>
        <v>1</v>
      </c>
    </row>
    <row r="507" spans="1:13" x14ac:dyDescent="0.3">
      <c r="A507" s="11" t="s">
        <v>521</v>
      </c>
      <c r="B507" s="11" t="s">
        <v>16</v>
      </c>
      <c r="C507" s="11">
        <v>4612</v>
      </c>
      <c r="D507" s="12">
        <v>44658</v>
      </c>
      <c r="E507" s="11">
        <f>YEAR(Tableau13[[#This Row],[Date de sous]])</f>
        <v>2022</v>
      </c>
      <c r="F507" s="12">
        <v>44658</v>
      </c>
      <c r="G507" s="12">
        <v>46483</v>
      </c>
      <c r="H507" s="12">
        <v>45652</v>
      </c>
      <c r="I507" s="11">
        <v>2024</v>
      </c>
      <c r="J507" s="12">
        <v>45818</v>
      </c>
      <c r="K507" s="1">
        <f>YEAR(Tableau13[[#This Row],[Date de déclaration]])</f>
        <v>2025</v>
      </c>
      <c r="L507" s="13">
        <v>326203.19</v>
      </c>
      <c r="M507" s="15">
        <f>Tableau13[[#This Row],[Année de déclaration]]-Tableau13[[#This Row],[Année de sinistre]]</f>
        <v>1</v>
      </c>
    </row>
    <row r="508" spans="1:13" x14ac:dyDescent="0.3">
      <c r="A508" s="11" t="s">
        <v>522</v>
      </c>
      <c r="B508" s="11" t="s">
        <v>16</v>
      </c>
      <c r="C508" s="11">
        <v>2962</v>
      </c>
      <c r="D508" s="12">
        <v>43318</v>
      </c>
      <c r="E508" s="11">
        <f>YEAR(Tableau13[[#This Row],[Date de sous]])</f>
        <v>2018</v>
      </c>
      <c r="F508" s="12">
        <v>43318</v>
      </c>
      <c r="G508" s="12">
        <v>54640</v>
      </c>
      <c r="H508" s="12">
        <v>44720</v>
      </c>
      <c r="I508" s="11">
        <v>2022</v>
      </c>
      <c r="J508" s="12">
        <v>45818</v>
      </c>
      <c r="K508" s="1">
        <f>YEAR(Tableau13[[#This Row],[Date de déclaration]])</f>
        <v>2025</v>
      </c>
      <c r="L508" s="13">
        <v>3919713.95</v>
      </c>
      <c r="M508" s="15">
        <f>Tableau13[[#This Row],[Année de déclaration]]-Tableau13[[#This Row],[Année de sinistre]]</f>
        <v>3</v>
      </c>
    </row>
    <row r="509" spans="1:13" x14ac:dyDescent="0.3">
      <c r="A509" s="11" t="s">
        <v>523</v>
      </c>
      <c r="B509" s="11" t="s">
        <v>13</v>
      </c>
      <c r="C509" s="11">
        <v>32464</v>
      </c>
      <c r="D509" s="12">
        <v>45432</v>
      </c>
      <c r="E509" s="11">
        <f>YEAR(Tableau13[[#This Row],[Date de sous]])</f>
        <v>2024</v>
      </c>
      <c r="F509" s="12">
        <v>45432</v>
      </c>
      <c r="G509" s="12">
        <v>49083</v>
      </c>
      <c r="H509" s="12">
        <v>45804</v>
      </c>
      <c r="I509" s="11">
        <v>2025</v>
      </c>
      <c r="J509" s="12">
        <v>45820</v>
      </c>
      <c r="K509" s="1">
        <f>YEAR(Tableau13[[#This Row],[Date de déclaration]])</f>
        <v>2025</v>
      </c>
      <c r="L509" s="13">
        <v>1980000</v>
      </c>
      <c r="M509" s="15">
        <f>Tableau13[[#This Row],[Année de déclaration]]-Tableau13[[#This Row],[Année de sinistre]]</f>
        <v>0</v>
      </c>
    </row>
    <row r="510" spans="1:13" x14ac:dyDescent="0.3">
      <c r="A510" s="11" t="s">
        <v>524</v>
      </c>
      <c r="B510" s="11" t="s">
        <v>13</v>
      </c>
      <c r="C510" s="11">
        <v>9927</v>
      </c>
      <c r="D510" s="12">
        <v>44109</v>
      </c>
      <c r="E510" s="11">
        <f>YEAR(Tableau13[[#This Row],[Date de sous]])</f>
        <v>2020</v>
      </c>
      <c r="F510" s="12">
        <v>44109</v>
      </c>
      <c r="G510" s="12">
        <v>57621</v>
      </c>
      <c r="H510" s="12">
        <v>45691</v>
      </c>
      <c r="I510" s="11">
        <v>2025</v>
      </c>
      <c r="J510" s="12">
        <v>45825</v>
      </c>
      <c r="K510" s="1">
        <f>YEAR(Tableau13[[#This Row],[Date de déclaration]])</f>
        <v>2025</v>
      </c>
      <c r="L510" s="13">
        <v>7498888.888888889</v>
      </c>
      <c r="M510" s="15">
        <f>Tableau13[[#This Row],[Année de déclaration]]-Tableau13[[#This Row],[Année de sinistre]]</f>
        <v>0</v>
      </c>
    </row>
    <row r="511" spans="1:13" x14ac:dyDescent="0.3">
      <c r="A511" s="11" t="s">
        <v>525</v>
      </c>
      <c r="B511" s="11" t="s">
        <v>13</v>
      </c>
      <c r="C511" s="11">
        <v>25794</v>
      </c>
      <c r="D511" s="12">
        <v>45085</v>
      </c>
      <c r="E511" s="11">
        <f>YEAR(Tableau13[[#This Row],[Date de sous]])</f>
        <v>2023</v>
      </c>
      <c r="F511" s="12">
        <v>45088</v>
      </c>
      <c r="G511" s="12">
        <v>51662</v>
      </c>
      <c r="H511" s="12">
        <v>45686</v>
      </c>
      <c r="I511" s="11">
        <v>2025</v>
      </c>
      <c r="J511" s="12">
        <v>45825</v>
      </c>
      <c r="K511" s="1">
        <f>YEAR(Tableau13[[#This Row],[Date de déclaration]])</f>
        <v>2025</v>
      </c>
      <c r="L511" s="13">
        <v>855290.64</v>
      </c>
      <c r="M511" s="15">
        <f>Tableau13[[#This Row],[Année de déclaration]]-Tableau13[[#This Row],[Année de sinistre]]</f>
        <v>0</v>
      </c>
    </row>
    <row r="512" spans="1:13" x14ac:dyDescent="0.3">
      <c r="A512" s="11" t="s">
        <v>526</v>
      </c>
      <c r="B512" s="11" t="s">
        <v>16</v>
      </c>
      <c r="C512" s="11">
        <v>23318</v>
      </c>
      <c r="D512" s="12">
        <v>45133</v>
      </c>
      <c r="E512" s="11">
        <f>YEAR(Tableau13[[#This Row],[Date de sous]])</f>
        <v>2023</v>
      </c>
      <c r="F512" s="12">
        <v>45133</v>
      </c>
      <c r="G512" s="12">
        <v>46228</v>
      </c>
      <c r="H512" s="12">
        <v>45785</v>
      </c>
      <c r="I512" s="11">
        <v>2025</v>
      </c>
      <c r="J512" s="12">
        <v>45826</v>
      </c>
      <c r="K512" s="1">
        <f>YEAR(Tableau13[[#This Row],[Date de déclaration]])</f>
        <v>2025</v>
      </c>
      <c r="L512" s="13">
        <v>113108.10810810811</v>
      </c>
      <c r="M512" s="15">
        <f>Tableau13[[#This Row],[Année de déclaration]]-Tableau13[[#This Row],[Année de sinistre]]</f>
        <v>0</v>
      </c>
    </row>
    <row r="513" spans="1:13" x14ac:dyDescent="0.3">
      <c r="A513" s="11" t="s">
        <v>527</v>
      </c>
      <c r="B513" s="11" t="s">
        <v>16</v>
      </c>
      <c r="C513" s="11">
        <v>12626</v>
      </c>
      <c r="D513" s="12">
        <v>44332</v>
      </c>
      <c r="E513" s="11">
        <f>YEAR(Tableau13[[#This Row],[Date de sous]])</f>
        <v>2021</v>
      </c>
      <c r="F513" s="12">
        <v>44332</v>
      </c>
      <c r="G513" s="12">
        <v>45426</v>
      </c>
      <c r="H513" s="12">
        <v>45005</v>
      </c>
      <c r="I513" s="11">
        <v>2023</v>
      </c>
      <c r="J513" s="12">
        <v>45832</v>
      </c>
      <c r="K513" s="1">
        <f>YEAR(Tableau13[[#This Row],[Date de déclaration]])</f>
        <v>2025</v>
      </c>
      <c r="L513" s="13">
        <v>147999.93</v>
      </c>
      <c r="M513" s="15">
        <f>Tableau13[[#This Row],[Année de déclaration]]-Tableau13[[#This Row],[Année de sinistre]]</f>
        <v>2</v>
      </c>
    </row>
    <row r="514" spans="1:13" x14ac:dyDescent="0.3">
      <c r="A514" s="11" t="s">
        <v>528</v>
      </c>
      <c r="B514" s="11" t="s">
        <v>16</v>
      </c>
      <c r="C514" s="11">
        <v>13818</v>
      </c>
      <c r="D514" s="12">
        <v>44462</v>
      </c>
      <c r="E514" s="11">
        <f>YEAR(Tableau13[[#This Row],[Date de sous]])</f>
        <v>2021</v>
      </c>
      <c r="F514" s="12">
        <v>44462</v>
      </c>
      <c r="G514" s="12">
        <v>45557</v>
      </c>
      <c r="H514" s="12">
        <v>45005</v>
      </c>
      <c r="I514" s="11">
        <v>2023</v>
      </c>
      <c r="J514" s="12">
        <v>45832</v>
      </c>
      <c r="K514" s="1">
        <f>YEAR(Tableau13[[#This Row],[Date de déclaration]])</f>
        <v>2025</v>
      </c>
      <c r="L514" s="13">
        <v>171000</v>
      </c>
      <c r="M514" s="15">
        <f>Tableau13[[#This Row],[Année de déclaration]]-Tableau13[[#This Row],[Année de sinistre]]</f>
        <v>2</v>
      </c>
    </row>
    <row r="515" spans="1:13" x14ac:dyDescent="0.3">
      <c r="A515" s="11" t="s">
        <v>529</v>
      </c>
      <c r="B515" s="11" t="s">
        <v>13</v>
      </c>
      <c r="C515" s="11">
        <v>84301106</v>
      </c>
      <c r="D515" s="12">
        <v>43255</v>
      </c>
      <c r="E515" s="11">
        <f>YEAR(Tableau13[[#This Row],[Date de sous]])</f>
        <v>2018</v>
      </c>
      <c r="F515" s="12">
        <v>43256</v>
      </c>
      <c r="G515" s="12">
        <v>48734</v>
      </c>
      <c r="H515" s="12">
        <v>45816</v>
      </c>
      <c r="I515" s="11">
        <v>2025</v>
      </c>
      <c r="J515" s="12">
        <v>45833</v>
      </c>
      <c r="K515" s="1">
        <f>YEAR(Tableau13[[#This Row],[Date de déclaration]])</f>
        <v>2025</v>
      </c>
      <c r="L515" s="13">
        <v>283874.57</v>
      </c>
      <c r="M515" s="15">
        <f>Tableau13[[#This Row],[Année de déclaration]]-Tableau13[[#This Row],[Année de sinistre]]</f>
        <v>0</v>
      </c>
    </row>
    <row r="516" spans="1:13" x14ac:dyDescent="0.3">
      <c r="A516" s="11" t="s">
        <v>530</v>
      </c>
      <c r="B516" s="11" t="s">
        <v>13</v>
      </c>
      <c r="C516" s="11">
        <v>21370</v>
      </c>
      <c r="D516" s="12">
        <v>44867</v>
      </c>
      <c r="E516" s="11">
        <f>YEAR(Tableau13[[#This Row],[Date de sous]])</f>
        <v>2022</v>
      </c>
      <c r="F516" s="12">
        <v>44867</v>
      </c>
      <c r="G516" s="12">
        <v>50345</v>
      </c>
      <c r="H516" s="12">
        <v>45807</v>
      </c>
      <c r="I516" s="11">
        <v>2025</v>
      </c>
      <c r="J516" s="12">
        <v>45833</v>
      </c>
      <c r="K516" s="1">
        <f>YEAR(Tableau13[[#This Row],[Date de déclaration]])</f>
        <v>2025</v>
      </c>
      <c r="L516" s="13">
        <v>7787111.9000000004</v>
      </c>
      <c r="M516" s="15">
        <f>Tableau13[[#This Row],[Année de déclaration]]-Tableau13[[#This Row],[Année de sinistre]]</f>
        <v>0</v>
      </c>
    </row>
    <row r="517" spans="1:13" x14ac:dyDescent="0.3">
      <c r="A517" s="11" t="s">
        <v>531</v>
      </c>
      <c r="B517" s="11" t="s">
        <v>16</v>
      </c>
      <c r="C517" s="11">
        <v>402</v>
      </c>
      <c r="D517" s="12">
        <v>45550</v>
      </c>
      <c r="E517" s="11">
        <f>YEAR(Tableau13[[#This Row],[Date de sous]])</f>
        <v>2024</v>
      </c>
      <c r="F517" s="12">
        <v>45550</v>
      </c>
      <c r="G517" s="12">
        <v>48104</v>
      </c>
      <c r="H517" s="12">
        <v>45819</v>
      </c>
      <c r="I517" s="11">
        <v>2025</v>
      </c>
      <c r="J517" s="12">
        <v>45834</v>
      </c>
      <c r="K517" s="1">
        <f>YEAR(Tableau13[[#This Row],[Date de déclaration]])</f>
        <v>2025</v>
      </c>
      <c r="L517" s="13">
        <v>2285073.37</v>
      </c>
      <c r="M517" s="15">
        <f>Tableau13[[#This Row],[Année de déclaration]]-Tableau13[[#This Row],[Année de sinistre]]</f>
        <v>0</v>
      </c>
    </row>
    <row r="518" spans="1:13" x14ac:dyDescent="0.3">
      <c r="A518" s="11" t="s">
        <v>532</v>
      </c>
      <c r="B518" s="11" t="s">
        <v>13</v>
      </c>
      <c r="C518" s="11">
        <v>19757</v>
      </c>
      <c r="D518" s="12">
        <v>44763</v>
      </c>
      <c r="E518" s="11">
        <f>YEAR(Tableau13[[#This Row],[Date de sous]])</f>
        <v>2022</v>
      </c>
      <c r="F518" s="12">
        <v>44768</v>
      </c>
      <c r="G518" s="12">
        <v>56092</v>
      </c>
      <c r="H518" s="12">
        <v>45774</v>
      </c>
      <c r="I518" s="11">
        <v>2025</v>
      </c>
      <c r="J518" s="12">
        <v>45864</v>
      </c>
      <c r="K518" s="1">
        <f>YEAR(Tableau13[[#This Row],[Date de déclaration]])</f>
        <v>2025</v>
      </c>
      <c r="L518" s="13">
        <v>10185580.610079575</v>
      </c>
      <c r="M518" s="15">
        <f>Tableau13[[#This Row],[Année de déclaration]]-Tableau13[[#This Row],[Année de sinistre]]</f>
        <v>0</v>
      </c>
    </row>
    <row r="519" spans="1:13" x14ac:dyDescent="0.3">
      <c r="A519" s="11" t="s">
        <v>533</v>
      </c>
      <c r="B519" s="11" t="s">
        <v>13</v>
      </c>
      <c r="C519" s="11">
        <v>28624</v>
      </c>
      <c r="D519" s="12">
        <v>45596</v>
      </c>
      <c r="E519" s="11">
        <f>YEAR(Tableau13[[#This Row],[Date de sous]])</f>
        <v>2024</v>
      </c>
      <c r="F519" s="12">
        <v>45596</v>
      </c>
      <c r="G519" s="12">
        <v>55456</v>
      </c>
      <c r="H519" s="12">
        <v>45793</v>
      </c>
      <c r="I519" s="11">
        <v>2025</v>
      </c>
      <c r="J519" s="12">
        <v>45837</v>
      </c>
      <c r="K519" s="1">
        <f>YEAR(Tableau13[[#This Row],[Date de déclaration]])</f>
        <v>2025</v>
      </c>
      <c r="L519" s="13">
        <v>4303783.8099999996</v>
      </c>
      <c r="M519" s="15">
        <f>Tableau13[[#This Row],[Année de déclaration]]-Tableau13[[#This Row],[Année de sinistre]]</f>
        <v>0</v>
      </c>
    </row>
    <row r="520" spans="1:13" x14ac:dyDescent="0.3">
      <c r="A520" s="11" t="s">
        <v>534</v>
      </c>
      <c r="B520" s="11" t="s">
        <v>16</v>
      </c>
      <c r="C520" s="11">
        <v>17466</v>
      </c>
      <c r="D520" s="12">
        <v>44741</v>
      </c>
      <c r="E520" s="11">
        <f>YEAR(Tableau13[[#This Row],[Date de sous]])</f>
        <v>2022</v>
      </c>
      <c r="F520" s="12">
        <v>44741</v>
      </c>
      <c r="G520" s="12">
        <v>45836</v>
      </c>
      <c r="H520" s="12">
        <v>45779</v>
      </c>
      <c r="I520" s="11">
        <v>2025</v>
      </c>
      <c r="J520" s="12">
        <v>45837</v>
      </c>
      <c r="K520" s="1">
        <f>YEAR(Tableau13[[#This Row],[Date de déclaration]])</f>
        <v>2025</v>
      </c>
      <c r="L520" s="13">
        <v>26398.9</v>
      </c>
      <c r="M520" s="15">
        <f>Tableau13[[#This Row],[Année de déclaration]]-Tableau13[[#This Row],[Année de sinistre]]</f>
        <v>0</v>
      </c>
    </row>
    <row r="521" spans="1:13" x14ac:dyDescent="0.3">
      <c r="A521" s="11" t="s">
        <v>535</v>
      </c>
      <c r="B521" s="11" t="s">
        <v>16</v>
      </c>
      <c r="C521" s="11">
        <v>22032</v>
      </c>
      <c r="D521" s="12">
        <v>44964</v>
      </c>
      <c r="E521" s="11">
        <f>YEAR(Tableau13[[#This Row],[Date de sous]])</f>
        <v>2023</v>
      </c>
      <c r="F521" s="12">
        <v>44964</v>
      </c>
      <c r="G521" s="12">
        <v>46059</v>
      </c>
      <c r="H521" s="12">
        <v>45779</v>
      </c>
      <c r="I521" s="11">
        <v>2025</v>
      </c>
      <c r="J521" s="12">
        <v>45837</v>
      </c>
      <c r="K521" s="1">
        <f>YEAR(Tableau13[[#This Row],[Date de déclaration]])</f>
        <v>2025</v>
      </c>
      <c r="L521" s="13">
        <v>55826.33</v>
      </c>
      <c r="M521" s="15">
        <f>Tableau13[[#This Row],[Année de déclaration]]-Tableau13[[#This Row],[Année de sinistre]]</f>
        <v>0</v>
      </c>
    </row>
    <row r="522" spans="1:13" x14ac:dyDescent="0.3">
      <c r="A522" s="11" t="s">
        <v>536</v>
      </c>
      <c r="B522" s="11" t="s">
        <v>16</v>
      </c>
      <c r="C522" s="11">
        <v>14941</v>
      </c>
      <c r="D522" s="12">
        <v>45608</v>
      </c>
      <c r="E522" s="11">
        <f>YEAR(Tableau13[[#This Row],[Date de sous]])</f>
        <v>2024</v>
      </c>
      <c r="F522" s="12">
        <v>45608</v>
      </c>
      <c r="G522" s="12">
        <v>47433</v>
      </c>
      <c r="H522" s="12">
        <v>45711</v>
      </c>
      <c r="I522" s="11">
        <v>2025</v>
      </c>
      <c r="J522" s="12">
        <v>45839</v>
      </c>
      <c r="K522" s="1">
        <f>YEAR(Tableau13[[#This Row],[Date de déclaration]])</f>
        <v>2025</v>
      </c>
      <c r="L522" s="13">
        <v>851745.08</v>
      </c>
      <c r="M522" s="15">
        <f>Tableau13[[#This Row],[Année de déclaration]]-Tableau13[[#This Row],[Année de sinistre]]</f>
        <v>0</v>
      </c>
    </row>
    <row r="523" spans="1:13" x14ac:dyDescent="0.3">
      <c r="A523" s="11" t="s">
        <v>537</v>
      </c>
      <c r="B523" s="11" t="s">
        <v>13</v>
      </c>
      <c r="C523" s="11">
        <v>35980</v>
      </c>
      <c r="D523" s="12">
        <v>45624</v>
      </c>
      <c r="E523" s="11">
        <f>YEAR(Tableau13[[#This Row],[Date de sous]])</f>
        <v>2024</v>
      </c>
      <c r="F523" s="12">
        <v>45624</v>
      </c>
      <c r="G523" s="12">
        <v>55850</v>
      </c>
      <c r="H523" s="12">
        <v>45823</v>
      </c>
      <c r="I523" s="11">
        <v>2025</v>
      </c>
      <c r="J523" s="12">
        <v>45841</v>
      </c>
      <c r="K523" s="1">
        <f>YEAR(Tableau13[[#This Row],[Date de déclaration]])</f>
        <v>2025</v>
      </c>
      <c r="L523" s="13">
        <v>1250000</v>
      </c>
      <c r="M523" s="15">
        <f>Tableau13[[#This Row],[Année de déclaration]]-Tableau13[[#This Row],[Année de sinistre]]</f>
        <v>0</v>
      </c>
    </row>
    <row r="524" spans="1:13" x14ac:dyDescent="0.3">
      <c r="A524" s="11" t="s">
        <v>538</v>
      </c>
      <c r="B524" s="11" t="s">
        <v>16</v>
      </c>
      <c r="C524" s="11">
        <v>601429</v>
      </c>
      <c r="D524" s="12">
        <v>45639</v>
      </c>
      <c r="E524" s="11">
        <f>YEAR(Tableau13[[#This Row],[Date de sous]])</f>
        <v>2024</v>
      </c>
      <c r="F524" s="12">
        <v>45280</v>
      </c>
      <c r="G524" s="12">
        <v>46739</v>
      </c>
      <c r="H524" s="12">
        <v>45788</v>
      </c>
      <c r="I524" s="11">
        <v>2025</v>
      </c>
      <c r="J524" s="12">
        <v>45841</v>
      </c>
      <c r="K524" s="1">
        <f>YEAR(Tableau13[[#This Row],[Date de déclaration]])</f>
        <v>2025</v>
      </c>
      <c r="L524" s="13">
        <v>245029.89</v>
      </c>
      <c r="M524" s="15">
        <f>Tableau13[[#This Row],[Année de déclaration]]-Tableau13[[#This Row],[Année de sinistre]]</f>
        <v>0</v>
      </c>
    </row>
    <row r="525" spans="1:13" x14ac:dyDescent="0.3">
      <c r="A525" s="11" t="s">
        <v>539</v>
      </c>
      <c r="B525" s="11" t="s">
        <v>16</v>
      </c>
      <c r="C525" s="11">
        <v>7510</v>
      </c>
      <c r="D525" s="12">
        <v>44923</v>
      </c>
      <c r="E525" s="11">
        <f>YEAR(Tableau13[[#This Row],[Date de sous]])</f>
        <v>2022</v>
      </c>
      <c r="F525" s="12">
        <v>44923</v>
      </c>
      <c r="G525" s="12">
        <v>46748</v>
      </c>
      <c r="H525" s="12">
        <v>45807</v>
      </c>
      <c r="I525" s="11">
        <v>2025</v>
      </c>
      <c r="J525" s="12">
        <v>45846</v>
      </c>
      <c r="K525" s="1">
        <f>YEAR(Tableau13[[#This Row],[Date de déclaration]])</f>
        <v>2025</v>
      </c>
      <c r="L525" s="13">
        <v>388984.82</v>
      </c>
      <c r="M525" s="15">
        <f>Tableau13[[#This Row],[Année de déclaration]]-Tableau13[[#This Row],[Année de sinistre]]</f>
        <v>0</v>
      </c>
    </row>
    <row r="526" spans="1:13" x14ac:dyDescent="0.3">
      <c r="A526" s="11" t="s">
        <v>540</v>
      </c>
      <c r="B526" s="11" t="s">
        <v>16</v>
      </c>
      <c r="C526" s="11">
        <v>4750</v>
      </c>
      <c r="D526" s="12">
        <v>44668</v>
      </c>
      <c r="E526" s="11">
        <f>YEAR(Tableau13[[#This Row],[Date de sous]])</f>
        <v>2022</v>
      </c>
      <c r="F526" s="12">
        <v>44668</v>
      </c>
      <c r="G526" s="12">
        <v>46493</v>
      </c>
      <c r="H526" s="12">
        <v>45820</v>
      </c>
      <c r="I526" s="11">
        <v>2025</v>
      </c>
      <c r="J526" s="12">
        <v>45851</v>
      </c>
      <c r="K526" s="1">
        <f>YEAR(Tableau13[[#This Row],[Date de déclaration]])</f>
        <v>2025</v>
      </c>
      <c r="L526" s="13">
        <v>295260.59000000003</v>
      </c>
      <c r="M526" s="15">
        <f>Tableau13[[#This Row],[Année de déclaration]]-Tableau13[[#This Row],[Année de sinistre]]</f>
        <v>0</v>
      </c>
    </row>
    <row r="527" spans="1:13" x14ac:dyDescent="0.3">
      <c r="A527" s="11" t="s">
        <v>541</v>
      </c>
      <c r="B527" s="11" t="s">
        <v>16</v>
      </c>
      <c r="C527" s="11">
        <v>9902</v>
      </c>
      <c r="D527" s="12">
        <v>45208</v>
      </c>
      <c r="E527" s="11">
        <f>YEAR(Tableau13[[#This Row],[Date de sous]])</f>
        <v>2023</v>
      </c>
      <c r="F527" s="12">
        <v>45208</v>
      </c>
      <c r="G527" s="12">
        <v>46303</v>
      </c>
      <c r="H527" s="12">
        <v>45766</v>
      </c>
      <c r="I527" s="11">
        <v>2025</v>
      </c>
      <c r="J527" s="12">
        <v>45852</v>
      </c>
      <c r="K527" s="1">
        <f>YEAR(Tableau13[[#This Row],[Date de déclaration]])</f>
        <v>2025</v>
      </c>
      <c r="L527" s="13">
        <v>335737.86</v>
      </c>
      <c r="M527" s="15">
        <f>Tableau13[[#This Row],[Année de déclaration]]-Tableau13[[#This Row],[Année de sinistre]]</f>
        <v>0</v>
      </c>
    </row>
    <row r="528" spans="1:13" x14ac:dyDescent="0.3">
      <c r="A528" s="11" t="s">
        <v>542</v>
      </c>
      <c r="B528" s="11" t="s">
        <v>16</v>
      </c>
      <c r="C528" s="11">
        <v>29167</v>
      </c>
      <c r="D528" s="12">
        <v>45169</v>
      </c>
      <c r="E528" s="11">
        <f>YEAR(Tableau13[[#This Row],[Date de sous]])</f>
        <v>2023</v>
      </c>
      <c r="F528" s="12">
        <v>45170</v>
      </c>
      <c r="G528" s="12">
        <v>46265</v>
      </c>
      <c r="H528" s="12">
        <v>45816</v>
      </c>
      <c r="I528" s="11">
        <v>2025</v>
      </c>
      <c r="J528" s="12">
        <v>45858</v>
      </c>
      <c r="K528" s="1">
        <f>YEAR(Tableau13[[#This Row],[Date de déclaration]])</f>
        <v>2025</v>
      </c>
      <c r="L528" s="13">
        <v>285537.81</v>
      </c>
      <c r="M528" s="15">
        <f>Tableau13[[#This Row],[Année de déclaration]]-Tableau13[[#This Row],[Année de sinistre]]</f>
        <v>0</v>
      </c>
    </row>
    <row r="529" spans="1:13" x14ac:dyDescent="0.3">
      <c r="A529" s="11" t="s">
        <v>543</v>
      </c>
      <c r="B529" s="11" t="s">
        <v>16</v>
      </c>
      <c r="C529" s="11">
        <v>4251</v>
      </c>
      <c r="D529" s="12">
        <v>44633</v>
      </c>
      <c r="E529" s="11">
        <f>YEAR(Tableau13[[#This Row],[Date de sous]])</f>
        <v>2022</v>
      </c>
      <c r="F529" s="12">
        <v>44633</v>
      </c>
      <c r="G529" s="12">
        <v>46458</v>
      </c>
      <c r="H529" s="12">
        <v>45846</v>
      </c>
      <c r="I529" s="11">
        <v>2025</v>
      </c>
      <c r="J529" s="12">
        <v>45861</v>
      </c>
      <c r="K529" s="1">
        <f>YEAR(Tableau13[[#This Row],[Date de déclaration]])</f>
        <v>2025</v>
      </c>
      <c r="L529" s="13">
        <v>216500</v>
      </c>
      <c r="M529" s="15">
        <f>Tableau13[[#This Row],[Année de déclaration]]-Tableau13[[#This Row],[Année de sinistre]]</f>
        <v>0</v>
      </c>
    </row>
    <row r="530" spans="1:13" x14ac:dyDescent="0.3">
      <c r="A530" s="11" t="s">
        <v>544</v>
      </c>
      <c r="B530" s="11" t="s">
        <v>16</v>
      </c>
      <c r="C530" s="11">
        <v>12043</v>
      </c>
      <c r="D530" s="12">
        <v>45377</v>
      </c>
      <c r="E530" s="11">
        <f>YEAR(Tableau13[[#This Row],[Date de sous]])</f>
        <v>2024</v>
      </c>
      <c r="F530" s="12">
        <v>45377</v>
      </c>
      <c r="G530" s="12">
        <v>47202</v>
      </c>
      <c r="H530" s="12">
        <v>45834</v>
      </c>
      <c r="I530" s="11">
        <v>2025</v>
      </c>
      <c r="J530" s="12">
        <v>45851</v>
      </c>
      <c r="K530" s="1">
        <f>YEAR(Tableau13[[#This Row],[Date de déclaration]])</f>
        <v>2025</v>
      </c>
      <c r="L530" s="13">
        <v>278849.58</v>
      </c>
      <c r="M530" s="15">
        <f>Tableau13[[#This Row],[Année de déclaration]]-Tableau13[[#This Row],[Année de sinistre]]</f>
        <v>0</v>
      </c>
    </row>
    <row r="531" spans="1:13" x14ac:dyDescent="0.3">
      <c r="A531" s="11" t="s">
        <v>545</v>
      </c>
      <c r="B531" s="11" t="s">
        <v>16</v>
      </c>
      <c r="C531" s="11">
        <v>3685</v>
      </c>
      <c r="D531" s="12">
        <v>44566</v>
      </c>
      <c r="E531" s="11">
        <f>YEAR(Tableau13[[#This Row],[Date de sous]])</f>
        <v>2022</v>
      </c>
      <c r="F531" s="12">
        <v>44566</v>
      </c>
      <c r="G531" s="12">
        <v>46391</v>
      </c>
      <c r="H531" s="12">
        <v>44966</v>
      </c>
      <c r="I531" s="11">
        <v>2023</v>
      </c>
      <c r="J531" s="12">
        <v>45869</v>
      </c>
      <c r="K531" s="1">
        <f>YEAR(Tableau13[[#This Row],[Date de déclaration]])</f>
        <v>2025</v>
      </c>
      <c r="L531" s="13">
        <v>373745.13</v>
      </c>
      <c r="M531" s="15">
        <f>Tableau13[[#This Row],[Année de déclaration]]-Tableau13[[#This Row],[Année de sinistre]]</f>
        <v>2</v>
      </c>
    </row>
    <row r="532" spans="1:13" x14ac:dyDescent="0.3">
      <c r="A532" s="11" t="s">
        <v>546</v>
      </c>
      <c r="B532" s="11" t="s">
        <v>16</v>
      </c>
      <c r="C532" s="11">
        <v>37821</v>
      </c>
      <c r="D532" s="12">
        <v>45718</v>
      </c>
      <c r="E532" s="11">
        <f>YEAR(Tableau13[[#This Row],[Date de sous]])</f>
        <v>2025</v>
      </c>
      <c r="F532" s="12">
        <v>45718</v>
      </c>
      <c r="G532" s="12">
        <v>46813</v>
      </c>
      <c r="H532" s="12">
        <v>45724</v>
      </c>
      <c r="I532" s="11">
        <v>2025</v>
      </c>
      <c r="J532" s="12">
        <v>45872</v>
      </c>
      <c r="K532" s="1">
        <f>YEAR(Tableau13[[#This Row],[Date de déclaration]])</f>
        <v>2025</v>
      </c>
      <c r="L532" s="13">
        <v>497222.22222222225</v>
      </c>
      <c r="M532" s="15">
        <f>Tableau13[[#This Row],[Année de déclaration]]-Tableau13[[#This Row],[Année de sinistre]]</f>
        <v>0</v>
      </c>
    </row>
    <row r="533" spans="1:13" x14ac:dyDescent="0.3">
      <c r="A533" s="11" t="s">
        <v>547</v>
      </c>
      <c r="B533" s="11" t="s">
        <v>13</v>
      </c>
      <c r="C533" s="11">
        <v>32418</v>
      </c>
      <c r="D533" s="12">
        <v>45428</v>
      </c>
      <c r="E533" s="11">
        <f>YEAR(Tableau13[[#This Row],[Date de sous]])</f>
        <v>2024</v>
      </c>
      <c r="F533" s="12">
        <v>45428</v>
      </c>
      <c r="G533" s="12">
        <v>52732</v>
      </c>
      <c r="H533" s="12">
        <v>45853</v>
      </c>
      <c r="I533" s="11">
        <v>2025</v>
      </c>
      <c r="J533" s="12">
        <v>45872</v>
      </c>
      <c r="K533" s="1">
        <f>YEAR(Tableau13[[#This Row],[Date de déclaration]])</f>
        <v>2025</v>
      </c>
      <c r="L533" s="13">
        <v>1687685.47</v>
      </c>
      <c r="M533" s="15">
        <f>Tableau13[[#This Row],[Année de déclaration]]-Tableau13[[#This Row],[Année de sinistre]]</f>
        <v>0</v>
      </c>
    </row>
    <row r="534" spans="1:13" x14ac:dyDescent="0.3">
      <c r="A534" s="11" t="s">
        <v>548</v>
      </c>
      <c r="B534" s="11" t="s">
        <v>16</v>
      </c>
      <c r="C534" s="11">
        <v>3754</v>
      </c>
      <c r="D534" s="12">
        <v>44586</v>
      </c>
      <c r="E534" s="11">
        <f>YEAR(Tableau13[[#This Row],[Date de sous]])</f>
        <v>2022</v>
      </c>
      <c r="F534" s="12">
        <v>44586</v>
      </c>
      <c r="G534" s="12">
        <v>46411</v>
      </c>
      <c r="H534" s="12">
        <v>45781</v>
      </c>
      <c r="I534" s="11">
        <v>2025</v>
      </c>
      <c r="J534" s="12">
        <v>45875</v>
      </c>
      <c r="K534" s="1">
        <f>YEAR(Tableau13[[#This Row],[Date de déclaration]])</f>
        <v>2025</v>
      </c>
      <c r="L534" s="14">
        <v>711200</v>
      </c>
      <c r="M534" s="15">
        <f>Tableau13[[#This Row],[Année de déclaration]]-Tableau13[[#This Row],[Année de sinistre]]</f>
        <v>0</v>
      </c>
    </row>
    <row r="535" spans="1:13" x14ac:dyDescent="0.3">
      <c r="A535" s="11" t="s">
        <v>549</v>
      </c>
      <c r="B535" s="11" t="s">
        <v>16</v>
      </c>
      <c r="C535" s="11">
        <v>15421</v>
      </c>
      <c r="D535" s="12">
        <v>44602</v>
      </c>
      <c r="E535" s="11">
        <f>YEAR(Tableau13[[#This Row],[Date de sous]])</f>
        <v>2022</v>
      </c>
      <c r="F535" s="12">
        <v>44605</v>
      </c>
      <c r="G535" s="12">
        <v>45700</v>
      </c>
      <c r="H535" s="12">
        <v>45393</v>
      </c>
      <c r="I535" s="11">
        <v>2024</v>
      </c>
      <c r="J535" s="12">
        <v>45879</v>
      </c>
      <c r="K535" s="1">
        <f>YEAR(Tableau13[[#This Row],[Date de déclaration]])</f>
        <v>2025</v>
      </c>
      <c r="L535" s="13">
        <v>137500</v>
      </c>
      <c r="M535" s="15">
        <f>Tableau13[[#This Row],[Année de déclaration]]-Tableau13[[#This Row],[Année de sinistre]]</f>
        <v>1</v>
      </c>
    </row>
    <row r="536" spans="1:13" x14ac:dyDescent="0.3">
      <c r="A536" s="11" t="s">
        <v>550</v>
      </c>
      <c r="B536" s="11" t="s">
        <v>16</v>
      </c>
      <c r="C536" s="11">
        <v>24932</v>
      </c>
      <c r="D536" s="12">
        <v>45049</v>
      </c>
      <c r="E536" s="11">
        <f>YEAR(Tableau13[[#This Row],[Date de sous]])</f>
        <v>2023</v>
      </c>
      <c r="F536" s="12">
        <v>45049</v>
      </c>
      <c r="G536" s="12">
        <v>46144</v>
      </c>
      <c r="H536" s="12">
        <v>45844</v>
      </c>
      <c r="I536" s="11">
        <v>2025</v>
      </c>
      <c r="J536" s="12">
        <v>45879</v>
      </c>
      <c r="K536" s="1">
        <f>YEAR(Tableau13[[#This Row],[Date de déclaration]])</f>
        <v>2025</v>
      </c>
      <c r="L536" s="13">
        <v>150000</v>
      </c>
      <c r="M536" s="15">
        <f>Tableau13[[#This Row],[Année de déclaration]]-Tableau13[[#This Row],[Année de sinistre]]</f>
        <v>0</v>
      </c>
    </row>
    <row r="537" spans="1:13" x14ac:dyDescent="0.3">
      <c r="A537" s="11" t="s">
        <v>551</v>
      </c>
      <c r="B537" s="11" t="s">
        <v>13</v>
      </c>
      <c r="C537" s="11">
        <v>2797</v>
      </c>
      <c r="D537" s="12">
        <v>43297</v>
      </c>
      <c r="E537" s="11">
        <f>YEAR(Tableau13[[#This Row],[Date de sous]])</f>
        <v>2018</v>
      </c>
      <c r="F537" s="12">
        <v>43298</v>
      </c>
      <c r="G537" s="12">
        <v>48776</v>
      </c>
      <c r="H537" s="12">
        <v>45868</v>
      </c>
      <c r="I537" s="11">
        <v>2025</v>
      </c>
      <c r="J537" s="12">
        <v>45879</v>
      </c>
      <c r="K537" s="1">
        <f>YEAR(Tableau13[[#This Row],[Date de déclaration]])</f>
        <v>2025</v>
      </c>
      <c r="L537" s="13">
        <v>1795439.15</v>
      </c>
      <c r="M537" s="15">
        <f>Tableau13[[#This Row],[Année de déclaration]]-Tableau13[[#This Row],[Année de sinistre]]</f>
        <v>0</v>
      </c>
    </row>
    <row r="538" spans="1:13" x14ac:dyDescent="0.3">
      <c r="A538" s="11" t="s">
        <v>552</v>
      </c>
      <c r="B538" s="11" t="s">
        <v>16</v>
      </c>
      <c r="C538" s="11">
        <v>1843</v>
      </c>
      <c r="D538" s="12">
        <v>44420</v>
      </c>
      <c r="E538" s="11">
        <f>YEAR(Tableau13[[#This Row],[Date de sous]])</f>
        <v>2021</v>
      </c>
      <c r="F538" s="12">
        <v>44420</v>
      </c>
      <c r="G538" s="12">
        <v>46245</v>
      </c>
      <c r="H538" s="12">
        <v>45334</v>
      </c>
      <c r="I538" s="11">
        <v>2024</v>
      </c>
      <c r="J538" s="12">
        <v>45883</v>
      </c>
      <c r="K538" s="1">
        <f>YEAR(Tableau13[[#This Row],[Date de déclaration]])</f>
        <v>2025</v>
      </c>
      <c r="L538" s="13">
        <v>302710.94</v>
      </c>
      <c r="M538" s="15">
        <f>Tableau13[[#This Row],[Année de déclaration]]-Tableau13[[#This Row],[Année de sinistre]]</f>
        <v>1</v>
      </c>
    </row>
    <row r="539" spans="1:13" x14ac:dyDescent="0.3">
      <c r="A539" s="11" t="s">
        <v>553</v>
      </c>
      <c r="B539" s="11" t="s">
        <v>13</v>
      </c>
      <c r="C539" s="11">
        <v>2797</v>
      </c>
      <c r="D539" s="12">
        <v>43297</v>
      </c>
      <c r="E539" s="11">
        <f>YEAR(Tableau13[[#This Row],[Date de sous]])</f>
        <v>2018</v>
      </c>
      <c r="F539" s="12">
        <v>43298</v>
      </c>
      <c r="G539" s="12">
        <v>48776</v>
      </c>
      <c r="H539" s="12">
        <v>45868</v>
      </c>
      <c r="I539" s="11">
        <v>2025</v>
      </c>
      <c r="J539" s="12">
        <v>45883</v>
      </c>
      <c r="K539" s="1">
        <f>YEAR(Tableau13[[#This Row],[Date de déclaration]])</f>
        <v>2025</v>
      </c>
      <c r="L539" s="13">
        <v>1035624.98</v>
      </c>
      <c r="M539" s="15">
        <f>Tableau13[[#This Row],[Année de déclaration]]-Tableau13[[#This Row],[Année de sinistre]]</f>
        <v>0</v>
      </c>
    </row>
    <row r="540" spans="1:13" x14ac:dyDescent="0.3">
      <c r="A540" s="11" t="s">
        <v>554</v>
      </c>
      <c r="B540" s="11" t="s">
        <v>16</v>
      </c>
      <c r="C540" s="11">
        <v>604130</v>
      </c>
      <c r="D540" s="12">
        <v>45859</v>
      </c>
      <c r="E540" s="11">
        <f>YEAR(Tableau13[[#This Row],[Date de sous]])</f>
        <v>2025</v>
      </c>
      <c r="F540" s="12">
        <v>45863</v>
      </c>
      <c r="G540" s="12">
        <v>47687</v>
      </c>
      <c r="H540" s="12">
        <v>45872</v>
      </c>
      <c r="I540" s="11">
        <v>2025</v>
      </c>
      <c r="J540" s="12">
        <v>45887</v>
      </c>
      <c r="K540" s="1">
        <f>YEAR(Tableau13[[#This Row],[Date de déclaration]])</f>
        <v>2025</v>
      </c>
      <c r="L540" s="13">
        <v>445665.99</v>
      </c>
      <c r="M540" s="15">
        <f>Tableau13[[#This Row],[Année de déclaration]]-Tableau13[[#This Row],[Année de sinistre]]</f>
        <v>0</v>
      </c>
    </row>
    <row r="541" spans="1:13" x14ac:dyDescent="0.3">
      <c r="A541" s="11" t="s">
        <v>555</v>
      </c>
      <c r="B541" s="11" t="s">
        <v>16</v>
      </c>
      <c r="C541" s="11">
        <v>6446</v>
      </c>
      <c r="D541" s="12">
        <v>43702</v>
      </c>
      <c r="E541" s="11">
        <f>YEAR(Tableau13[[#This Row],[Date de sous]])</f>
        <v>2019</v>
      </c>
      <c r="F541" s="12">
        <v>43699</v>
      </c>
      <c r="G541" s="12">
        <v>49176</v>
      </c>
      <c r="H541" s="12">
        <v>45861</v>
      </c>
      <c r="I541" s="11">
        <v>2025</v>
      </c>
      <c r="J541" s="12">
        <v>45889</v>
      </c>
      <c r="K541" s="1">
        <f>YEAR(Tableau13[[#This Row],[Date de déclaration]])</f>
        <v>2025</v>
      </c>
      <c r="L541" s="13">
        <v>1780098.42</v>
      </c>
      <c r="M541" s="15">
        <f>Tableau13[[#This Row],[Année de déclaration]]-Tableau13[[#This Row],[Année de sinistre]]</f>
        <v>0</v>
      </c>
    </row>
    <row r="542" spans="1:13" x14ac:dyDescent="0.3">
      <c r="A542" s="11" t="s">
        <v>556</v>
      </c>
      <c r="B542" s="11" t="s">
        <v>16</v>
      </c>
      <c r="C542" s="11">
        <v>603020</v>
      </c>
      <c r="D542" s="12">
        <v>45631</v>
      </c>
      <c r="E542" s="11">
        <f>YEAR(Tableau13[[#This Row],[Date de sous]])</f>
        <v>2024</v>
      </c>
      <c r="F542" s="12">
        <v>45634</v>
      </c>
      <c r="G542" s="12">
        <v>47458</v>
      </c>
      <c r="H542" s="12">
        <v>45841</v>
      </c>
      <c r="I542" s="11">
        <v>2025</v>
      </c>
      <c r="J542" s="12">
        <v>45890</v>
      </c>
      <c r="K542" s="1">
        <f>YEAR(Tableau13[[#This Row],[Date de déclaration]])</f>
        <v>2025</v>
      </c>
      <c r="L542" s="13">
        <v>618333.33333333337</v>
      </c>
      <c r="M542" s="15">
        <f>Tableau13[[#This Row],[Année de déclaration]]-Tableau13[[#This Row],[Année de sinistre]]</f>
        <v>0</v>
      </c>
    </row>
    <row r="543" spans="1:13" x14ac:dyDescent="0.3">
      <c r="A543" s="11" t="s">
        <v>557</v>
      </c>
      <c r="B543" s="11" t="s">
        <v>16</v>
      </c>
      <c r="C543" s="11">
        <v>27914</v>
      </c>
      <c r="D543" s="12">
        <v>45124</v>
      </c>
      <c r="E543" s="11">
        <f>YEAR(Tableau13[[#This Row],[Date de sous]])</f>
        <v>2023</v>
      </c>
      <c r="F543" s="12">
        <v>45124</v>
      </c>
      <c r="G543" s="12">
        <v>46219</v>
      </c>
      <c r="H543" s="12">
        <v>45880</v>
      </c>
      <c r="I543" s="11">
        <v>2025</v>
      </c>
      <c r="J543" s="12">
        <v>45894</v>
      </c>
      <c r="K543" s="1">
        <f>YEAR(Tableau13[[#This Row],[Date de déclaration]])</f>
        <v>2025</v>
      </c>
      <c r="L543" s="13">
        <v>131694.44444444444</v>
      </c>
      <c r="M543" s="15">
        <f>Tableau13[[#This Row],[Année de déclaration]]-Tableau13[[#This Row],[Année de sinistre]]</f>
        <v>0</v>
      </c>
    </row>
    <row r="544" spans="1:13" x14ac:dyDescent="0.3">
      <c r="A544" s="11" t="s">
        <v>558</v>
      </c>
      <c r="B544" s="11" t="s">
        <v>16</v>
      </c>
      <c r="C544" s="11">
        <v>4471</v>
      </c>
      <c r="D544" s="12">
        <v>43499</v>
      </c>
      <c r="E544" s="11">
        <f>YEAR(Tableau13[[#This Row],[Date de sous]])</f>
        <v>2019</v>
      </c>
      <c r="F544" s="12">
        <v>43499</v>
      </c>
      <c r="G544" s="12">
        <v>49338</v>
      </c>
      <c r="H544" s="12">
        <v>45879</v>
      </c>
      <c r="I544" s="11">
        <v>2025</v>
      </c>
      <c r="J544" s="12">
        <v>45895</v>
      </c>
      <c r="K544" s="1">
        <f>YEAR(Tableau13[[#This Row],[Date de déclaration]])</f>
        <v>2025</v>
      </c>
      <c r="L544" s="13">
        <v>2291310.5814583334</v>
      </c>
      <c r="M544" s="15">
        <f>Tableau13[[#This Row],[Année de déclaration]]-Tableau13[[#This Row],[Année de sinistre]]</f>
        <v>0</v>
      </c>
    </row>
    <row r="545" spans="1:13" x14ac:dyDescent="0.3">
      <c r="A545" s="11" t="s">
        <v>559</v>
      </c>
      <c r="B545" s="11" t="s">
        <v>13</v>
      </c>
      <c r="C545" s="11">
        <v>19722</v>
      </c>
      <c r="D545" s="12">
        <v>44762</v>
      </c>
      <c r="E545" s="11">
        <f>YEAR(Tableau13[[#This Row],[Date de sous]])</f>
        <v>2022</v>
      </c>
      <c r="F545" s="12">
        <v>44763</v>
      </c>
      <c r="G545" s="12">
        <v>50241</v>
      </c>
      <c r="H545" s="12">
        <v>45568</v>
      </c>
      <c r="I545" s="11">
        <v>2024</v>
      </c>
      <c r="J545" s="12">
        <v>45895</v>
      </c>
      <c r="K545" s="1">
        <f>YEAR(Tableau13[[#This Row],[Date de déclaration]])</f>
        <v>2025</v>
      </c>
      <c r="L545" s="13">
        <v>967519.67</v>
      </c>
      <c r="M545" s="15">
        <f>Tableau13[[#This Row],[Année de déclaration]]-Tableau13[[#This Row],[Année de sinistre]]</f>
        <v>1</v>
      </c>
    </row>
    <row r="546" spans="1:13" x14ac:dyDescent="0.3">
      <c r="A546" s="11" t="s">
        <v>560</v>
      </c>
      <c r="B546" s="11" t="s">
        <v>13</v>
      </c>
      <c r="C546" s="11">
        <v>18884</v>
      </c>
      <c r="D546" s="12">
        <v>44720</v>
      </c>
      <c r="E546" s="11">
        <f>YEAR(Tableau13[[#This Row],[Date de sous]])</f>
        <v>2022</v>
      </c>
      <c r="F546" s="12">
        <v>44720</v>
      </c>
      <c r="G546" s="12">
        <v>48372</v>
      </c>
      <c r="H546" s="12">
        <v>45305</v>
      </c>
      <c r="I546" s="11">
        <v>2024</v>
      </c>
      <c r="J546" s="12">
        <v>45902</v>
      </c>
      <c r="K546" s="1">
        <f>YEAR(Tableau13[[#This Row],[Date de déclaration]])</f>
        <v>2025</v>
      </c>
      <c r="L546" s="13">
        <v>880776.7416666667</v>
      </c>
      <c r="M546" s="15">
        <f>Tableau13[[#This Row],[Année de déclaration]]-Tableau13[[#This Row],[Année de sinistre]]</f>
        <v>1</v>
      </c>
    </row>
    <row r="547" spans="1:13" x14ac:dyDescent="0.3">
      <c r="A547" s="11" t="s">
        <v>561</v>
      </c>
      <c r="B547" s="11" t="s">
        <v>13</v>
      </c>
      <c r="C547" s="11">
        <v>22732</v>
      </c>
      <c r="D547" s="12">
        <v>44936</v>
      </c>
      <c r="E547" s="11">
        <f>YEAR(Tableau13[[#This Row],[Date de sous]])</f>
        <v>2023</v>
      </c>
      <c r="F547" s="12">
        <v>44936</v>
      </c>
      <c r="G547" s="12">
        <v>57354</v>
      </c>
      <c r="H547" s="12">
        <v>45833</v>
      </c>
      <c r="I547" s="11">
        <v>2025</v>
      </c>
      <c r="J547" s="12">
        <v>45902</v>
      </c>
      <c r="K547" s="1">
        <f>YEAR(Tableau13[[#This Row],[Date de déclaration]])</f>
        <v>2025</v>
      </c>
      <c r="L547" s="13">
        <v>6745000</v>
      </c>
      <c r="M547" s="15">
        <f>Tableau13[[#This Row],[Année de déclaration]]-Tableau13[[#This Row],[Année de sinistre]]</f>
        <v>0</v>
      </c>
    </row>
    <row r="548" spans="1:13" x14ac:dyDescent="0.3">
      <c r="A548" s="11" t="s">
        <v>562</v>
      </c>
      <c r="B548" s="11" t="s">
        <v>16</v>
      </c>
      <c r="C548" s="11">
        <v>23735</v>
      </c>
      <c r="D548" s="12">
        <v>45013</v>
      </c>
      <c r="E548" s="11">
        <f>YEAR(Tableau13[[#This Row],[Date de sous]])</f>
        <v>2023</v>
      </c>
      <c r="F548" s="12">
        <v>45013</v>
      </c>
      <c r="G548" s="12">
        <v>46108</v>
      </c>
      <c r="H548" s="12">
        <v>45827</v>
      </c>
      <c r="I548" s="11">
        <v>2025</v>
      </c>
      <c r="J548" s="12">
        <v>45915</v>
      </c>
      <c r="K548" s="1">
        <f>YEAR(Tableau13[[#This Row],[Date de déclaration]])</f>
        <v>2025</v>
      </c>
      <c r="L548" s="13">
        <v>89519.8</v>
      </c>
      <c r="M548" s="15">
        <f>Tableau13[[#This Row],[Année de déclaration]]-Tableau13[[#This Row],[Année de sinistre]]</f>
        <v>0</v>
      </c>
    </row>
    <row r="549" spans="1:13" x14ac:dyDescent="0.3">
      <c r="A549" s="11" t="s">
        <v>563</v>
      </c>
      <c r="B549" s="11" t="s">
        <v>16</v>
      </c>
      <c r="C549" s="11">
        <v>24932</v>
      </c>
      <c r="D549" s="12">
        <v>45049</v>
      </c>
      <c r="E549" s="11">
        <f>YEAR(Tableau13[[#This Row],[Date de sous]])</f>
        <v>2023</v>
      </c>
      <c r="F549" s="12">
        <v>45049</v>
      </c>
      <c r="G549" s="12">
        <v>46145</v>
      </c>
      <c r="H549" s="12">
        <v>45844</v>
      </c>
      <c r="I549" s="11">
        <v>2025</v>
      </c>
      <c r="J549" s="12">
        <v>45918</v>
      </c>
      <c r="K549" s="1">
        <f>YEAR(Tableau13[[#This Row],[Date de déclaration]])</f>
        <v>2025</v>
      </c>
      <c r="L549" s="13">
        <v>41666.666666666657</v>
      </c>
      <c r="M549" s="15">
        <f>Tableau13[[#This Row],[Année de déclaration]]-Tableau13[[#This Row],[Année de sinistre]]</f>
        <v>0</v>
      </c>
    </row>
    <row r="550" spans="1:13" x14ac:dyDescent="0.3">
      <c r="A550" s="11" t="s">
        <v>564</v>
      </c>
      <c r="B550" s="11" t="s">
        <v>16</v>
      </c>
      <c r="C550" s="11">
        <v>11685</v>
      </c>
      <c r="D550" s="12">
        <v>44242</v>
      </c>
      <c r="E550" s="11">
        <f>YEAR(Tableau13[[#This Row],[Date de sous]])</f>
        <v>2021</v>
      </c>
      <c r="F550" s="12">
        <v>44242</v>
      </c>
      <c r="G550" s="12">
        <v>51911</v>
      </c>
      <c r="H550" s="12">
        <v>45802</v>
      </c>
      <c r="I550" s="11">
        <v>2025</v>
      </c>
      <c r="J550" s="12">
        <v>45924</v>
      </c>
      <c r="K550" s="1">
        <f>YEAR(Tableau13[[#This Row],[Date de déclaration]])</f>
        <v>2025</v>
      </c>
      <c r="L550" s="13">
        <v>856706.34920634911</v>
      </c>
      <c r="M550" s="15">
        <f>Tableau13[[#This Row],[Année de déclaration]]-Tableau13[[#This Row],[Année de sinistre]]</f>
        <v>0</v>
      </c>
    </row>
    <row r="551" spans="1:13" x14ac:dyDescent="0.3">
      <c r="A551" s="11" t="s">
        <v>565</v>
      </c>
      <c r="B551" s="11" t="s">
        <v>16</v>
      </c>
      <c r="C551" s="11">
        <v>27722</v>
      </c>
      <c r="D551" s="12">
        <v>45118</v>
      </c>
      <c r="E551" s="11">
        <f>YEAR(Tableau13[[#This Row],[Date de sous]])</f>
        <v>2023</v>
      </c>
      <c r="F551" s="12">
        <v>45118</v>
      </c>
      <c r="G551" s="12">
        <v>46213</v>
      </c>
      <c r="H551" s="12">
        <v>45903</v>
      </c>
      <c r="I551" s="11">
        <v>2025</v>
      </c>
      <c r="J551" s="12">
        <v>45930</v>
      </c>
      <c r="K551" s="1">
        <f>YEAR(Tableau13[[#This Row],[Date de déclaration]])</f>
        <v>2025</v>
      </c>
      <c r="L551" s="13">
        <v>67325.929999999993</v>
      </c>
      <c r="M551" s="15">
        <f>Tableau13[[#This Row],[Année de déclaration]]-Tableau13[[#This Row],[Année de sinistre]]</f>
        <v>0</v>
      </c>
    </row>
    <row r="552" spans="1:13" x14ac:dyDescent="0.3">
      <c r="A552" s="11" t="s">
        <v>566</v>
      </c>
      <c r="B552" s="11" t="s">
        <v>16</v>
      </c>
      <c r="C552" s="11">
        <v>34800</v>
      </c>
      <c r="D552" s="12">
        <v>45495</v>
      </c>
      <c r="E552" s="11">
        <f>YEAR(Tableau13[[#This Row],[Date de sous]])</f>
        <v>2024</v>
      </c>
      <c r="F552" s="12">
        <v>45495</v>
      </c>
      <c r="G552" s="12">
        <v>46589</v>
      </c>
      <c r="H552" s="12">
        <v>45891</v>
      </c>
      <c r="I552" s="11">
        <v>2025</v>
      </c>
      <c r="J552" s="12">
        <v>45932</v>
      </c>
      <c r="K552" s="1">
        <f>YEAR(Tableau13[[#This Row],[Date de déclaration]])</f>
        <v>2025</v>
      </c>
      <c r="L552" s="13">
        <v>433442.73</v>
      </c>
      <c r="M552" s="15">
        <f>Tableau13[[#This Row],[Année de déclaration]]-Tableau13[[#This Row],[Année de sinistre]]</f>
        <v>0</v>
      </c>
    </row>
    <row r="553" spans="1:13" x14ac:dyDescent="0.3">
      <c r="A553" s="11" t="s">
        <v>567</v>
      </c>
      <c r="B553" s="11" t="s">
        <v>16</v>
      </c>
      <c r="C553" s="11">
        <v>7910</v>
      </c>
      <c r="D553" s="12">
        <v>44977</v>
      </c>
      <c r="E553" s="11">
        <f>YEAR(Tableau13[[#This Row],[Date de sous]])</f>
        <v>2023</v>
      </c>
      <c r="F553" s="12">
        <v>44977</v>
      </c>
      <c r="G553" s="12">
        <v>46802</v>
      </c>
      <c r="H553" s="12">
        <v>45914</v>
      </c>
      <c r="I553" s="11">
        <v>2025</v>
      </c>
      <c r="J553" s="12">
        <v>45937</v>
      </c>
      <c r="K553" s="1">
        <f>YEAR(Tableau13[[#This Row],[Date de déclaration]])</f>
        <v>2025</v>
      </c>
      <c r="L553" s="13">
        <v>304132.27</v>
      </c>
      <c r="M553" s="15">
        <f>Tableau13[[#This Row],[Année de déclaration]]-Tableau13[[#This Row],[Année de sinistre]]</f>
        <v>0</v>
      </c>
    </row>
    <row r="554" spans="1:13" x14ac:dyDescent="0.3">
      <c r="A554" s="11" t="s">
        <v>568</v>
      </c>
      <c r="B554" s="11" t="s">
        <v>16</v>
      </c>
      <c r="C554" s="11">
        <v>18810</v>
      </c>
      <c r="D554" s="12">
        <v>45868</v>
      </c>
      <c r="E554" s="11">
        <f>YEAR(Tableau13[[#This Row],[Date de sous]])</f>
        <v>2025</v>
      </c>
      <c r="F554" s="12">
        <v>45868</v>
      </c>
      <c r="G554" s="12">
        <v>47693</v>
      </c>
      <c r="H554" s="12">
        <v>45903</v>
      </c>
      <c r="I554" s="11">
        <v>2025</v>
      </c>
      <c r="J554" s="12">
        <v>45939</v>
      </c>
      <c r="K554" s="1">
        <f>YEAR(Tableau13[[#This Row],[Date de déclaration]])</f>
        <v>2025</v>
      </c>
      <c r="L554" s="13">
        <v>912467.2</v>
      </c>
      <c r="M554" s="15">
        <f>Tableau13[[#This Row],[Année de déclaration]]-Tableau13[[#This Row],[Année de sinistre]]</f>
        <v>0</v>
      </c>
    </row>
    <row r="555" spans="1:13" x14ac:dyDescent="0.3">
      <c r="A555" s="11" t="s">
        <v>569</v>
      </c>
      <c r="B555" s="11" t="s">
        <v>16</v>
      </c>
      <c r="C555" s="11">
        <v>9248</v>
      </c>
      <c r="D555" s="12">
        <v>45147</v>
      </c>
      <c r="E555" s="11">
        <f>YEAR(Tableau13[[#This Row],[Date de sous]])</f>
        <v>2023</v>
      </c>
      <c r="F555" s="12">
        <v>45147</v>
      </c>
      <c r="G555" s="12">
        <v>46973</v>
      </c>
      <c r="H555" s="12">
        <v>45758</v>
      </c>
      <c r="I555" s="11">
        <v>2025</v>
      </c>
      <c r="J555" s="12">
        <v>45942</v>
      </c>
      <c r="K555" s="1">
        <f>YEAR(Tableau13[[#This Row],[Date de déclaration]])</f>
        <v>2025</v>
      </c>
      <c r="L555" s="13">
        <v>687070.57</v>
      </c>
      <c r="M555" s="15">
        <f>Tableau13[[#This Row],[Année de déclaration]]-Tableau13[[#This Row],[Année de sinistre]]</f>
        <v>0</v>
      </c>
    </row>
    <row r="556" spans="1:13" x14ac:dyDescent="0.3">
      <c r="A556" s="11" t="s">
        <v>570</v>
      </c>
      <c r="B556" s="11" t="s">
        <v>16</v>
      </c>
      <c r="C556" s="11">
        <v>11820</v>
      </c>
      <c r="D556" s="12">
        <v>45365</v>
      </c>
      <c r="E556" s="11">
        <f>YEAR(Tableau13[[#This Row],[Date de sous]])</f>
        <v>2024</v>
      </c>
      <c r="F556" s="12">
        <v>45365</v>
      </c>
      <c r="G556" s="12">
        <v>47190</v>
      </c>
      <c r="H556" s="12">
        <v>45426</v>
      </c>
      <c r="I556" s="11">
        <v>2024</v>
      </c>
      <c r="J556" s="12">
        <v>45945</v>
      </c>
      <c r="K556" s="1">
        <f>YEAR(Tableau13[[#This Row],[Date de déclaration]])</f>
        <v>2025</v>
      </c>
      <c r="L556" s="13">
        <v>739113.02</v>
      </c>
      <c r="M556" s="15">
        <f>Tableau13[[#This Row],[Année de déclaration]]-Tableau13[[#This Row],[Année de sinistre]]</f>
        <v>1</v>
      </c>
    </row>
    <row r="557" spans="1:13" x14ac:dyDescent="0.3">
      <c r="A557" s="11" t="s">
        <v>571</v>
      </c>
      <c r="B557" s="11" t="s">
        <v>16</v>
      </c>
      <c r="C557" s="11">
        <v>10598</v>
      </c>
      <c r="D557" s="12">
        <v>45263</v>
      </c>
      <c r="E557" s="11">
        <f>YEAR(Tableau13[[#This Row],[Date de sous]])</f>
        <v>2023</v>
      </c>
      <c r="F557" s="12">
        <v>45263</v>
      </c>
      <c r="G557" s="12">
        <v>47089</v>
      </c>
      <c r="H557" s="12">
        <v>45919</v>
      </c>
      <c r="I557" s="11">
        <v>2025</v>
      </c>
      <c r="J557" s="12">
        <v>45949</v>
      </c>
      <c r="K557" s="1">
        <f>YEAR(Tableau13[[#This Row],[Date de déclaration]])</f>
        <v>2025</v>
      </c>
      <c r="L557" s="13">
        <v>468883.1</v>
      </c>
      <c r="M557" s="15">
        <f>Tableau13[[#This Row],[Année de déclaration]]-Tableau13[[#This Row],[Année de sinistre]]</f>
        <v>0</v>
      </c>
    </row>
    <row r="558" spans="1:13" x14ac:dyDescent="0.3">
      <c r="A558" s="11" t="s">
        <v>572</v>
      </c>
      <c r="B558" s="11" t="s">
        <v>16</v>
      </c>
      <c r="C558" s="11">
        <v>22909</v>
      </c>
      <c r="D558" s="12">
        <v>44990</v>
      </c>
      <c r="E558" s="11">
        <f>YEAR(Tableau13[[#This Row],[Date de sous]])</f>
        <v>2023</v>
      </c>
      <c r="F558" s="12">
        <v>44990</v>
      </c>
      <c r="G558" s="12">
        <v>46085</v>
      </c>
      <c r="H558" s="12">
        <v>45817</v>
      </c>
      <c r="I558" s="11">
        <v>2025</v>
      </c>
      <c r="J558" s="12">
        <v>45950</v>
      </c>
      <c r="K558" s="1">
        <f>YEAR(Tableau13[[#This Row],[Date de déclaration]])</f>
        <v>2025</v>
      </c>
      <c r="L558" s="13">
        <v>125247.47</v>
      </c>
      <c r="M558" s="15">
        <f>Tableau13[[#This Row],[Année de déclaration]]-Tableau13[[#This Row],[Année de sinistre]]</f>
        <v>0</v>
      </c>
    </row>
    <row r="559" spans="1:13" x14ac:dyDescent="0.3">
      <c r="A559" s="11" t="s">
        <v>573</v>
      </c>
      <c r="B559" s="11" t="s">
        <v>13</v>
      </c>
      <c r="C559" s="11">
        <v>22936</v>
      </c>
      <c r="D559" s="12">
        <v>44944</v>
      </c>
      <c r="E559" s="11">
        <f>YEAR(Tableau13[[#This Row],[Date de sous]])</f>
        <v>2023</v>
      </c>
      <c r="F559" s="12">
        <v>44944</v>
      </c>
      <c r="G559" s="12">
        <v>57727</v>
      </c>
      <c r="H559" s="12">
        <v>45830</v>
      </c>
      <c r="I559" s="11">
        <v>2025</v>
      </c>
      <c r="J559" s="12">
        <v>45951</v>
      </c>
      <c r="K559" s="1">
        <f>YEAR(Tableau13[[#This Row],[Date de déclaration]])</f>
        <v>2025</v>
      </c>
      <c r="L559" s="13">
        <v>9894272.0800000001</v>
      </c>
      <c r="M559" s="15">
        <f>Tableau13[[#This Row],[Année de déclaration]]-Tableau13[[#This Row],[Année de sinistre]]</f>
        <v>0</v>
      </c>
    </row>
    <row r="560" spans="1:13" x14ac:dyDescent="0.3">
      <c r="A560" s="11" t="s">
        <v>574</v>
      </c>
      <c r="B560" s="11" t="s">
        <v>13</v>
      </c>
      <c r="C560" s="11">
        <v>38022</v>
      </c>
      <c r="D560" s="12">
        <v>45725</v>
      </c>
      <c r="E560" s="11">
        <f>YEAR(Tableau13[[#This Row],[Date de sous]])</f>
        <v>2025</v>
      </c>
      <c r="F560" s="12">
        <v>45725</v>
      </c>
      <c r="G560" s="12">
        <v>54490</v>
      </c>
      <c r="H560" s="12">
        <v>45859</v>
      </c>
      <c r="I560" s="11">
        <v>2025</v>
      </c>
      <c r="J560" s="12">
        <v>45956</v>
      </c>
      <c r="K560" s="1">
        <f>YEAR(Tableau13[[#This Row],[Date de déclaration]])</f>
        <v>2025</v>
      </c>
      <c r="L560" s="13">
        <v>1981323.27</v>
      </c>
      <c r="M560" s="15">
        <f>Tableau13[[#This Row],[Année de déclaration]]-Tableau13[[#This Row],[Année de sinistre]]</f>
        <v>0</v>
      </c>
    </row>
    <row r="561" spans="1:13" x14ac:dyDescent="0.3">
      <c r="A561" s="11" t="s">
        <v>575</v>
      </c>
      <c r="B561" s="11" t="s">
        <v>13</v>
      </c>
      <c r="C561" s="11">
        <v>14576</v>
      </c>
      <c r="D561" s="12">
        <v>44438</v>
      </c>
      <c r="E561" s="11">
        <f>YEAR(Tableau13[[#This Row],[Date de sous]])</f>
        <v>2021</v>
      </c>
      <c r="F561" s="12">
        <v>44470</v>
      </c>
      <c r="G561" s="12" t="s">
        <v>576</v>
      </c>
      <c r="H561" s="12">
        <v>45771</v>
      </c>
      <c r="I561" s="11">
        <v>2025</v>
      </c>
      <c r="J561" s="12">
        <v>45956</v>
      </c>
      <c r="K561" s="1">
        <f>YEAR(Tableau13[[#This Row],[Date de déclaration]])</f>
        <v>2025</v>
      </c>
      <c r="L561" s="13">
        <v>3199741.67</v>
      </c>
      <c r="M561" s="15">
        <f>Tableau13[[#This Row],[Année de déclaration]]-Tableau13[[#This Row],[Année de sinistre]]</f>
        <v>0</v>
      </c>
    </row>
    <row r="562" spans="1:13" x14ac:dyDescent="0.3">
      <c r="A562" s="11" t="s">
        <v>577</v>
      </c>
      <c r="B562" s="11" t="s">
        <v>16</v>
      </c>
      <c r="C562" s="11">
        <v>602840</v>
      </c>
      <c r="D562" s="12">
        <v>45600</v>
      </c>
      <c r="E562" s="11">
        <f>YEAR(Tableau13[[#This Row],[Date de sous]])</f>
        <v>2024</v>
      </c>
      <c r="F562" s="12">
        <v>45603</v>
      </c>
      <c r="G562" s="12">
        <v>47427</v>
      </c>
      <c r="H562" s="12">
        <v>45905</v>
      </c>
      <c r="I562" s="11">
        <v>2025</v>
      </c>
      <c r="J562" s="12">
        <v>45959</v>
      </c>
      <c r="K562" s="1">
        <f>YEAR(Tableau13[[#This Row],[Date de déclaration]])</f>
        <v>2025</v>
      </c>
      <c r="L562" s="13">
        <v>449152.54</v>
      </c>
      <c r="M562" s="15">
        <f>Tableau13[[#This Row],[Année de déclaration]]-Tableau13[[#This Row],[Année de sinistre]]</f>
        <v>0</v>
      </c>
    </row>
    <row r="563" spans="1:13" x14ac:dyDescent="0.3">
      <c r="A563" s="11" t="s">
        <v>578</v>
      </c>
      <c r="B563" s="11" t="s">
        <v>13</v>
      </c>
      <c r="C563" s="11">
        <v>20372</v>
      </c>
      <c r="D563" s="12">
        <v>44803</v>
      </c>
      <c r="E563" s="11">
        <f>YEAR(Tableau13[[#This Row],[Date de sous]])</f>
        <v>2022</v>
      </c>
      <c r="F563" s="12">
        <v>44819</v>
      </c>
      <c r="G563" s="12">
        <v>52854</v>
      </c>
      <c r="H563" s="12">
        <v>45940</v>
      </c>
      <c r="I563" s="11">
        <v>2025</v>
      </c>
      <c r="J563" s="12">
        <v>45963</v>
      </c>
      <c r="K563" s="1">
        <f>YEAR(Tableau13[[#This Row],[Date de déclaration]])</f>
        <v>2025</v>
      </c>
      <c r="L563" s="13">
        <v>9367350.3200000003</v>
      </c>
      <c r="M563" s="15">
        <f>Tableau13[[#This Row],[Année de déclaration]]-Tableau13[[#This Row],[Année de sinistre]]</f>
        <v>0</v>
      </c>
    </row>
    <row r="564" spans="1:13" x14ac:dyDescent="0.3">
      <c r="A564" s="11" t="s">
        <v>579</v>
      </c>
      <c r="B564" s="11" t="s">
        <v>13</v>
      </c>
      <c r="C564" s="11">
        <v>18580</v>
      </c>
      <c r="D564" s="12">
        <v>44704</v>
      </c>
      <c r="E564" s="11">
        <f>YEAR(Tableau13[[#This Row],[Date de sous]])</f>
        <v>2022</v>
      </c>
      <c r="F564" s="12">
        <v>44704</v>
      </c>
      <c r="G564" s="12">
        <v>53834</v>
      </c>
      <c r="H564" s="12">
        <v>45941</v>
      </c>
      <c r="I564" s="11">
        <v>2025</v>
      </c>
      <c r="J564" s="12">
        <v>45963</v>
      </c>
      <c r="K564" s="1">
        <f>YEAR(Tableau13[[#This Row],[Date de déclaration]])</f>
        <v>2025</v>
      </c>
      <c r="L564" s="13">
        <v>10645509.58</v>
      </c>
      <c r="M564" s="15">
        <f>Tableau13[[#This Row],[Année de déclaration]]-Tableau13[[#This Row],[Année de sinistre]]</f>
        <v>0</v>
      </c>
    </row>
    <row r="565" spans="1:13" x14ac:dyDescent="0.3">
      <c r="A565" s="11" t="s">
        <v>580</v>
      </c>
      <c r="B565" s="11" t="s">
        <v>13</v>
      </c>
      <c r="C565" s="11">
        <v>16373</v>
      </c>
      <c r="D565" s="12">
        <v>44584</v>
      </c>
      <c r="E565" s="11">
        <f>YEAR(Tableau13[[#This Row],[Date de sous]])</f>
        <v>2022</v>
      </c>
      <c r="F565" s="12">
        <v>44584</v>
      </c>
      <c r="G565" s="12">
        <v>51888</v>
      </c>
      <c r="H565" s="12">
        <v>45955</v>
      </c>
      <c r="I565" s="11">
        <v>2025</v>
      </c>
      <c r="J565" s="12">
        <v>45963</v>
      </c>
      <c r="K565" s="1">
        <f>YEAR(Tableau13[[#This Row],[Date de déclaration]])</f>
        <v>2025</v>
      </c>
      <c r="L565" s="13">
        <v>7746200.8399999999</v>
      </c>
      <c r="M565" s="15">
        <f>Tableau13[[#This Row],[Année de déclaration]]-Tableau13[[#This Row],[Année de sinistre]]</f>
        <v>0</v>
      </c>
    </row>
    <row r="566" spans="1:13" x14ac:dyDescent="0.3">
      <c r="A566" s="11" t="s">
        <v>581</v>
      </c>
      <c r="B566" s="11" t="s">
        <v>16</v>
      </c>
      <c r="C566" s="11">
        <v>23701</v>
      </c>
      <c r="D566" s="12">
        <v>45012</v>
      </c>
      <c r="E566" s="11">
        <f>YEAR(Tableau13[[#This Row],[Date de sous]])</f>
        <v>2023</v>
      </c>
      <c r="F566" s="12">
        <v>45012</v>
      </c>
      <c r="G566" s="12">
        <v>46107</v>
      </c>
      <c r="H566" s="12">
        <v>45949</v>
      </c>
      <c r="I566" s="11">
        <v>2025</v>
      </c>
      <c r="J566" s="12">
        <v>45972</v>
      </c>
      <c r="K566" s="1">
        <f>YEAR(Tableau13[[#This Row],[Date de déclaration]])</f>
        <v>2025</v>
      </c>
      <c r="L566" s="13">
        <v>176944.38</v>
      </c>
      <c r="M566" s="15">
        <f>Tableau13[[#This Row],[Année de déclaration]]-Tableau13[[#This Row],[Année de sinistre]]</f>
        <v>0</v>
      </c>
    </row>
    <row r="567" spans="1:13" x14ac:dyDescent="0.3">
      <c r="A567" s="11" t="s">
        <v>582</v>
      </c>
      <c r="B567" s="11" t="s">
        <v>16</v>
      </c>
      <c r="C567" s="11">
        <v>32051</v>
      </c>
      <c r="D567" s="12">
        <v>45330</v>
      </c>
      <c r="E567" s="11">
        <f>YEAR(Tableau13[[#This Row],[Date de sous]])</f>
        <v>2024</v>
      </c>
      <c r="F567" s="12">
        <v>45330</v>
      </c>
      <c r="G567" s="12">
        <v>46425</v>
      </c>
      <c r="H567" s="12">
        <v>45917</v>
      </c>
      <c r="I567" s="11">
        <v>2025</v>
      </c>
      <c r="J567" s="12">
        <v>45971</v>
      </c>
      <c r="K567" s="1">
        <f>YEAR(Tableau13[[#This Row],[Date de déclaration]])</f>
        <v>2025</v>
      </c>
      <c r="L567" s="13">
        <v>532094.16</v>
      </c>
      <c r="M567" s="15">
        <f>Tableau13[[#This Row],[Année de déclaration]]-Tableau13[[#This Row],[Année de sinistre]]</f>
        <v>0</v>
      </c>
    </row>
    <row r="568" spans="1:13" x14ac:dyDescent="0.3">
      <c r="A568" s="11" t="s">
        <v>583</v>
      </c>
      <c r="B568" s="11" t="s">
        <v>16</v>
      </c>
      <c r="C568" s="11">
        <v>30169</v>
      </c>
      <c r="D568" s="12">
        <v>45221</v>
      </c>
      <c r="E568" s="11">
        <f>YEAR(Tableau13[[#This Row],[Date de sous]])</f>
        <v>2023</v>
      </c>
      <c r="F568" s="12">
        <v>45221</v>
      </c>
      <c r="G568" s="12">
        <v>46316</v>
      </c>
      <c r="H568" s="12">
        <v>45965</v>
      </c>
      <c r="I568" s="11">
        <v>2025</v>
      </c>
      <c r="J568" s="12">
        <v>45972</v>
      </c>
      <c r="K568" s="1">
        <f>YEAR(Tableau13[[#This Row],[Date de déclaration]])</f>
        <v>2025</v>
      </c>
      <c r="L568" s="13">
        <v>135839.20000000001</v>
      </c>
      <c r="M568" s="15">
        <f>Tableau13[[#This Row],[Année de déclaration]]-Tableau13[[#This Row],[Année de sinistre]]</f>
        <v>0</v>
      </c>
    </row>
    <row r="569" spans="1:13" x14ac:dyDescent="0.3">
      <c r="A569" s="11" t="s">
        <v>584</v>
      </c>
      <c r="B569" s="11" t="s">
        <v>16</v>
      </c>
      <c r="C569" s="11">
        <v>26933</v>
      </c>
      <c r="D569" s="12">
        <v>45098</v>
      </c>
      <c r="E569" s="11">
        <f>YEAR(Tableau13[[#This Row],[Date de sous]])</f>
        <v>2023</v>
      </c>
      <c r="F569" s="12">
        <v>45099</v>
      </c>
      <c r="G569" s="12">
        <v>46194</v>
      </c>
      <c r="H569" s="12">
        <v>45964</v>
      </c>
      <c r="I569" s="11">
        <v>2025</v>
      </c>
      <c r="J569" s="12">
        <v>45973</v>
      </c>
      <c r="K569" s="1">
        <f>YEAR(Tableau13[[#This Row],[Date de déclaration]])</f>
        <v>2025</v>
      </c>
      <c r="L569" s="13">
        <v>155546.16</v>
      </c>
      <c r="M569" s="15">
        <f>Tableau13[[#This Row],[Année de déclaration]]-Tableau13[[#This Row],[Année de sinistre]]</f>
        <v>0</v>
      </c>
    </row>
    <row r="570" spans="1:13" x14ac:dyDescent="0.3">
      <c r="A570" s="11" t="s">
        <v>585</v>
      </c>
      <c r="B570" s="11" t="s">
        <v>13</v>
      </c>
      <c r="C570" s="11">
        <v>33675</v>
      </c>
      <c r="D570" s="12">
        <v>45495</v>
      </c>
      <c r="E570" s="11">
        <f>YEAR(Tableau13[[#This Row],[Date de sous]])</f>
        <v>2024</v>
      </c>
      <c r="F570" s="12">
        <v>45495</v>
      </c>
      <c r="G570" s="12">
        <v>48050</v>
      </c>
      <c r="H570" s="12">
        <v>45969</v>
      </c>
      <c r="I570" s="11">
        <v>2025</v>
      </c>
      <c r="J570" s="12">
        <v>45978</v>
      </c>
      <c r="K570" s="1">
        <f>YEAR(Tableau13[[#This Row],[Date de déclaration]])</f>
        <v>2025</v>
      </c>
      <c r="L570" s="13">
        <v>889141.7</v>
      </c>
      <c r="M570" s="15">
        <f>Tableau13[[#This Row],[Année de déclaration]]-Tableau13[[#This Row],[Année de sinistre]]</f>
        <v>0</v>
      </c>
    </row>
    <row r="571" spans="1:13" x14ac:dyDescent="0.3">
      <c r="A571" s="11" t="s">
        <v>586</v>
      </c>
      <c r="B571" s="11" t="s">
        <v>16</v>
      </c>
      <c r="C571" s="11">
        <v>25285</v>
      </c>
      <c r="D571" s="12">
        <v>45061</v>
      </c>
      <c r="E571" s="11">
        <f>YEAR(Tableau13[[#This Row],[Date de sous]])</f>
        <v>2023</v>
      </c>
      <c r="F571" s="12">
        <v>45061</v>
      </c>
      <c r="G571" s="12">
        <v>46156</v>
      </c>
      <c r="H571" s="12">
        <v>45906</v>
      </c>
      <c r="I571" s="11">
        <v>2025</v>
      </c>
      <c r="J571" s="12">
        <v>45978</v>
      </c>
      <c r="K571" s="1">
        <f>YEAR(Tableau13[[#This Row],[Date de déclaration]])</f>
        <v>2025</v>
      </c>
      <c r="L571" s="13">
        <v>130206.39999999999</v>
      </c>
      <c r="M571" s="15">
        <f>Tableau13[[#This Row],[Année de déclaration]]-Tableau13[[#This Row],[Année de sinistre]]</f>
        <v>0</v>
      </c>
    </row>
    <row r="572" spans="1:13" x14ac:dyDescent="0.3">
      <c r="A572" s="11" t="s">
        <v>587</v>
      </c>
      <c r="B572" s="11" t="s">
        <v>13</v>
      </c>
      <c r="C572" s="11">
        <v>14161</v>
      </c>
      <c r="D572" s="12">
        <v>44395</v>
      </c>
      <c r="E572" s="11">
        <f>YEAR(Tableau13[[#This Row],[Date de sous]])</f>
        <v>2021</v>
      </c>
      <c r="F572" s="12">
        <v>44395</v>
      </c>
      <c r="G572" s="12">
        <v>51333</v>
      </c>
      <c r="H572" s="12">
        <v>45936</v>
      </c>
      <c r="I572" s="11">
        <v>2025</v>
      </c>
      <c r="J572" s="12">
        <v>45979</v>
      </c>
      <c r="K572" s="1">
        <f>YEAR(Tableau13[[#This Row],[Date de déclaration]])</f>
        <v>2025</v>
      </c>
      <c r="L572" s="13">
        <v>1692037.44</v>
      </c>
      <c r="M572" s="15">
        <f>Tableau13[[#This Row],[Année de déclaration]]-Tableau13[[#This Row],[Année de sinistre]]</f>
        <v>0</v>
      </c>
    </row>
    <row r="573" spans="1:13" x14ac:dyDescent="0.3">
      <c r="A573" s="11" t="s">
        <v>588</v>
      </c>
      <c r="B573" s="11" t="s">
        <v>16</v>
      </c>
      <c r="C573" s="11">
        <v>19005</v>
      </c>
      <c r="D573" s="12">
        <v>44852</v>
      </c>
      <c r="E573" s="11">
        <f>YEAR(Tableau13[[#This Row],[Date de sous]])</f>
        <v>2022</v>
      </c>
      <c r="F573" s="12">
        <v>44895</v>
      </c>
      <c r="G573" s="12">
        <v>45990</v>
      </c>
      <c r="H573" s="12">
        <v>45903</v>
      </c>
      <c r="I573" s="11">
        <v>2025</v>
      </c>
      <c r="J573" s="12">
        <v>45979</v>
      </c>
      <c r="K573" s="1">
        <f>YEAR(Tableau13[[#This Row],[Date de déclaration]])</f>
        <v>2025</v>
      </c>
      <c r="L573" s="13">
        <v>55555.519999999997</v>
      </c>
      <c r="M573" s="15">
        <f>Tableau13[[#This Row],[Année de déclaration]]-Tableau13[[#This Row],[Année de sinistre]]</f>
        <v>0</v>
      </c>
    </row>
    <row r="574" spans="1:13" x14ac:dyDescent="0.3">
      <c r="A574" s="11" t="s">
        <v>589</v>
      </c>
      <c r="B574" s="11" t="s">
        <v>16</v>
      </c>
      <c r="C574" s="11">
        <v>5984</v>
      </c>
      <c r="D574" s="12">
        <v>44768</v>
      </c>
      <c r="E574" s="11">
        <f>YEAR(Tableau13[[#This Row],[Date de sous]])</f>
        <v>2022</v>
      </c>
      <c r="F574" s="12">
        <v>44768</v>
      </c>
      <c r="G574" s="12">
        <v>46593</v>
      </c>
      <c r="H574" s="12">
        <v>45686</v>
      </c>
      <c r="I574" s="11">
        <v>2025</v>
      </c>
      <c r="J574" s="12">
        <v>45979</v>
      </c>
      <c r="K574" s="1">
        <f>YEAR(Tableau13[[#This Row],[Date de déclaration]])</f>
        <v>2025</v>
      </c>
      <c r="L574" s="13">
        <v>275559.44</v>
      </c>
      <c r="M574" s="15">
        <f>Tableau13[[#This Row],[Année de déclaration]]-Tableau13[[#This Row],[Année de sinistre]]</f>
        <v>0</v>
      </c>
    </row>
    <row r="575" spans="1:13" x14ac:dyDescent="0.3">
      <c r="A575" s="11" t="s">
        <v>590</v>
      </c>
      <c r="B575" s="11" t="s">
        <v>13</v>
      </c>
      <c r="C575" s="11">
        <v>8925</v>
      </c>
      <c r="D575" s="12">
        <v>44006</v>
      </c>
      <c r="E575" s="11">
        <f>YEAR(Tableau13[[#This Row],[Date de sous]])</f>
        <v>2020</v>
      </c>
      <c r="F575" s="12">
        <v>44008</v>
      </c>
      <c r="G575" s="12">
        <v>46198</v>
      </c>
      <c r="H575" s="12">
        <v>45977</v>
      </c>
      <c r="I575" s="11">
        <v>2025</v>
      </c>
      <c r="J575" s="12">
        <v>45980</v>
      </c>
      <c r="K575" s="1">
        <f>YEAR(Tableau13[[#This Row],[Date de déclaration]])</f>
        <v>2025</v>
      </c>
      <c r="L575" s="13">
        <v>158201.31</v>
      </c>
      <c r="M575" s="15">
        <f>Tableau13[[#This Row],[Année de déclaration]]-Tableau13[[#This Row],[Année de sinistre]]</f>
        <v>0</v>
      </c>
    </row>
    <row r="576" spans="1:13" x14ac:dyDescent="0.3">
      <c r="A576" s="11" t="s">
        <v>591</v>
      </c>
      <c r="B576" s="11" t="s">
        <v>16</v>
      </c>
      <c r="C576" s="11">
        <v>32444</v>
      </c>
      <c r="D576" s="12">
        <v>45351</v>
      </c>
      <c r="E576" s="11">
        <f>YEAR(Tableau13[[#This Row],[Date de sous]])</f>
        <v>2024</v>
      </c>
      <c r="F576" s="12">
        <v>45351</v>
      </c>
      <c r="G576" s="12">
        <v>46446</v>
      </c>
      <c r="H576" s="12">
        <v>45967</v>
      </c>
      <c r="I576" s="11">
        <v>2025</v>
      </c>
      <c r="J576" s="12">
        <v>45986</v>
      </c>
      <c r="K576" s="1">
        <f>YEAR(Tableau13[[#This Row],[Date de déclaration]])</f>
        <v>2025</v>
      </c>
      <c r="L576" s="13">
        <v>222857.14285714284</v>
      </c>
      <c r="M576" s="15">
        <f>Tableau13[[#This Row],[Année de déclaration]]-Tableau13[[#This Row],[Année de sinistre]]</f>
        <v>0</v>
      </c>
    </row>
    <row r="577" spans="1:13" x14ac:dyDescent="0.3">
      <c r="A577" s="11" t="s">
        <v>592</v>
      </c>
      <c r="B577" s="11" t="s">
        <v>16</v>
      </c>
      <c r="C577" s="11">
        <v>858</v>
      </c>
      <c r="D577" s="12">
        <v>44340</v>
      </c>
      <c r="E577" s="11">
        <f>YEAR(Tableau13[[#This Row],[Date de sous]])</f>
        <v>2021</v>
      </c>
      <c r="F577" s="12">
        <v>44340</v>
      </c>
      <c r="G577" s="12">
        <v>46165</v>
      </c>
      <c r="H577" s="12">
        <v>45972</v>
      </c>
      <c r="I577" s="11">
        <v>2025</v>
      </c>
      <c r="J577" s="12">
        <v>45987</v>
      </c>
      <c r="K577" s="1">
        <f>YEAR(Tableau13[[#This Row],[Date de déclaration]])</f>
        <v>2025</v>
      </c>
      <c r="L577" s="13">
        <v>85174.576271186466</v>
      </c>
      <c r="M577" s="15">
        <f>Tableau13[[#This Row],[Année de déclaration]]-Tableau13[[#This Row],[Année de sinistre]]</f>
        <v>0</v>
      </c>
    </row>
    <row r="578" spans="1:13" x14ac:dyDescent="0.3">
      <c r="A578" s="11" t="s">
        <v>593</v>
      </c>
      <c r="B578" s="11" t="s">
        <v>16</v>
      </c>
      <c r="C578" s="11">
        <v>17652</v>
      </c>
      <c r="D578" s="12">
        <v>45791</v>
      </c>
      <c r="E578" s="11">
        <f>YEAR(Tableau13[[#This Row],[Date de sous]])</f>
        <v>2025</v>
      </c>
      <c r="F578" s="12">
        <v>45791</v>
      </c>
      <c r="G578" s="12">
        <v>47616</v>
      </c>
      <c r="H578" s="12">
        <v>45958</v>
      </c>
      <c r="I578" s="11">
        <v>2025</v>
      </c>
      <c r="J578" s="12">
        <v>45987</v>
      </c>
      <c r="K578" s="1">
        <f>YEAR(Tableau13[[#This Row],[Date de déclaration]])</f>
        <v>2025</v>
      </c>
      <c r="L578" s="13">
        <v>901837.85</v>
      </c>
      <c r="M578" s="15">
        <f>Tableau13[[#This Row],[Année de déclaration]]-Tableau13[[#This Row],[Année de sinistre]]</f>
        <v>0</v>
      </c>
    </row>
    <row r="579" spans="1:13" x14ac:dyDescent="0.3">
      <c r="A579" s="11" t="s">
        <v>594</v>
      </c>
      <c r="B579" s="11" t="s">
        <v>16</v>
      </c>
      <c r="C579" s="11">
        <v>30628</v>
      </c>
      <c r="D579" s="12">
        <v>45239</v>
      </c>
      <c r="E579" s="11">
        <f>YEAR(Tableau13[[#This Row],[Date de sous]])</f>
        <v>2023</v>
      </c>
      <c r="F579" s="12">
        <v>45240</v>
      </c>
      <c r="G579" s="12">
        <v>46335</v>
      </c>
      <c r="H579" s="12">
        <v>45982</v>
      </c>
      <c r="I579" s="11">
        <v>2025</v>
      </c>
      <c r="J579" s="12">
        <v>45988</v>
      </c>
      <c r="K579" s="1">
        <f>YEAR(Tableau13[[#This Row],[Date de déclaration]])</f>
        <v>2025</v>
      </c>
      <c r="L579" s="13">
        <v>153749.78</v>
      </c>
      <c r="M579" s="15">
        <f>Tableau13[[#This Row],[Année de déclaration]]-Tableau13[[#This Row],[Année de sinistre]]</f>
        <v>0</v>
      </c>
    </row>
    <row r="580" spans="1:13" x14ac:dyDescent="0.3">
      <c r="A580" s="11" t="s">
        <v>595</v>
      </c>
      <c r="B580" s="11" t="s">
        <v>16</v>
      </c>
      <c r="C580" s="11">
        <v>12436</v>
      </c>
      <c r="D580" s="12">
        <v>45407</v>
      </c>
      <c r="E580" s="11">
        <f>YEAR(Tableau13[[#This Row],[Date de sous]])</f>
        <v>2024</v>
      </c>
      <c r="F580" s="12">
        <v>45407</v>
      </c>
      <c r="G580" s="12">
        <v>47232</v>
      </c>
      <c r="H580" s="12">
        <v>45983</v>
      </c>
      <c r="I580" s="11">
        <v>2025</v>
      </c>
      <c r="J580" s="12">
        <v>45992</v>
      </c>
      <c r="K580" s="1">
        <f>YEAR(Tableau13[[#This Row],[Date de déclaration]])</f>
        <v>2025</v>
      </c>
      <c r="L580" s="13">
        <v>626258.31999999995</v>
      </c>
      <c r="M580" s="15">
        <f>Tableau13[[#This Row],[Année de déclaration]]-Tableau13[[#This Row],[Année de sinistre]]</f>
        <v>0</v>
      </c>
    </row>
    <row r="581" spans="1:13" x14ac:dyDescent="0.3">
      <c r="A581" s="11" t="s">
        <v>596</v>
      </c>
      <c r="B581" s="11" t="s">
        <v>16</v>
      </c>
      <c r="C581" s="11">
        <v>137747</v>
      </c>
      <c r="D581" s="12">
        <v>45091</v>
      </c>
      <c r="E581" s="11">
        <f>YEAR(Tableau13[[#This Row],[Date de sous]])</f>
        <v>2023</v>
      </c>
      <c r="F581" s="12">
        <v>45091</v>
      </c>
      <c r="G581" s="12">
        <v>46917</v>
      </c>
      <c r="H581" s="12">
        <v>45987</v>
      </c>
      <c r="I581" s="11">
        <v>2025</v>
      </c>
      <c r="J581" s="12">
        <v>45993</v>
      </c>
      <c r="K581" s="1">
        <f>YEAR(Tableau13[[#This Row],[Date de déclaration]])</f>
        <v>2025</v>
      </c>
      <c r="L581" s="13">
        <v>545401.98</v>
      </c>
      <c r="M581" s="15">
        <f>Tableau13[[#This Row],[Année de déclaration]]-Tableau13[[#This Row],[Année de sinistre]]</f>
        <v>0</v>
      </c>
    </row>
    <row r="582" spans="1:13" x14ac:dyDescent="0.3">
      <c r="A582" s="11" t="s">
        <v>597</v>
      </c>
      <c r="B582" s="11" t="s">
        <v>13</v>
      </c>
      <c r="C582" s="11">
        <v>19813</v>
      </c>
      <c r="D582" s="12">
        <v>44768</v>
      </c>
      <c r="E582" s="11">
        <f>YEAR(Tableau13[[#This Row],[Date de sous]])</f>
        <v>2022</v>
      </c>
      <c r="F582" s="12">
        <v>44768</v>
      </c>
      <c r="G582" s="12">
        <v>50246</v>
      </c>
      <c r="H582" s="12">
        <v>45985</v>
      </c>
      <c r="I582" s="11">
        <v>2025</v>
      </c>
      <c r="J582" s="12">
        <v>45993</v>
      </c>
      <c r="K582" s="1">
        <f>YEAR(Tableau13[[#This Row],[Date de déclaration]])</f>
        <v>2025</v>
      </c>
      <c r="L582" s="13">
        <v>625774.17000000004</v>
      </c>
      <c r="M582" s="15">
        <f>Tableau13[[#This Row],[Année de déclaration]]-Tableau13[[#This Row],[Année de sinistre]]</f>
        <v>0</v>
      </c>
    </row>
    <row r="583" spans="1:13" x14ac:dyDescent="0.3">
      <c r="A583" s="11" t="s">
        <v>598</v>
      </c>
      <c r="B583" s="11" t="s">
        <v>16</v>
      </c>
      <c r="C583" s="11">
        <v>19454</v>
      </c>
      <c r="D583" s="12">
        <v>45923</v>
      </c>
      <c r="E583" s="11">
        <f>YEAR(Tableau13[[#This Row],[Date de sous]])</f>
        <v>2025</v>
      </c>
      <c r="F583" s="12">
        <v>45923</v>
      </c>
      <c r="G583" s="12">
        <v>47748</v>
      </c>
      <c r="H583" s="12">
        <v>45983</v>
      </c>
      <c r="I583" s="11">
        <v>2025</v>
      </c>
      <c r="J583" s="12">
        <v>45993</v>
      </c>
      <c r="K583" s="1">
        <f>YEAR(Tableau13[[#This Row],[Date de déclaration]])</f>
        <v>2025</v>
      </c>
      <c r="L583" s="13">
        <v>313593.22033898305</v>
      </c>
      <c r="M583" s="15">
        <f>Tableau13[[#This Row],[Année de déclaration]]-Tableau13[[#This Row],[Année de sinistre]]</f>
        <v>0</v>
      </c>
    </row>
    <row r="584" spans="1:13" x14ac:dyDescent="0.3">
      <c r="A584" s="11" t="s">
        <v>599</v>
      </c>
      <c r="B584" s="11" t="s">
        <v>16</v>
      </c>
      <c r="C584" s="11">
        <v>6690</v>
      </c>
      <c r="D584" s="12">
        <v>44845</v>
      </c>
      <c r="E584" s="11">
        <f>YEAR(Tableau13[[#This Row],[Date de sous]])</f>
        <v>2022</v>
      </c>
      <c r="F584" s="12">
        <v>44845</v>
      </c>
      <c r="G584" s="12">
        <v>46670</v>
      </c>
      <c r="H584" s="12">
        <v>45981</v>
      </c>
      <c r="I584" s="11">
        <v>2025</v>
      </c>
      <c r="J584" s="12">
        <v>45994</v>
      </c>
      <c r="K584" s="1">
        <f>YEAR(Tableau13[[#This Row],[Date de déclaration]])</f>
        <v>2025</v>
      </c>
      <c r="L584" s="13">
        <v>295191.96000000002</v>
      </c>
      <c r="M584" s="15">
        <f>Tableau13[[#This Row],[Année de déclaration]]-Tableau13[[#This Row],[Année de sinistre]]</f>
        <v>0</v>
      </c>
    </row>
    <row r="585" spans="1:13" x14ac:dyDescent="0.3">
      <c r="A585" s="11" t="s">
        <v>600</v>
      </c>
      <c r="B585" s="11" t="s">
        <v>16</v>
      </c>
      <c r="C585" s="11">
        <v>5858</v>
      </c>
      <c r="D585" s="12">
        <v>44756</v>
      </c>
      <c r="E585" s="11">
        <f>YEAR(Tableau13[[#This Row],[Date de sous]])</f>
        <v>2022</v>
      </c>
      <c r="F585" s="12">
        <v>44756</v>
      </c>
      <c r="G585" s="12">
        <v>46581</v>
      </c>
      <c r="H585" s="12">
        <v>45980</v>
      </c>
      <c r="I585" s="11">
        <v>2025</v>
      </c>
      <c r="J585" s="12">
        <v>45995</v>
      </c>
      <c r="K585" s="1">
        <f>YEAR(Tableau13[[#This Row],[Date de déclaration]])</f>
        <v>2025</v>
      </c>
      <c r="L585" s="13">
        <v>353601.01</v>
      </c>
      <c r="M585" s="15">
        <f>Tableau13[[#This Row],[Année de déclaration]]-Tableau13[[#This Row],[Année de sinistre]]</f>
        <v>0</v>
      </c>
    </row>
    <row r="586" spans="1:13" x14ac:dyDescent="0.3">
      <c r="A586" s="11" t="s">
        <v>601</v>
      </c>
      <c r="B586" s="11" t="s">
        <v>16</v>
      </c>
      <c r="C586" s="11">
        <v>32509</v>
      </c>
      <c r="D586" s="12">
        <v>45355</v>
      </c>
      <c r="E586" s="11">
        <f>YEAR(Tableau13[[#This Row],[Date de sous]])</f>
        <v>2024</v>
      </c>
      <c r="F586" s="12">
        <v>45355</v>
      </c>
      <c r="G586" s="12">
        <v>46449</v>
      </c>
      <c r="H586" s="12">
        <v>45942</v>
      </c>
      <c r="I586" s="11">
        <v>2025</v>
      </c>
      <c r="J586" s="12">
        <v>45999</v>
      </c>
      <c r="K586" s="1">
        <f>YEAR(Tableau13[[#This Row],[Date de déclaration]])</f>
        <v>2025</v>
      </c>
      <c r="L586" s="13">
        <v>136685.71428571429</v>
      </c>
      <c r="M586" s="15">
        <f>Tableau13[[#This Row],[Année de déclaration]]-Tableau13[[#This Row],[Année de sinistre]]</f>
        <v>0</v>
      </c>
    </row>
    <row r="587" spans="1:13" x14ac:dyDescent="0.3">
      <c r="A587" s="11" t="s">
        <v>602</v>
      </c>
      <c r="B587" s="11" t="s">
        <v>16</v>
      </c>
      <c r="C587" s="11">
        <v>18108</v>
      </c>
      <c r="D587" s="12">
        <v>45820</v>
      </c>
      <c r="E587" s="11">
        <f>YEAR(Tableau13[[#This Row],[Date de sous]])</f>
        <v>2025</v>
      </c>
      <c r="F587" s="12">
        <v>45820</v>
      </c>
      <c r="G587" s="12">
        <v>47645</v>
      </c>
      <c r="H587" s="12">
        <v>45978</v>
      </c>
      <c r="I587" s="11">
        <v>2025</v>
      </c>
      <c r="J587" s="12">
        <v>46001</v>
      </c>
      <c r="K587" s="1">
        <f>YEAR(Tableau13[[#This Row],[Date de déclaration]])</f>
        <v>2025</v>
      </c>
      <c r="L587" s="13">
        <v>766082.1</v>
      </c>
      <c r="M587" s="15">
        <f>Tableau13[[#This Row],[Année de déclaration]]-Tableau13[[#This Row],[Année de sinistre]]</f>
        <v>0</v>
      </c>
    </row>
    <row r="588" spans="1:13" x14ac:dyDescent="0.3">
      <c r="A588" s="11" t="s">
        <v>603</v>
      </c>
      <c r="B588" s="11" t="s">
        <v>16</v>
      </c>
      <c r="C588" s="11">
        <v>33935</v>
      </c>
      <c r="D588" s="12">
        <v>45439</v>
      </c>
      <c r="E588" s="11">
        <f>YEAR(Tableau13[[#This Row],[Date de sous]])</f>
        <v>2024</v>
      </c>
      <c r="F588" s="12">
        <v>45439</v>
      </c>
      <c r="G588" s="12">
        <v>46533</v>
      </c>
      <c r="H588" s="12">
        <v>45865</v>
      </c>
      <c r="I588" s="11">
        <v>2025</v>
      </c>
      <c r="J588" s="12">
        <v>46009</v>
      </c>
      <c r="K588" s="1">
        <f>YEAR(Tableau13[[#This Row],[Date de déclaration]])</f>
        <v>2025</v>
      </c>
      <c r="L588" s="13">
        <v>179400</v>
      </c>
      <c r="M588" s="15">
        <f>Tableau13[[#This Row],[Année de déclaration]]-Tableau13[[#This Row],[Année de sinistre]]</f>
        <v>0</v>
      </c>
    </row>
    <row r="589" spans="1:13" x14ac:dyDescent="0.3">
      <c r="A589" s="11" t="s">
        <v>604</v>
      </c>
      <c r="B589" s="11" t="s">
        <v>13</v>
      </c>
      <c r="C589" s="11">
        <v>31</v>
      </c>
      <c r="D589" s="12">
        <v>42835</v>
      </c>
      <c r="E589" s="11">
        <f>YEAR(Tableau13[[#This Row],[Date de sous]])</f>
        <v>2017</v>
      </c>
      <c r="F589" s="12">
        <v>42836</v>
      </c>
      <c r="G589" s="12">
        <v>49775</v>
      </c>
      <c r="H589" s="12">
        <v>45951</v>
      </c>
      <c r="I589" s="11">
        <v>2025</v>
      </c>
      <c r="J589" s="12">
        <v>46009</v>
      </c>
      <c r="K589" s="1">
        <f>YEAR(Tableau13[[#This Row],[Date de déclaration]])</f>
        <v>2025</v>
      </c>
      <c r="L589" s="13">
        <v>4919075.9911894277</v>
      </c>
      <c r="M589" s="15">
        <f>Tableau13[[#This Row],[Année de déclaration]]-Tableau13[[#This Row],[Année de sinistre]]</f>
        <v>0</v>
      </c>
    </row>
    <row r="590" spans="1:13" x14ac:dyDescent="0.3">
      <c r="A590" s="11" t="s">
        <v>605</v>
      </c>
      <c r="B590" s="11" t="s">
        <v>16</v>
      </c>
      <c r="C590" s="11">
        <v>600607</v>
      </c>
      <c r="D590" s="12">
        <v>45089</v>
      </c>
      <c r="E590" s="11">
        <f>YEAR(Tableau13[[#This Row],[Date de sous]])</f>
        <v>2023</v>
      </c>
      <c r="F590" s="12">
        <v>45089</v>
      </c>
      <c r="G590" s="12">
        <v>46914</v>
      </c>
      <c r="H590" s="12">
        <v>45857</v>
      </c>
      <c r="I590" s="11">
        <v>2025</v>
      </c>
      <c r="J590" s="12">
        <v>46013</v>
      </c>
      <c r="K590" s="1">
        <f>YEAR(Tableau13[[#This Row],[Date de déclaration]])</f>
        <v>2025</v>
      </c>
      <c r="L590" s="13">
        <v>698355.06</v>
      </c>
      <c r="M590" s="15">
        <f>Tableau13[[#This Row],[Année de déclaration]]-Tableau13[[#This Row],[Année de sinistre]]</f>
        <v>0</v>
      </c>
    </row>
    <row r="591" spans="1:13" x14ac:dyDescent="0.3">
      <c r="A591" s="11" t="s">
        <v>606</v>
      </c>
      <c r="B591" s="11" t="s">
        <v>16</v>
      </c>
      <c r="C591" s="11">
        <v>39157</v>
      </c>
      <c r="D591" s="12">
        <v>45838</v>
      </c>
      <c r="E591" s="11">
        <f>YEAR(Tableau13[[#This Row],[Date de sous]])</f>
        <v>2025</v>
      </c>
      <c r="F591" s="12">
        <v>45838</v>
      </c>
      <c r="G591" s="12">
        <v>46933</v>
      </c>
      <c r="H591" s="12">
        <v>45997</v>
      </c>
      <c r="I591" s="11">
        <v>2025</v>
      </c>
      <c r="J591" s="12">
        <v>46013</v>
      </c>
      <c r="K591" s="1">
        <f>YEAR(Tableau13[[#This Row],[Date de déclaration]])</f>
        <v>2025</v>
      </c>
      <c r="L591" s="13">
        <v>390920.9</v>
      </c>
      <c r="M591" s="15">
        <f>Tableau13[[#This Row],[Année de déclaration]]-Tableau13[[#This Row],[Année de sinistre]]</f>
        <v>0</v>
      </c>
    </row>
    <row r="592" spans="1:13" x14ac:dyDescent="0.3">
      <c r="A592" s="11" t="s">
        <v>607</v>
      </c>
      <c r="B592" s="11" t="s">
        <v>16</v>
      </c>
      <c r="C592" s="11">
        <v>602968</v>
      </c>
      <c r="D592" s="12">
        <v>45623</v>
      </c>
      <c r="E592" s="11">
        <f>YEAR(Tableau13[[#This Row],[Date de sous]])</f>
        <v>2024</v>
      </c>
      <c r="F592" s="12">
        <v>45623</v>
      </c>
      <c r="G592" s="12">
        <v>47477</v>
      </c>
      <c r="H592" s="12">
        <v>45792</v>
      </c>
      <c r="I592" s="11">
        <v>2025</v>
      </c>
      <c r="J592" s="12">
        <v>46014</v>
      </c>
      <c r="K592" s="1">
        <f>YEAR(Tableau13[[#This Row],[Date de déclaration]])</f>
        <v>2025</v>
      </c>
      <c r="L592" s="13">
        <v>473916.66666666669</v>
      </c>
      <c r="M592" s="15">
        <f>Tableau13[[#This Row],[Année de déclaration]]-Tableau13[[#This Row],[Année de sinistre]]</f>
        <v>0</v>
      </c>
    </row>
    <row r="593" spans="1:13" x14ac:dyDescent="0.3">
      <c r="A593" s="11" t="s">
        <v>608</v>
      </c>
      <c r="B593" s="11" t="s">
        <v>16</v>
      </c>
      <c r="C593" s="11">
        <v>16234</v>
      </c>
      <c r="D593" s="12">
        <v>45692</v>
      </c>
      <c r="E593" s="11">
        <f>YEAR(Tableau13[[#This Row],[Date de sous]])</f>
        <v>2025</v>
      </c>
      <c r="F593" s="12">
        <v>45692</v>
      </c>
      <c r="G593" s="12">
        <v>47517</v>
      </c>
      <c r="H593" s="12">
        <v>45927</v>
      </c>
      <c r="I593" s="11">
        <v>2025</v>
      </c>
      <c r="J593" s="12">
        <v>46019</v>
      </c>
      <c r="K593" s="1">
        <f>YEAR(Tableau13[[#This Row],[Date de déclaration]])</f>
        <v>2025</v>
      </c>
      <c r="L593" s="13">
        <v>932526.3</v>
      </c>
      <c r="M593" s="15">
        <f>Tableau13[[#This Row],[Année de déclaration]]-Tableau13[[#This Row],[Année de sinistre]]</f>
        <v>0</v>
      </c>
    </row>
    <row r="594" spans="1:13" x14ac:dyDescent="0.3">
      <c r="A594" s="11" t="s">
        <v>609</v>
      </c>
      <c r="B594" s="11" t="s">
        <v>13</v>
      </c>
      <c r="C594" s="11">
        <v>34136</v>
      </c>
      <c r="D594" s="12">
        <v>45523</v>
      </c>
      <c r="E594" s="11">
        <f>YEAR(Tableau13[[#This Row],[Date de sous]])</f>
        <v>2024</v>
      </c>
      <c r="F594" s="12">
        <v>45532</v>
      </c>
      <c r="G594" s="12">
        <v>59775</v>
      </c>
      <c r="H594" s="12">
        <v>46014</v>
      </c>
      <c r="I594" s="11">
        <v>2025</v>
      </c>
      <c r="J594" s="12">
        <v>46021</v>
      </c>
      <c r="K594" s="1">
        <f>YEAR(Tableau13[[#This Row],[Date de déclaration]])</f>
        <v>2025</v>
      </c>
      <c r="L594" s="13">
        <v>10646680.942184154</v>
      </c>
      <c r="M594" s="15">
        <f>Tableau13[[#This Row],[Année de déclaration]]-Tableau13[[#This Row],[Année de sinistre]]</f>
        <v>0</v>
      </c>
    </row>
    <row r="595" spans="1:13" x14ac:dyDescent="0.3">
      <c r="A595" s="11" t="s">
        <v>610</v>
      </c>
      <c r="B595" s="11" t="s">
        <v>16</v>
      </c>
      <c r="C595" s="11">
        <v>33914</v>
      </c>
      <c r="D595" s="12">
        <v>45438</v>
      </c>
      <c r="E595" s="11">
        <f>YEAR(Tableau13[[#This Row],[Date de sous]])</f>
        <v>2024</v>
      </c>
      <c r="F595" s="12">
        <v>45438</v>
      </c>
      <c r="G595" s="12">
        <v>46532</v>
      </c>
      <c r="H595" s="12">
        <v>45909</v>
      </c>
      <c r="I595" s="11">
        <v>2025</v>
      </c>
      <c r="J595" s="12">
        <v>46021</v>
      </c>
      <c r="K595" s="1">
        <f>YEAR(Tableau13[[#This Row],[Date de déclaration]])</f>
        <v>2025</v>
      </c>
      <c r="L595" s="13">
        <v>268600</v>
      </c>
      <c r="M595" s="15">
        <f>Tableau13[[#This Row],[Année de déclaration]]-Tableau13[[#This Row],[Année de sinistre]]</f>
        <v>0</v>
      </c>
    </row>
    <row r="596" spans="1:13" x14ac:dyDescent="0.3">
      <c r="A596" s="11" t="s">
        <v>611</v>
      </c>
      <c r="B596" s="11" t="s">
        <v>13</v>
      </c>
      <c r="C596" s="11">
        <v>23485</v>
      </c>
      <c r="D596" s="12">
        <v>44971</v>
      </c>
      <c r="E596" s="11">
        <f>YEAR(Tableau13[[#This Row],[Date de sous]])</f>
        <v>2023</v>
      </c>
      <c r="F596" s="12">
        <v>44972</v>
      </c>
      <c r="G596" s="12">
        <v>56659</v>
      </c>
      <c r="H596" s="12">
        <v>46015</v>
      </c>
      <c r="I596" s="11">
        <v>2025</v>
      </c>
      <c r="J596" s="12">
        <v>46022</v>
      </c>
      <c r="K596" s="1">
        <f>YEAR(Tableau13[[#This Row],[Date de déclaration]])</f>
        <v>2025</v>
      </c>
      <c r="L596" s="13">
        <v>8723378.0156657957</v>
      </c>
      <c r="M596" s="15">
        <f>Tableau13[[#This Row],[Année de déclaration]]-Tableau13[[#This Row],[Année de sinistre]]</f>
        <v>0</v>
      </c>
    </row>
    <row r="597" spans="1:13" x14ac:dyDescent="0.3">
      <c r="A597" s="11" t="s">
        <v>612</v>
      </c>
      <c r="B597" s="11" t="s">
        <v>16</v>
      </c>
      <c r="C597" s="11">
        <v>600427</v>
      </c>
      <c r="D597" s="12">
        <v>45042</v>
      </c>
      <c r="E597" s="11">
        <f>YEAR(Tableau13[[#This Row],[Date de sous]])</f>
        <v>2023</v>
      </c>
      <c r="F597" s="12">
        <v>45043</v>
      </c>
      <c r="G597" s="12">
        <v>46867</v>
      </c>
      <c r="H597" s="12">
        <v>45993</v>
      </c>
      <c r="I597" s="11">
        <v>2025</v>
      </c>
      <c r="J597" s="12">
        <v>46022</v>
      </c>
      <c r="K597" s="1">
        <f>YEAR(Tableau13[[#This Row],[Date de déclaration]])</f>
        <v>2025</v>
      </c>
      <c r="L597" s="13">
        <v>362714.51</v>
      </c>
      <c r="M597" s="15">
        <f>Tableau13[[#This Row],[Année de déclaration]]-Tableau13[[#This Row],[Année de sinistre]]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calcule IBNR</vt:lpstr>
      <vt:lpstr>base 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 Youfiane</dc:creator>
  <cp:lastModifiedBy>Yazid BOUBEKEUR</cp:lastModifiedBy>
  <dcterms:created xsi:type="dcterms:W3CDTF">2026-04-17T14:19:17Z</dcterms:created>
  <dcterms:modified xsi:type="dcterms:W3CDTF">2026-04-18T03:01:43Z</dcterms:modified>
</cp:coreProperties>
</file>