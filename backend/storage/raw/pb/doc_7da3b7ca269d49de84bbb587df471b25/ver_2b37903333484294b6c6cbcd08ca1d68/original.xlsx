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roposer des thèmes stratégiques pour le défi d'innovation étudiant\FINAL DATA\"/>
    </mc:Choice>
  </mc:AlternateContent>
  <xr:revisionPtr revIDLastSave="0" documentId="8_{BE6DE4D1-C825-42B7-B0BA-D84DD7D54DFD}" xr6:coauthVersionLast="47" xr6:coauthVersionMax="47" xr10:uidLastSave="{00000000-0000-0000-0000-000000000000}"/>
  <bookViews>
    <workbookView xWindow="-108" yWindow="-108" windowWidth="23256" windowHeight="12576" xr2:uid="{C4BF05CF-1B7F-48FB-827D-224AA6E04976}"/>
  </bookViews>
  <sheets>
    <sheet name="BASE" sheetId="1" r:id="rId1"/>
  </sheets>
  <externalReferences>
    <externalReference r:id="rId2"/>
  </externalReferences>
  <definedNames>
    <definedName name="_xlnm._FilterDatabase" localSheetId="0" hidden="1">BASE!$A$5:$V$9</definedName>
    <definedName name="isDeath">[1]Parameters!$D$20</definedName>
    <definedName name="isOK">[1]Readme!$H$26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O6" i="1"/>
  <c r="Q6" i="1" s="1"/>
  <c r="R6" i="1" s="1"/>
  <c r="U6" i="1"/>
  <c r="W6" i="1" s="1"/>
  <c r="J7" i="1"/>
  <c r="O7" i="1"/>
  <c r="Q7" i="1" s="1"/>
  <c r="U7" i="1"/>
  <c r="J8" i="1"/>
  <c r="O8" i="1"/>
  <c r="Q8" i="1"/>
  <c r="R8" i="1"/>
  <c r="U8" i="1"/>
  <c r="W8" i="1" s="1"/>
  <c r="J9" i="1"/>
  <c r="R9" i="1" s="1"/>
  <c r="O9" i="1"/>
  <c r="Q9" i="1"/>
  <c r="U9" i="1"/>
  <c r="W9" i="1" s="1"/>
  <c r="J10" i="1"/>
  <c r="R10" i="1" s="1"/>
  <c r="O10" i="1"/>
  <c r="Q10" i="1"/>
  <c r="U10" i="1"/>
  <c r="W10" i="1" s="1"/>
  <c r="W7" i="1" l="1"/>
  <c r="R7" i="1"/>
</calcChain>
</file>

<file path=xl/sharedStrings.xml><?xml version="1.0" encoding="utf-8"?>
<sst xmlns="http://schemas.openxmlformats.org/spreadsheetml/2006/main" count="40" uniqueCount="40">
  <si>
    <t>1622.2022.10.26.00005</t>
  </si>
  <si>
    <t>R5</t>
  </si>
  <si>
    <t>C5</t>
  </si>
  <si>
    <t>900.2022.10.26.00001</t>
  </si>
  <si>
    <t>R4</t>
  </si>
  <si>
    <t>C4</t>
  </si>
  <si>
    <t>1622.2022.10.26.00004</t>
  </si>
  <si>
    <t>R3</t>
  </si>
  <si>
    <t>C3</t>
  </si>
  <si>
    <t>1622.2022.10.26.00003</t>
  </si>
  <si>
    <t>R2</t>
  </si>
  <si>
    <t>C2</t>
  </si>
  <si>
    <t>1622.2022.10.26.00002</t>
  </si>
  <si>
    <t>R1</t>
  </si>
  <si>
    <t>C1</t>
  </si>
  <si>
    <t>Participation aux bénéfices du solde créditeur</t>
  </si>
  <si>
    <t xml:space="preserve">taux pb </t>
  </si>
  <si>
    <t>bénéficier au PN</t>
  </si>
  <si>
    <t xml:space="preserve">Condition de PB S/P &lt;= </t>
  </si>
  <si>
    <t>S/P au 31-12-2022</t>
  </si>
  <si>
    <t>Solde Crediteur</t>
  </si>
  <si>
    <t>TOTAL DEBIT</t>
  </si>
  <si>
    <t xml:space="preserve">Report du solde Débiteur eventuel des exercices anterieurs </t>
  </si>
  <si>
    <t>Les frais de gestion X% des primes nettes</t>
  </si>
  <si>
    <t xml:space="preserve">% frais de gestion </t>
  </si>
  <si>
    <t>Provisions pour SAP au 31/12/N</t>
  </si>
  <si>
    <t>Provisions pour risques en cours au 31/12/N</t>
  </si>
  <si>
    <t>Les sinistres payés(sinistre réglé) de l'éxercice N</t>
  </si>
  <si>
    <t>TOTAL  CREDIT</t>
  </si>
  <si>
    <t>Provisions pour SAP AU 01/01/N</t>
  </si>
  <si>
    <t>REC au 01/01/N</t>
  </si>
  <si>
    <t xml:space="preserve"> Primes de l'exercice N</t>
  </si>
  <si>
    <t>Date Sousciption</t>
  </si>
  <si>
    <t>Date d'échéance</t>
  </si>
  <si>
    <t xml:space="preserve">Date d'effet </t>
  </si>
  <si>
    <t>N° Police</t>
  </si>
  <si>
    <t>Canal</t>
  </si>
  <si>
    <t>Client</t>
  </si>
  <si>
    <t>31/12/N</t>
  </si>
  <si>
    <r>
      <t>date de clôture</t>
    </r>
    <r>
      <rPr>
        <sz val="10"/>
        <color theme="1"/>
        <rFont val="Times New Roman"/>
        <family val="1"/>
      </rPr>
      <t xml:space="preserve">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</si>
</sst>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D_A_-;\-* #,##0.00\ _D_A_-;_-* &quot;-&quot;??\ _D_A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164" fontId="3" fillId="0" borderId="0" xfId="1" applyFont="1"/>
    <xf numFmtId="9" fontId="3" fillId="0" borderId="0" xfId="2" applyFont="1"/>
    <xf numFmtId="164" fontId="3" fillId="2" borderId="0" xfId="1" applyFont="1" applyFill="1"/>
    <xf numFmtId="14" fontId="3" fillId="0" borderId="0" xfId="0" applyNumberFormat="1" applyFont="1"/>
    <xf numFmtId="9" fontId="3" fillId="2" borderId="0" xfId="2" applyFont="1" applyFill="1"/>
    <xf numFmtId="14" fontId="3" fillId="2" borderId="0" xfId="1" applyNumberFormat="1" applyFont="1" applyFill="1"/>
    <xf numFmtId="164" fontId="4" fillId="3" borderId="0" xfId="1" applyFont="1" applyFill="1" applyAlignment="1">
      <alignment horizontal="center" vertical="center" wrapText="1"/>
    </xf>
    <xf numFmtId="9" fontId="3" fillId="4" borderId="1" xfId="2" applyFont="1" applyFill="1" applyBorder="1"/>
    <xf numFmtId="14" fontId="5" fillId="4" borderId="2" xfId="0" applyNumberFormat="1" applyFont="1" applyFill="1" applyBorder="1" applyAlignment="1">
      <alignment horizontal="center" vertical="center" wrapText="1"/>
    </xf>
    <xf numFmtId="9" fontId="5" fillId="4" borderId="2" xfId="2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164" fontId="5" fillId="5" borderId="2" xfId="1" applyFont="1" applyFill="1" applyBorder="1" applyAlignment="1">
      <alignment horizontal="center" vertical="center" wrapText="1"/>
    </xf>
    <xf numFmtId="164" fontId="5" fillId="6" borderId="2" xfId="1" applyFont="1" applyFill="1" applyBorder="1" applyAlignment="1">
      <alignment horizontal="center" vertical="center" wrapText="1"/>
    </xf>
    <xf numFmtId="14" fontId="5" fillId="6" borderId="2" xfId="0" applyNumberFormat="1" applyFont="1" applyFill="1" applyBorder="1" applyAlignment="1">
      <alignment horizontal="center" wrapText="1"/>
    </xf>
    <xf numFmtId="164" fontId="5" fillId="6" borderId="2" xfId="1" applyFont="1" applyFill="1" applyBorder="1" applyAlignment="1">
      <alignment horizontal="center" wrapText="1"/>
    </xf>
    <xf numFmtId="0" fontId="3" fillId="6" borderId="1" xfId="0" applyFont="1" applyFill="1" applyBorder="1"/>
    <xf numFmtId="164" fontId="5" fillId="7" borderId="4" xfId="1" applyFont="1" applyFill="1" applyBorder="1" applyAlignment="1">
      <alignment horizontal="center" vertical="center"/>
    </xf>
    <xf numFmtId="164" fontId="3" fillId="7" borderId="4" xfId="1" applyFont="1" applyFill="1" applyBorder="1" applyAlignment="1">
      <alignment horizontal="center" wrapText="1"/>
    </xf>
    <xf numFmtId="164" fontId="3" fillId="7" borderId="4" xfId="1" applyFont="1" applyFill="1" applyBorder="1" applyAlignment="1">
      <alignment horizontal="center" vertical="center"/>
    </xf>
    <xf numFmtId="0" fontId="3" fillId="4" borderId="5" xfId="0" applyFont="1" applyFill="1" applyBorder="1"/>
    <xf numFmtId="14" fontId="3" fillId="4" borderId="5" xfId="0" applyNumberFormat="1" applyFont="1" applyFill="1" applyBorder="1"/>
    <xf numFmtId="9" fontId="2" fillId="0" borderId="0" xfId="2" applyFont="1" applyBorder="1" applyAlignment="1">
      <alignment horizontal="center"/>
    </xf>
    <xf numFmtId="164" fontId="2" fillId="0" borderId="0" xfId="1" applyFont="1" applyBorder="1" applyAlignment="1">
      <alignment horizontal="center"/>
    </xf>
    <xf numFmtId="0" fontId="6" fillId="0" borderId="0" xfId="0" applyFont="1" applyAlignment="1">
      <alignment horizontal="left" vertical="center" indent="1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glic.local\aglic\Users\farida.barka\Desktop\Tatoo%20backup%20-%20Death%20+%20TD%20+%20IU%20V1.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Parameters"/>
      <sheetName val="Loadings - not available"/>
      <sheetName val="Technical Bases"/>
      <sheetName val="Results"/>
      <sheetName val="Underlying Product Result"/>
      <sheetName val="DC Results"/>
      <sheetName val="TD results 1"/>
      <sheetName val="TD Results"/>
      <sheetName val="IU results 1"/>
      <sheetName val="UI Results"/>
    </sheetNames>
    <sheetDataSet>
      <sheetData sheetId="0">
        <row r="26">
          <cell r="H26" t="str">
            <v>Yes</v>
          </cell>
        </row>
      </sheetData>
      <sheetData sheetId="1">
        <row r="20">
          <cell r="D20" t="str">
            <v>Yes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E7643-D3C8-4774-A3AD-28B601324078}">
  <sheetPr>
    <tabColor theme="4"/>
    <pageSetUpPr fitToPage="1"/>
  </sheetPr>
  <dimension ref="A3:W10"/>
  <sheetViews>
    <sheetView tabSelected="1" workbookViewId="0">
      <selection activeCell="A28" sqref="A28"/>
    </sheetView>
  </sheetViews>
  <sheetFormatPr baseColWidth="10" defaultColWidth="11.44140625" defaultRowHeight="12" x14ac:dyDescent="0.25"/>
  <cols>
    <col min="1" max="1" width="39.44140625" style="1" bestFit="1" customWidth="1"/>
    <col min="2" max="2" width="10.109375" style="1" customWidth="1"/>
    <col min="3" max="3" width="21.88671875" style="1" customWidth="1"/>
    <col min="4" max="4" width="27.6640625" style="1" customWidth="1"/>
    <col min="5" max="5" width="26.88671875" style="1" customWidth="1"/>
    <col min="6" max="6" width="15.88671875" style="1" customWidth="1"/>
    <col min="7" max="7" width="20.21875" style="2" customWidth="1"/>
    <col min="8" max="8" width="17.77734375" style="2" bestFit="1" customWidth="1"/>
    <col min="9" max="9" width="19.21875" style="2" bestFit="1" customWidth="1"/>
    <col min="10" max="10" width="15.6640625" style="2" bestFit="1" customWidth="1"/>
    <col min="11" max="11" width="18.109375" style="2" customWidth="1"/>
    <col min="12" max="12" width="21.109375" style="2" customWidth="1"/>
    <col min="13" max="13" width="15.21875" style="2" customWidth="1"/>
    <col min="14" max="14" width="15.21875" style="1" customWidth="1"/>
    <col min="15" max="15" width="20.88671875" style="2" bestFit="1" customWidth="1"/>
    <col min="16" max="16" width="20.88671875" style="1" customWidth="1"/>
    <col min="17" max="19" width="20.88671875" style="2" customWidth="1"/>
    <col min="20" max="20" width="20.88671875" style="3" customWidth="1"/>
    <col min="21" max="21" width="14.44140625" style="1" customWidth="1"/>
    <col min="22" max="22" width="14.44140625" style="3" customWidth="1"/>
    <col min="23" max="23" width="22.44140625" style="2" customWidth="1"/>
    <col min="24" max="16384" width="11.44140625" style="1"/>
  </cols>
  <sheetData>
    <row r="3" spans="1:23" s="1" customFormat="1" ht="13.2" x14ac:dyDescent="0.25">
      <c r="A3" s="25" t="s">
        <v>39</v>
      </c>
      <c r="B3" s="1" t="s">
        <v>38</v>
      </c>
      <c r="G3" s="2"/>
      <c r="H3" s="2"/>
      <c r="I3" s="2"/>
      <c r="J3" s="2"/>
      <c r="K3" s="2"/>
      <c r="L3" s="2"/>
      <c r="M3" s="2"/>
      <c r="O3" s="2"/>
      <c r="Q3" s="2"/>
      <c r="R3" s="2"/>
      <c r="S3" s="2"/>
      <c r="T3" s="3"/>
      <c r="V3" s="3"/>
      <c r="W3" s="2"/>
    </row>
    <row r="4" spans="1:23" s="1" customFormat="1" ht="14.4" x14ac:dyDescent="0.3">
      <c r="G4" s="24"/>
      <c r="H4" s="2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3"/>
      <c r="U4" s="24"/>
      <c r="V4" s="23"/>
      <c r="W4" s="2"/>
    </row>
    <row r="5" spans="1:23" s="1" customFormat="1" ht="36" x14ac:dyDescent="0.25">
      <c r="A5" s="21" t="s">
        <v>37</v>
      </c>
      <c r="B5" s="21" t="s">
        <v>36</v>
      </c>
      <c r="C5" s="21" t="s">
        <v>35</v>
      </c>
      <c r="D5" s="22" t="s">
        <v>34</v>
      </c>
      <c r="E5" s="22" t="s">
        <v>33</v>
      </c>
      <c r="F5" s="21" t="s">
        <v>32</v>
      </c>
      <c r="G5" s="20" t="s">
        <v>31</v>
      </c>
      <c r="H5" s="20" t="s">
        <v>30</v>
      </c>
      <c r="I5" s="19" t="s">
        <v>29</v>
      </c>
      <c r="J5" s="18" t="s">
        <v>28</v>
      </c>
      <c r="K5" s="16" t="s">
        <v>27</v>
      </c>
      <c r="L5" s="16" t="s">
        <v>26</v>
      </c>
      <c r="M5" s="16" t="s">
        <v>25</v>
      </c>
      <c r="N5" s="17" t="s">
        <v>24</v>
      </c>
      <c r="O5" s="16" t="s">
        <v>23</v>
      </c>
      <c r="P5" s="15" t="s">
        <v>22</v>
      </c>
      <c r="Q5" s="14" t="s">
        <v>21</v>
      </c>
      <c r="R5" s="13" t="s">
        <v>20</v>
      </c>
      <c r="S5" s="12" t="s">
        <v>19</v>
      </c>
      <c r="T5" s="11" t="s">
        <v>18</v>
      </c>
      <c r="U5" s="10" t="s">
        <v>17</v>
      </c>
      <c r="V5" s="9" t="s">
        <v>16</v>
      </c>
      <c r="W5" s="8" t="s">
        <v>15</v>
      </c>
    </row>
    <row r="6" spans="1:23" s="4" customFormat="1" x14ac:dyDescent="0.25">
      <c r="A6" s="4" t="s">
        <v>14</v>
      </c>
      <c r="B6" s="4" t="s">
        <v>13</v>
      </c>
      <c r="C6" s="1" t="s">
        <v>12</v>
      </c>
      <c r="D6" s="7">
        <v>44562</v>
      </c>
      <c r="E6" s="7">
        <v>44926</v>
      </c>
      <c r="F6" s="7">
        <v>44262</v>
      </c>
      <c r="G6" s="4">
        <v>60194000</v>
      </c>
      <c r="H6" s="4">
        <v>0</v>
      </c>
      <c r="I6" s="4">
        <v>3316957.7</v>
      </c>
      <c r="J6" s="4">
        <f>+G6+H6+I6</f>
        <v>63510957.700000003</v>
      </c>
      <c r="K6" s="4">
        <v>3753906.1099999002</v>
      </c>
      <c r="L6" s="4">
        <v>0</v>
      </c>
      <c r="M6" s="4">
        <v>2366554.39</v>
      </c>
      <c r="N6" s="6">
        <v>0.25</v>
      </c>
      <c r="O6" s="2">
        <f>+N6*G6</f>
        <v>15048500</v>
      </c>
      <c r="P6" s="4">
        <v>20369360.766799901</v>
      </c>
      <c r="Q6" s="4">
        <f>+K6+L6+M6+O6+P6</f>
        <v>41538321.2667998</v>
      </c>
      <c r="R6" s="4">
        <f>J6-Q6</f>
        <v>21972636.433200203</v>
      </c>
      <c r="S6" s="6">
        <v>0.4</v>
      </c>
      <c r="T6" s="6">
        <v>0.5</v>
      </c>
      <c r="U6" s="4" t="str">
        <f>IF(S6&lt;=T6,"OUI","NON")</f>
        <v>OUI</v>
      </c>
      <c r="V6" s="6">
        <v>0.5</v>
      </c>
      <c r="W6" s="4">
        <f>IF(U6="NON",0,IF(R6&lt;=0,0,V6*R6))</f>
        <v>10986318.216600101</v>
      </c>
    </row>
    <row r="7" spans="1:23" s="1" customFormat="1" x14ac:dyDescent="0.25">
      <c r="A7" s="1" t="s">
        <v>11</v>
      </c>
      <c r="B7" s="1" t="s">
        <v>10</v>
      </c>
      <c r="C7" s="1" t="s">
        <v>9</v>
      </c>
      <c r="D7" s="5">
        <v>44593</v>
      </c>
      <c r="E7" s="5">
        <v>44957</v>
      </c>
      <c r="F7" s="5">
        <v>44599</v>
      </c>
      <c r="G7" s="2">
        <v>16300800</v>
      </c>
      <c r="H7" s="2">
        <v>0</v>
      </c>
      <c r="I7" s="2">
        <v>223282.82</v>
      </c>
      <c r="J7" s="2">
        <f>+G7+H7+I7</f>
        <v>16524082.82</v>
      </c>
      <c r="K7" s="2">
        <v>12675140.84</v>
      </c>
      <c r="L7" s="2">
        <v>1384451.506849315</v>
      </c>
      <c r="M7" s="2">
        <v>223282.82</v>
      </c>
      <c r="N7" s="3">
        <v>0.3</v>
      </c>
      <c r="O7" s="2">
        <f>+N7*G7</f>
        <v>4890240</v>
      </c>
      <c r="P7" s="1">
        <v>0</v>
      </c>
      <c r="Q7" s="4">
        <f>+K7+L7+M7+O7+P7</f>
        <v>19173115.166849315</v>
      </c>
      <c r="R7" s="2">
        <f>J7-Q7</f>
        <v>-2649032.3468493149</v>
      </c>
      <c r="S7" s="3">
        <v>0.6</v>
      </c>
      <c r="T7" s="3">
        <v>0.7</v>
      </c>
      <c r="U7" s="4" t="str">
        <f>IF(S7&lt;=T7,"OUI","NON")</f>
        <v>OUI</v>
      </c>
      <c r="V7" s="3">
        <v>0.2</v>
      </c>
      <c r="W7" s="2">
        <f>IF(U7="NON",0,IF(R7&lt;=0,0,V7*R7))</f>
        <v>0</v>
      </c>
    </row>
    <row r="8" spans="1:23" s="1" customFormat="1" x14ac:dyDescent="0.25">
      <c r="A8" s="4" t="s">
        <v>8</v>
      </c>
      <c r="B8" s="4" t="s">
        <v>7</v>
      </c>
      <c r="C8" s="1" t="s">
        <v>6</v>
      </c>
      <c r="D8" s="5">
        <v>44593</v>
      </c>
      <c r="E8" s="5">
        <v>44957</v>
      </c>
      <c r="F8" s="5">
        <v>44599</v>
      </c>
      <c r="G8" s="2">
        <v>11267200</v>
      </c>
      <c r="H8" s="2"/>
      <c r="I8" s="2">
        <v>0</v>
      </c>
      <c r="J8" s="2">
        <f>+G8+H8+I8</f>
        <v>11267200</v>
      </c>
      <c r="K8" s="2">
        <v>1101201.1599999999</v>
      </c>
      <c r="L8" s="2">
        <v>107625.20547945205</v>
      </c>
      <c r="M8" s="2">
        <v>0</v>
      </c>
      <c r="N8" s="3">
        <v>0.3</v>
      </c>
      <c r="O8" s="2">
        <f>+N8*G8</f>
        <v>3380160</v>
      </c>
      <c r="Q8" s="2">
        <f>+K8+L8+M8+O8+P8</f>
        <v>4588986.3654794525</v>
      </c>
      <c r="R8" s="2">
        <f>J8-Q8</f>
        <v>6678213.6345205475</v>
      </c>
      <c r="S8" s="3">
        <v>0.6</v>
      </c>
      <c r="T8" s="3">
        <v>0.7</v>
      </c>
      <c r="U8" s="4" t="str">
        <f>IF(S8&lt;=T8,"OUI","NON")</f>
        <v>OUI</v>
      </c>
      <c r="V8" s="3">
        <v>0.27</v>
      </c>
      <c r="W8" s="2">
        <f>IF(U8="NON",0,IF(R8&lt;=0,0,V8*R8))</f>
        <v>1803117.6813205478</v>
      </c>
    </row>
    <row r="9" spans="1:23" s="1" customFormat="1" x14ac:dyDescent="0.25">
      <c r="A9" s="1" t="s">
        <v>5</v>
      </c>
      <c r="B9" s="1" t="s">
        <v>4</v>
      </c>
      <c r="C9" s="1" t="s">
        <v>3</v>
      </c>
      <c r="D9" s="5">
        <v>44562</v>
      </c>
      <c r="E9" s="5">
        <v>44926</v>
      </c>
      <c r="F9" s="5">
        <v>44693</v>
      </c>
      <c r="G9" s="2">
        <v>6373160</v>
      </c>
      <c r="H9" s="2"/>
      <c r="I9" s="2">
        <v>255069.69</v>
      </c>
      <c r="J9" s="2">
        <f>+G9+H9+I9</f>
        <v>6628229.6900000004</v>
      </c>
      <c r="K9" s="2">
        <v>6351379.5999999996</v>
      </c>
      <c r="L9" s="2"/>
      <c r="M9" s="2">
        <v>10150.82</v>
      </c>
      <c r="N9" s="3">
        <v>0.3</v>
      </c>
      <c r="O9" s="2">
        <f>+N9*G9</f>
        <v>1911948</v>
      </c>
      <c r="P9" s="1">
        <v>2603340.94</v>
      </c>
      <c r="Q9" s="2">
        <f>+K9+L9+M9+O9+P9</f>
        <v>10876819.359999999</v>
      </c>
      <c r="R9" s="2">
        <f>J9-Q9</f>
        <v>-4248589.669999999</v>
      </c>
      <c r="S9" s="3">
        <v>0.55000000000000004</v>
      </c>
      <c r="T9" s="3">
        <v>0.6</v>
      </c>
      <c r="U9" s="4" t="str">
        <f>IF(S9&lt;=T9,"OUI","NON")</f>
        <v>OUI</v>
      </c>
      <c r="V9" s="3">
        <v>0.3</v>
      </c>
      <c r="W9" s="2">
        <f>IF(U9="NON",0,IF(R9&lt;=0,0,V9*R9))</f>
        <v>0</v>
      </c>
    </row>
    <row r="10" spans="1:23" s="1" customFormat="1" x14ac:dyDescent="0.25">
      <c r="A10" s="1" t="s">
        <v>2</v>
      </c>
      <c r="B10" s="4" t="s">
        <v>1</v>
      </c>
      <c r="C10" s="1" t="s">
        <v>0</v>
      </c>
      <c r="D10" s="5">
        <v>44531</v>
      </c>
      <c r="E10" s="5">
        <v>44895</v>
      </c>
      <c r="F10" s="5">
        <v>44787</v>
      </c>
      <c r="G10" s="2">
        <v>10000000</v>
      </c>
      <c r="H10" s="2"/>
      <c r="I10" s="2">
        <v>255070.69</v>
      </c>
      <c r="J10" s="2">
        <f>+G10+H10+I10</f>
        <v>10255070.689999999</v>
      </c>
      <c r="K10" s="2">
        <v>6351379.5999999996</v>
      </c>
      <c r="L10" s="2"/>
      <c r="M10" s="2">
        <v>10150.82</v>
      </c>
      <c r="N10" s="3">
        <v>0.3</v>
      </c>
      <c r="O10" s="2">
        <f>+N10*G10</f>
        <v>3000000</v>
      </c>
      <c r="P10" s="1">
        <v>0</v>
      </c>
      <c r="Q10" s="2">
        <f>+K10+L10+M10+O10+P10</f>
        <v>9361530.4199999999</v>
      </c>
      <c r="R10" s="2">
        <f>J10-Q10</f>
        <v>893540.26999999955</v>
      </c>
      <c r="S10" s="3">
        <v>0.55000000000000004</v>
      </c>
      <c r="T10" s="3">
        <v>1.6</v>
      </c>
      <c r="U10" s="4" t="str">
        <f>IF(S10&lt;=T10,"OUI","NON")</f>
        <v>OUI</v>
      </c>
      <c r="V10" s="3">
        <v>1.3</v>
      </c>
      <c r="W10" s="2">
        <f>IF(U10="NON",0,IF(R10&lt;=0,0,V10*R10))</f>
        <v>1161602.3509999996</v>
      </c>
    </row>
  </sheetData>
  <autoFilter ref="A5:W9" xr:uid="{00000000-0009-0000-0000-000001000000}"/>
  <pageMargins left="0.7" right="0.7" top="0.75" bottom="0.75" header="0.3" footer="0.3"/>
  <pageSetup paperSize="9" scale="3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Rabie Youfiane</dc:creator>
  <cp:lastModifiedBy>Rabie Youfiane</cp:lastModifiedBy>
  <dcterms:created xsi:type="dcterms:W3CDTF">2026-04-18T05:13:11Z</dcterms:created>
  <dcterms:modified xsi:type="dcterms:W3CDTF">2026-04-18T05:15:01Z</dcterms:modified>
</cp:coreProperties>
</file>