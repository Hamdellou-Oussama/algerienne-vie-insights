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\INTERVENTION\PM\PROVISION THECHNIQUE ECOLE STATISTIQUE\ENSSEA\"/>
    </mc:Choice>
  </mc:AlternateContent>
  <xr:revisionPtr revIDLastSave="0" documentId="13_ncr:1_{BC92FC2C-8D47-47C2-A05E-1A93BA953852}" xr6:coauthVersionLast="47" xr6:coauthVersionMax="47" xr10:uidLastSave="{00000000-0000-0000-0000-000000000000}"/>
  <bookViews>
    <workbookView xWindow="-108" yWindow="-108" windowWidth="23256" windowHeight="13896" xr2:uid="{EB04401B-C955-4158-96D6-884D1DC8A858}"/>
  </bookViews>
  <sheets>
    <sheet name="PE" sheetId="1" r:id="rId1"/>
    <sheet name="OBJECTIF PE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ADRAR">'[1]Bord 3T11'!$C$970</definedName>
    <definedName name="ALGER">'[1]Bord 3T11'!$C$985</definedName>
    <definedName name="ANNABA">'[1]Bord 3T11'!$C$992</definedName>
    <definedName name="BEJAIA">#N/A</definedName>
    <definedName name="BLIDA">'[1]Bord 3T11'!$C$978</definedName>
    <definedName name="currency">'[2]Referenztabellen-Referencetable'!$K$2:$K$145</definedName>
    <definedName name="DM">#REF!</definedName>
    <definedName name="FAC">'[3]Verif '!$K$19:$M$33</definedName>
    <definedName name="GHARDAIA">'[1]Bord 3T11'!$C$1016</definedName>
    <definedName name="isDeath">[4]Parameters!$D$20</definedName>
    <definedName name="isOK">[4]Readme!$H$26</definedName>
    <definedName name="juste">[5]verif!$B$1:$H$1706</definedName>
    <definedName name="liste2">[6]Sheet1!$A$11:$A$17</definedName>
    <definedName name="MILA">'[1]Bord 3T11'!$C$1012</definedName>
    <definedName name="occupancy">'[2]Referenztabellen-Referencetable'!$E$2:$E$357</definedName>
    <definedName name="ORAN">'[1]Bord 3T11'!$C$1000</definedName>
    <definedName name="OUARGLA">'[1]Bord 3T11'!$C$999</definedName>
    <definedName name="part">'[7]Verif '!$K$4:$M$9</definedName>
    <definedName name="participationrea">'[8]repartition reassureurs'!$A$19:$M$34</definedName>
    <definedName name="PARTREA">[9]Feuil4!#REF!</definedName>
    <definedName name="PE">'[3]pe 2024'!$C$3:$P$117</definedName>
    <definedName name="PEE">'[10]PE GROUPE 2022 (3)mmm'!$E$4:$R$70</definedName>
    <definedName name="PEEE">'[11]PE GROUPE 2021'!$A$2:$N$74</definedName>
    <definedName name="POOL">#REF!</definedName>
    <definedName name="QP">'[3]Verif '!$K$3:$M$13</definedName>
    <definedName name="qq">#REF!</definedName>
    <definedName name="REA">[12]Reassureur!$A$2:$L$13</definedName>
    <definedName name="repart">'[7]Verif '!$O$3:$S$10</definedName>
    <definedName name="rngBISubLimitType">OFFSET('[13]Drop-Downs'!$L$2,0,0,COUNTA('[13]Drop-Downs'!$L:$L)-1,1)</definedName>
    <definedName name="rngBISubLimitTypeLookup">OFFSET('[13]Drop-Downs'!$L$2,0,0,COUNTA('[13]Drop-Downs'!$L:$L)-1,3)</definedName>
    <definedName name="rngClass">OFFSET('[13]Drop-Downs'!$A$2,0,0,COUNTA('[13]Drop-Downs'!$A:$A)-1,1)</definedName>
    <definedName name="rngFinancialInfo">#REF!</definedName>
    <definedName name="rngLimitType">OFFSET('[13]Drop-Downs'!$G$2,0,0,COUNTA('[13]Drop-Downs'!$G:$G)-1,1)</definedName>
    <definedName name="rngLimitTypeLookup">OFFSET('[13]Drop-Downs'!$G$2,0,0,COUNTA('[13]Drop-Downs'!$G:$G)-1,4)</definedName>
    <definedName name="rngLocalPolDeds">OFFSET('[13]Drop-Downs'!$C$2,0,0,COUNTA('[13]Drop-Downs'!$C:$C)-1,1)</definedName>
    <definedName name="rngOtherInfo">#REF!</definedName>
    <definedName name="rngStanExclusions">OFFSET('[13]Drop-Downs'!$E$2,0,0,COUNTA('[13]Drop-Downs'!$E:$E)-1,1)</definedName>
    <definedName name="rngSubLimitBI">#REF!</definedName>
    <definedName name="rngSubLimitMD">#REF!</definedName>
    <definedName name="rngSubLimitMDBI">#REF!</definedName>
    <definedName name="sap">#REF!</definedName>
    <definedName name="SAPINC">[14]Verif!$A$1:$G$1634</definedName>
    <definedName name="SAPRC">[15]Verif!$A:$J</definedName>
    <definedName name="SETIF">'[1]Bord 3T11'!$C$988</definedName>
    <definedName name="SH">#REF!</definedName>
    <definedName name="SHRE">[16]SHRE!$A$2:$B$50</definedName>
    <definedName name="sinistrereg">'[11]sap et reg'!$D$3:$E$28</definedName>
    <definedName name="solddeb">'[11]res neg'!$B$2:$C$20</definedName>
    <definedName name="ssss">#REF!</definedName>
    <definedName name="verif">'[17]verif 02'!$A$1:$H$690</definedName>
    <definedName name="verif100">#REF!</definedName>
    <definedName name="VINC">'[7]Verif '!#REF!</definedName>
    <definedName name="z">'[7]Verif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8" i="1" l="1"/>
  <c r="O128" i="1"/>
  <c r="M128" i="1"/>
  <c r="H128" i="1"/>
  <c r="T127" i="1"/>
  <c r="O127" i="1"/>
  <c r="M127" i="1"/>
  <c r="H127" i="1"/>
  <c r="N127" i="1" s="1"/>
  <c r="U127" i="1" s="1"/>
  <c r="T126" i="1"/>
  <c r="O126" i="1"/>
  <c r="M126" i="1"/>
  <c r="H126" i="1"/>
  <c r="N126" i="1" s="1"/>
  <c r="U126" i="1" s="1"/>
  <c r="T125" i="1"/>
  <c r="O125" i="1"/>
  <c r="M125" i="1"/>
  <c r="N125" i="1" s="1"/>
  <c r="H125" i="1"/>
  <c r="T124" i="1"/>
  <c r="O124" i="1"/>
  <c r="M124" i="1"/>
  <c r="H124" i="1"/>
  <c r="N124" i="1" s="1"/>
  <c r="U124" i="1" s="1"/>
  <c r="T123" i="1"/>
  <c r="O123" i="1"/>
  <c r="M123" i="1"/>
  <c r="H123" i="1"/>
  <c r="T122" i="1"/>
  <c r="O122" i="1"/>
  <c r="M122" i="1"/>
  <c r="H122" i="1"/>
  <c r="N122" i="1" s="1"/>
  <c r="U122" i="1" s="1"/>
  <c r="T121" i="1"/>
  <c r="O121" i="1"/>
  <c r="M121" i="1"/>
  <c r="N121" i="1" s="1"/>
  <c r="U121" i="1" s="1"/>
  <c r="H121" i="1"/>
  <c r="T120" i="1"/>
  <c r="O120" i="1"/>
  <c r="M120" i="1"/>
  <c r="H120" i="1"/>
  <c r="N120" i="1" s="1"/>
  <c r="U120" i="1" s="1"/>
  <c r="T119" i="1"/>
  <c r="O119" i="1"/>
  <c r="M119" i="1"/>
  <c r="H119" i="1"/>
  <c r="T118" i="1"/>
  <c r="O118" i="1"/>
  <c r="M118" i="1"/>
  <c r="H118" i="1"/>
  <c r="T117" i="1"/>
  <c r="O117" i="1"/>
  <c r="M117" i="1"/>
  <c r="H117" i="1"/>
  <c r="T116" i="1"/>
  <c r="O116" i="1"/>
  <c r="M116" i="1"/>
  <c r="H116" i="1"/>
  <c r="T115" i="1"/>
  <c r="O115" i="1"/>
  <c r="M115" i="1"/>
  <c r="H115" i="1"/>
  <c r="T114" i="1"/>
  <c r="O114" i="1"/>
  <c r="M114" i="1"/>
  <c r="H114" i="1"/>
  <c r="T113" i="1"/>
  <c r="O113" i="1"/>
  <c r="M113" i="1"/>
  <c r="H113" i="1"/>
  <c r="T112" i="1"/>
  <c r="O112" i="1"/>
  <c r="M112" i="1"/>
  <c r="H112" i="1"/>
  <c r="T111" i="1"/>
  <c r="O111" i="1"/>
  <c r="N111" i="1"/>
  <c r="U111" i="1" s="1"/>
  <c r="M111" i="1"/>
  <c r="H111" i="1"/>
  <c r="T110" i="1"/>
  <c r="O110" i="1"/>
  <c r="M110" i="1"/>
  <c r="H110" i="1"/>
  <c r="T109" i="1"/>
  <c r="O109" i="1"/>
  <c r="M109" i="1"/>
  <c r="N109" i="1" s="1"/>
  <c r="H109" i="1"/>
  <c r="T108" i="1"/>
  <c r="O108" i="1"/>
  <c r="M108" i="1"/>
  <c r="H108" i="1"/>
  <c r="T107" i="1"/>
  <c r="O107" i="1"/>
  <c r="M107" i="1"/>
  <c r="H107" i="1"/>
  <c r="T106" i="1"/>
  <c r="O106" i="1"/>
  <c r="M106" i="1"/>
  <c r="H106" i="1"/>
  <c r="T105" i="1"/>
  <c r="O105" i="1"/>
  <c r="M105" i="1"/>
  <c r="H105" i="1"/>
  <c r="T104" i="1"/>
  <c r="O104" i="1"/>
  <c r="M104" i="1"/>
  <c r="H104" i="1"/>
  <c r="T103" i="1"/>
  <c r="O103" i="1"/>
  <c r="M103" i="1"/>
  <c r="H103" i="1"/>
  <c r="N103" i="1" s="1"/>
  <c r="U103" i="1" s="1"/>
  <c r="T102" i="1"/>
  <c r="O102" i="1"/>
  <c r="M102" i="1"/>
  <c r="H102" i="1"/>
  <c r="T101" i="1"/>
  <c r="O101" i="1"/>
  <c r="M101" i="1"/>
  <c r="H101" i="1"/>
  <c r="T100" i="1"/>
  <c r="O100" i="1"/>
  <c r="M100" i="1"/>
  <c r="H100" i="1"/>
  <c r="T99" i="1"/>
  <c r="O99" i="1"/>
  <c r="M99" i="1"/>
  <c r="H99" i="1"/>
  <c r="N99" i="1" s="1"/>
  <c r="U99" i="1" s="1"/>
  <c r="T98" i="1"/>
  <c r="O98" i="1"/>
  <c r="M98" i="1"/>
  <c r="H98" i="1"/>
  <c r="T97" i="1"/>
  <c r="O97" i="1"/>
  <c r="M97" i="1"/>
  <c r="H97" i="1"/>
  <c r="T96" i="1"/>
  <c r="O96" i="1"/>
  <c r="M96" i="1"/>
  <c r="H96" i="1"/>
  <c r="T95" i="1"/>
  <c r="O95" i="1"/>
  <c r="M95" i="1"/>
  <c r="N95" i="1" s="1"/>
  <c r="U95" i="1" s="1"/>
  <c r="H95" i="1"/>
  <c r="T94" i="1"/>
  <c r="O94" i="1"/>
  <c r="M94" i="1"/>
  <c r="H94" i="1"/>
  <c r="T93" i="1"/>
  <c r="O93" i="1"/>
  <c r="M93" i="1"/>
  <c r="N93" i="1" s="1"/>
  <c r="H93" i="1"/>
  <c r="T92" i="1"/>
  <c r="O92" i="1"/>
  <c r="M92" i="1"/>
  <c r="H92" i="1"/>
  <c r="T91" i="1"/>
  <c r="O91" i="1"/>
  <c r="M91" i="1"/>
  <c r="H91" i="1"/>
  <c r="T90" i="1"/>
  <c r="O90" i="1"/>
  <c r="M90" i="1"/>
  <c r="H90" i="1"/>
  <c r="T89" i="1"/>
  <c r="O89" i="1"/>
  <c r="M89" i="1"/>
  <c r="N89" i="1" s="1"/>
  <c r="H89" i="1"/>
  <c r="T88" i="1"/>
  <c r="O88" i="1"/>
  <c r="M88" i="1"/>
  <c r="H88" i="1"/>
  <c r="T87" i="1"/>
  <c r="O87" i="1"/>
  <c r="M87" i="1"/>
  <c r="H87" i="1"/>
  <c r="T86" i="1"/>
  <c r="O86" i="1"/>
  <c r="M86" i="1"/>
  <c r="H86" i="1"/>
  <c r="T85" i="1"/>
  <c r="O85" i="1"/>
  <c r="M85" i="1"/>
  <c r="H85" i="1"/>
  <c r="T84" i="1"/>
  <c r="O84" i="1"/>
  <c r="M84" i="1"/>
  <c r="H84" i="1"/>
  <c r="T83" i="1"/>
  <c r="O83" i="1"/>
  <c r="M83" i="1"/>
  <c r="H83" i="1"/>
  <c r="T82" i="1"/>
  <c r="O82" i="1"/>
  <c r="M82" i="1"/>
  <c r="H82" i="1"/>
  <c r="T81" i="1"/>
  <c r="O81" i="1"/>
  <c r="M81" i="1"/>
  <c r="H81" i="1"/>
  <c r="T80" i="1"/>
  <c r="O80" i="1"/>
  <c r="M80" i="1"/>
  <c r="H80" i="1"/>
  <c r="T79" i="1"/>
  <c r="O79" i="1"/>
  <c r="N79" i="1"/>
  <c r="M79" i="1"/>
  <c r="H79" i="1"/>
  <c r="T78" i="1"/>
  <c r="O78" i="1"/>
  <c r="M78" i="1"/>
  <c r="H78" i="1"/>
  <c r="N78" i="1" s="1"/>
  <c r="U78" i="1" s="1"/>
  <c r="T77" i="1"/>
  <c r="O77" i="1"/>
  <c r="M77" i="1"/>
  <c r="N77" i="1" s="1"/>
  <c r="H77" i="1"/>
  <c r="T76" i="1"/>
  <c r="O76" i="1"/>
  <c r="M76" i="1"/>
  <c r="H76" i="1"/>
  <c r="N76" i="1" s="1"/>
  <c r="U76" i="1" s="1"/>
  <c r="T75" i="1"/>
  <c r="O75" i="1"/>
  <c r="M75" i="1"/>
  <c r="N75" i="1" s="1"/>
  <c r="U75" i="1" s="1"/>
  <c r="H75" i="1"/>
  <c r="T74" i="1"/>
  <c r="O74" i="1"/>
  <c r="M74" i="1"/>
  <c r="H74" i="1"/>
  <c r="N74" i="1" s="1"/>
  <c r="U74" i="1" s="1"/>
  <c r="T73" i="1"/>
  <c r="O73" i="1"/>
  <c r="M73" i="1"/>
  <c r="N73" i="1" s="1"/>
  <c r="U73" i="1" s="1"/>
  <c r="H73" i="1"/>
  <c r="T72" i="1"/>
  <c r="O72" i="1"/>
  <c r="M72" i="1"/>
  <c r="H72" i="1"/>
  <c r="N72" i="1" s="1"/>
  <c r="U72" i="1" s="1"/>
  <c r="T71" i="1"/>
  <c r="O71" i="1"/>
  <c r="M71" i="1"/>
  <c r="H71" i="1"/>
  <c r="T70" i="1"/>
  <c r="O70" i="1"/>
  <c r="M70" i="1"/>
  <c r="H70" i="1"/>
  <c r="T69" i="1"/>
  <c r="O69" i="1"/>
  <c r="M69" i="1"/>
  <c r="H69" i="1"/>
  <c r="T68" i="1"/>
  <c r="O68" i="1"/>
  <c r="M68" i="1"/>
  <c r="H68" i="1"/>
  <c r="N68" i="1" s="1"/>
  <c r="U68" i="1" s="1"/>
  <c r="T67" i="1"/>
  <c r="O67" i="1"/>
  <c r="M67" i="1"/>
  <c r="H67" i="1"/>
  <c r="T66" i="1"/>
  <c r="O66" i="1"/>
  <c r="M66" i="1"/>
  <c r="H66" i="1"/>
  <c r="T65" i="1"/>
  <c r="O65" i="1"/>
  <c r="M65" i="1"/>
  <c r="H65" i="1"/>
  <c r="T64" i="1"/>
  <c r="O64" i="1"/>
  <c r="M64" i="1"/>
  <c r="H64" i="1"/>
  <c r="T63" i="1"/>
  <c r="O63" i="1"/>
  <c r="M63" i="1"/>
  <c r="H63" i="1"/>
  <c r="N63" i="1" s="1"/>
  <c r="U63" i="1" s="1"/>
  <c r="T62" i="1"/>
  <c r="O62" i="1"/>
  <c r="M62" i="1"/>
  <c r="H62" i="1"/>
  <c r="T61" i="1"/>
  <c r="O61" i="1"/>
  <c r="M61" i="1"/>
  <c r="H61" i="1"/>
  <c r="T60" i="1"/>
  <c r="O60" i="1"/>
  <c r="M60" i="1"/>
  <c r="H60" i="1"/>
  <c r="T59" i="1"/>
  <c r="O59" i="1"/>
  <c r="M59" i="1"/>
  <c r="H59" i="1"/>
  <c r="T58" i="1"/>
  <c r="O58" i="1"/>
  <c r="M58" i="1"/>
  <c r="H58" i="1"/>
  <c r="T57" i="1"/>
  <c r="O57" i="1"/>
  <c r="M57" i="1"/>
  <c r="H57" i="1"/>
  <c r="T56" i="1"/>
  <c r="O56" i="1"/>
  <c r="M56" i="1"/>
  <c r="H56" i="1"/>
  <c r="T55" i="1"/>
  <c r="O55" i="1"/>
  <c r="M55" i="1"/>
  <c r="H55" i="1"/>
  <c r="N55" i="1" s="1"/>
  <c r="U55" i="1" s="1"/>
  <c r="T54" i="1"/>
  <c r="O54" i="1"/>
  <c r="M54" i="1"/>
  <c r="H54" i="1"/>
  <c r="T53" i="1"/>
  <c r="O53" i="1"/>
  <c r="M53" i="1"/>
  <c r="H53" i="1"/>
  <c r="T52" i="1"/>
  <c r="O52" i="1"/>
  <c r="M52" i="1"/>
  <c r="H52" i="1"/>
  <c r="T51" i="1"/>
  <c r="O51" i="1"/>
  <c r="M51" i="1"/>
  <c r="H51" i="1"/>
  <c r="N51" i="1" s="1"/>
  <c r="T50" i="1"/>
  <c r="O50" i="1"/>
  <c r="M50" i="1"/>
  <c r="H50" i="1"/>
  <c r="T49" i="1"/>
  <c r="O49" i="1"/>
  <c r="M49" i="1"/>
  <c r="H49" i="1"/>
  <c r="T48" i="1"/>
  <c r="O48" i="1"/>
  <c r="M48" i="1"/>
  <c r="H48" i="1"/>
  <c r="T47" i="1"/>
  <c r="O47" i="1"/>
  <c r="M47" i="1"/>
  <c r="N47" i="1" s="1"/>
  <c r="U47" i="1" s="1"/>
  <c r="H47" i="1"/>
  <c r="T46" i="1"/>
  <c r="O46" i="1"/>
  <c r="M46" i="1"/>
  <c r="H46" i="1"/>
  <c r="N46" i="1" s="1"/>
  <c r="U46" i="1" s="1"/>
  <c r="T45" i="1"/>
  <c r="O45" i="1"/>
  <c r="M45" i="1"/>
  <c r="H45" i="1"/>
  <c r="T44" i="1"/>
  <c r="O44" i="1"/>
  <c r="M44" i="1"/>
  <c r="H44" i="1"/>
  <c r="N44" i="1" s="1"/>
  <c r="U44" i="1" s="1"/>
  <c r="T43" i="1"/>
  <c r="O43" i="1"/>
  <c r="M43" i="1"/>
  <c r="N43" i="1" s="1"/>
  <c r="U43" i="1" s="1"/>
  <c r="H43" i="1"/>
  <c r="T42" i="1"/>
  <c r="O42" i="1"/>
  <c r="M42" i="1"/>
  <c r="H42" i="1"/>
  <c r="N42" i="1" s="1"/>
  <c r="U42" i="1" s="1"/>
  <c r="T41" i="1"/>
  <c r="O41" i="1"/>
  <c r="M41" i="1"/>
  <c r="N41" i="1" s="1"/>
  <c r="U41" i="1" s="1"/>
  <c r="H41" i="1"/>
  <c r="T40" i="1"/>
  <c r="O40" i="1"/>
  <c r="M40" i="1"/>
  <c r="H40" i="1"/>
  <c r="N40" i="1" s="1"/>
  <c r="U40" i="1" s="1"/>
  <c r="T39" i="1"/>
  <c r="O39" i="1"/>
  <c r="M39" i="1"/>
  <c r="H39" i="1"/>
  <c r="T38" i="1"/>
  <c r="O38" i="1"/>
  <c r="M38" i="1"/>
  <c r="H38" i="1"/>
  <c r="N38" i="1" s="1"/>
  <c r="T37" i="1"/>
  <c r="O37" i="1"/>
  <c r="M37" i="1"/>
  <c r="H37" i="1"/>
  <c r="T36" i="1"/>
  <c r="O36" i="1"/>
  <c r="M36" i="1"/>
  <c r="H36" i="1"/>
  <c r="N36" i="1" s="1"/>
  <c r="U36" i="1" s="1"/>
  <c r="T35" i="1"/>
  <c r="O35" i="1"/>
  <c r="M35" i="1"/>
  <c r="H35" i="1"/>
  <c r="T34" i="1"/>
  <c r="O34" i="1"/>
  <c r="M34" i="1"/>
  <c r="H34" i="1"/>
  <c r="T33" i="1"/>
  <c r="O33" i="1"/>
  <c r="M33" i="1"/>
  <c r="H33" i="1"/>
  <c r="T32" i="1"/>
  <c r="O32" i="1"/>
  <c r="M32" i="1"/>
  <c r="H32" i="1"/>
  <c r="T31" i="1"/>
  <c r="O31" i="1"/>
  <c r="N31" i="1"/>
  <c r="U31" i="1" s="1"/>
  <c r="M31" i="1"/>
  <c r="H31" i="1"/>
  <c r="T30" i="1"/>
  <c r="O30" i="1"/>
  <c r="M30" i="1"/>
  <c r="H30" i="1"/>
  <c r="T29" i="1"/>
  <c r="O29" i="1"/>
  <c r="M29" i="1"/>
  <c r="H29" i="1"/>
  <c r="T28" i="1"/>
  <c r="O28" i="1"/>
  <c r="M28" i="1"/>
  <c r="H28" i="1"/>
  <c r="T27" i="1"/>
  <c r="O27" i="1"/>
  <c r="M27" i="1"/>
  <c r="N27" i="1" s="1"/>
  <c r="H27" i="1"/>
  <c r="T26" i="1"/>
  <c r="O26" i="1"/>
  <c r="M26" i="1"/>
  <c r="H26" i="1"/>
  <c r="T25" i="1"/>
  <c r="O25" i="1"/>
  <c r="M25" i="1"/>
  <c r="N25" i="1" s="1"/>
  <c r="U25" i="1" s="1"/>
  <c r="H25" i="1"/>
  <c r="T24" i="1"/>
  <c r="O24" i="1"/>
  <c r="M24" i="1"/>
  <c r="H24" i="1"/>
  <c r="T23" i="1"/>
  <c r="O23" i="1"/>
  <c r="M23" i="1"/>
  <c r="H23" i="1"/>
  <c r="T22" i="1"/>
  <c r="O22" i="1"/>
  <c r="M22" i="1"/>
  <c r="H22" i="1"/>
  <c r="T21" i="1"/>
  <c r="O21" i="1"/>
  <c r="M21" i="1"/>
  <c r="H21" i="1"/>
  <c r="T20" i="1"/>
  <c r="O20" i="1"/>
  <c r="M20" i="1"/>
  <c r="H20" i="1"/>
  <c r="T19" i="1"/>
  <c r="O19" i="1"/>
  <c r="M19" i="1"/>
  <c r="H19" i="1"/>
  <c r="T18" i="1"/>
  <c r="O18" i="1"/>
  <c r="M18" i="1"/>
  <c r="H18" i="1"/>
  <c r="T17" i="1"/>
  <c r="O17" i="1"/>
  <c r="M17" i="1"/>
  <c r="H17" i="1"/>
  <c r="T16" i="1"/>
  <c r="O16" i="1"/>
  <c r="M16" i="1"/>
  <c r="H16" i="1"/>
  <c r="T15" i="1"/>
  <c r="O15" i="1"/>
  <c r="M15" i="1"/>
  <c r="H15" i="1"/>
  <c r="N15" i="1" s="1"/>
  <c r="U15" i="1" s="1"/>
  <c r="T14" i="1"/>
  <c r="O14" i="1"/>
  <c r="M14" i="1"/>
  <c r="H14" i="1"/>
  <c r="T13" i="1"/>
  <c r="O13" i="1"/>
  <c r="M13" i="1"/>
  <c r="H13" i="1"/>
  <c r="T12" i="1"/>
  <c r="O12" i="1"/>
  <c r="M12" i="1"/>
  <c r="H12" i="1"/>
  <c r="N12" i="1" s="1"/>
  <c r="U12" i="1" s="1"/>
  <c r="T11" i="1"/>
  <c r="O11" i="1"/>
  <c r="M11" i="1"/>
  <c r="H11" i="1"/>
  <c r="T10" i="1"/>
  <c r="O10" i="1"/>
  <c r="M10" i="1"/>
  <c r="H10" i="1"/>
  <c r="N10" i="1" s="1"/>
  <c r="U10" i="1" s="1"/>
  <c r="T9" i="1"/>
  <c r="O9" i="1"/>
  <c r="M9" i="1"/>
  <c r="H9" i="1"/>
  <c r="T8" i="1"/>
  <c r="O8" i="1"/>
  <c r="M8" i="1"/>
  <c r="H8" i="1"/>
  <c r="N8" i="1" s="1"/>
  <c r="U8" i="1" s="1"/>
  <c r="T7" i="1"/>
  <c r="O7" i="1"/>
  <c r="M7" i="1"/>
  <c r="H7" i="1"/>
  <c r="N7" i="1" s="1"/>
  <c r="U7" i="1" s="1"/>
  <c r="T6" i="1"/>
  <c r="O6" i="1"/>
  <c r="M6" i="1"/>
  <c r="H6" i="1"/>
  <c r="N6" i="1" s="1"/>
  <c r="T5" i="1"/>
  <c r="O5" i="1"/>
  <c r="M5" i="1"/>
  <c r="H5" i="1"/>
  <c r="T4" i="1"/>
  <c r="O4" i="1"/>
  <c r="M4" i="1"/>
  <c r="H4" i="1"/>
  <c r="N4" i="1" s="1"/>
  <c r="N9" i="1" l="1"/>
  <c r="U9" i="1" s="1"/>
  <c r="N11" i="1"/>
  <c r="U11" i="1" s="1"/>
  <c r="N19" i="1"/>
  <c r="U19" i="1" s="1"/>
  <c r="N23" i="1"/>
  <c r="U23" i="1" s="1"/>
  <c r="N88" i="1"/>
  <c r="U88" i="1" s="1"/>
  <c r="N90" i="1"/>
  <c r="U90" i="1" s="1"/>
  <c r="N92" i="1"/>
  <c r="U92" i="1" s="1"/>
  <c r="N94" i="1"/>
  <c r="U94" i="1" s="1"/>
  <c r="U27" i="1"/>
  <c r="N35" i="1"/>
  <c r="U35" i="1" s="1"/>
  <c r="N39" i="1"/>
  <c r="U39" i="1" s="1"/>
  <c r="N104" i="1"/>
  <c r="U104" i="1" s="1"/>
  <c r="N106" i="1"/>
  <c r="U106" i="1" s="1"/>
  <c r="N108" i="1"/>
  <c r="U108" i="1" s="1"/>
  <c r="N110" i="1"/>
  <c r="U110" i="1" s="1"/>
  <c r="U51" i="1"/>
  <c r="N14" i="1"/>
  <c r="U14" i="1" s="1"/>
  <c r="N57" i="1"/>
  <c r="U57" i="1" s="1"/>
  <c r="N59" i="1"/>
  <c r="U59" i="1" s="1"/>
  <c r="N67" i="1"/>
  <c r="U67" i="1" s="1"/>
  <c r="N71" i="1"/>
  <c r="U71" i="1" s="1"/>
  <c r="N20" i="1"/>
  <c r="N22" i="1"/>
  <c r="N24" i="1"/>
  <c r="U24" i="1" s="1"/>
  <c r="N26" i="1"/>
  <c r="U26" i="1" s="1"/>
  <c r="N28" i="1"/>
  <c r="U28" i="1" s="1"/>
  <c r="N30" i="1"/>
  <c r="U30" i="1" s="1"/>
  <c r="N83" i="1"/>
  <c r="U83" i="1" s="1"/>
  <c r="N87" i="1"/>
  <c r="U87" i="1" s="1"/>
  <c r="N91" i="1"/>
  <c r="U91" i="1" s="1"/>
  <c r="U79" i="1"/>
  <c r="U89" i="1"/>
  <c r="N107" i="1"/>
  <c r="U107" i="1" s="1"/>
  <c r="N52" i="1"/>
  <c r="N54" i="1"/>
  <c r="N56" i="1"/>
  <c r="U56" i="1" s="1"/>
  <c r="N58" i="1"/>
  <c r="U58" i="1" s="1"/>
  <c r="N60" i="1"/>
  <c r="U60" i="1" s="1"/>
  <c r="N62" i="1"/>
  <c r="U62" i="1" s="1"/>
  <c r="N105" i="1"/>
  <c r="U105" i="1" s="1"/>
  <c r="N115" i="1"/>
  <c r="U115" i="1" s="1"/>
  <c r="N119" i="1"/>
  <c r="U119" i="1" s="1"/>
  <c r="N123" i="1"/>
  <c r="U123" i="1" s="1"/>
  <c r="N17" i="1"/>
  <c r="U17" i="1" s="1"/>
  <c r="N33" i="1"/>
  <c r="U33" i="1" s="1"/>
  <c r="N49" i="1"/>
  <c r="U49" i="1" s="1"/>
  <c r="N65" i="1"/>
  <c r="U65" i="1" s="1"/>
  <c r="N81" i="1"/>
  <c r="U81" i="1" s="1"/>
  <c r="N97" i="1"/>
  <c r="U97" i="1" s="1"/>
  <c r="N113" i="1"/>
  <c r="U113" i="1" s="1"/>
  <c r="N5" i="1"/>
  <c r="U5" i="1" s="1"/>
  <c r="N21" i="1"/>
  <c r="U21" i="1" s="1"/>
  <c r="N37" i="1"/>
  <c r="U37" i="1" s="1"/>
  <c r="N53" i="1"/>
  <c r="U53" i="1" s="1"/>
  <c r="N69" i="1"/>
  <c r="U69" i="1" s="1"/>
  <c r="N85" i="1"/>
  <c r="U85" i="1" s="1"/>
  <c r="N101" i="1"/>
  <c r="U101" i="1" s="1"/>
  <c r="N117" i="1"/>
  <c r="U117" i="1" s="1"/>
  <c r="N16" i="1"/>
  <c r="U16" i="1" s="1"/>
  <c r="N18" i="1"/>
  <c r="U18" i="1" s="1"/>
  <c r="N32" i="1"/>
  <c r="U32" i="1" s="1"/>
  <c r="N34" i="1"/>
  <c r="U34" i="1" s="1"/>
  <c r="N48" i="1"/>
  <c r="U48" i="1" s="1"/>
  <c r="N50" i="1"/>
  <c r="U50" i="1" s="1"/>
  <c r="N64" i="1"/>
  <c r="U64" i="1" s="1"/>
  <c r="N66" i="1"/>
  <c r="U66" i="1" s="1"/>
  <c r="N80" i="1"/>
  <c r="U80" i="1" s="1"/>
  <c r="N82" i="1"/>
  <c r="U82" i="1" s="1"/>
  <c r="N96" i="1"/>
  <c r="U96" i="1" s="1"/>
  <c r="N98" i="1"/>
  <c r="U98" i="1" s="1"/>
  <c r="N112" i="1"/>
  <c r="U112" i="1" s="1"/>
  <c r="N114" i="1"/>
  <c r="U114" i="1" s="1"/>
  <c r="N128" i="1"/>
  <c r="U128" i="1" s="1"/>
  <c r="U4" i="1"/>
  <c r="U6" i="1"/>
  <c r="U20" i="1"/>
  <c r="U22" i="1"/>
  <c r="U38" i="1"/>
  <c r="U52" i="1"/>
  <c r="U54" i="1"/>
  <c r="N70" i="1"/>
  <c r="U70" i="1" s="1"/>
  <c r="N84" i="1"/>
  <c r="U84" i="1" s="1"/>
  <c r="N86" i="1"/>
  <c r="U86" i="1" s="1"/>
  <c r="N100" i="1"/>
  <c r="U100" i="1" s="1"/>
  <c r="N102" i="1"/>
  <c r="U102" i="1" s="1"/>
  <c r="N116" i="1"/>
  <c r="U116" i="1" s="1"/>
  <c r="N118" i="1"/>
  <c r="U118" i="1" s="1"/>
  <c r="N13" i="1"/>
  <c r="U13" i="1" s="1"/>
  <c r="N29" i="1"/>
  <c r="U29" i="1" s="1"/>
  <c r="N45" i="1"/>
  <c r="U45" i="1" s="1"/>
  <c r="N61" i="1"/>
  <c r="U61" i="1" s="1"/>
  <c r="U77" i="1"/>
  <c r="U93" i="1"/>
  <c r="U109" i="1"/>
  <c r="U125" i="1"/>
  <c r="U2" i="1" l="1"/>
</calcChain>
</file>

<file path=xl/sharedStrings.xml><?xml version="1.0" encoding="utf-8"?>
<sst xmlns="http://schemas.openxmlformats.org/spreadsheetml/2006/main" count="415" uniqueCount="164">
  <si>
    <t>Date de clôture</t>
  </si>
  <si>
    <t>La date de début d'exercice</t>
  </si>
  <si>
    <t>exemple 2022</t>
  </si>
  <si>
    <t>Réseau</t>
  </si>
  <si>
    <t>Produit</t>
  </si>
  <si>
    <t>Années d'exercice</t>
  </si>
  <si>
    <t>Garantie</t>
  </si>
  <si>
    <t>Les primes émises_garantie Décès 2022</t>
  </si>
  <si>
    <t>(REC/Provisions Mathématiques)_Décès au 01/01/2022</t>
  </si>
  <si>
    <t>Provisions pour SAP AU 01/01/2022</t>
  </si>
  <si>
    <t>TOTAL  CREDIT</t>
  </si>
  <si>
    <t>Les sinistres payés_Décès de l'éxercice 2022</t>
  </si>
  <si>
    <t>(REC/Provisions Mathématiques)_Décès au 31/12/2022</t>
  </si>
  <si>
    <t>Provisions pour SAP au 31/12/2022</t>
  </si>
  <si>
    <t xml:space="preserve">Report du solde Débiteur eventuel des exercices anterieurs </t>
  </si>
  <si>
    <t>TOTAL DEBIT</t>
  </si>
  <si>
    <t>Résultat technique</t>
  </si>
  <si>
    <t>Charge sinistre (N)</t>
  </si>
  <si>
    <t>Charge sinistre (N-1)</t>
  </si>
  <si>
    <t>Charge sinistre (N-2)</t>
  </si>
  <si>
    <t>Charge sinistre (N-3)</t>
  </si>
  <si>
    <t>NB d'année contrat</t>
  </si>
  <si>
    <t>MOYENNE</t>
  </si>
  <si>
    <t>Provision d'égalisation</t>
  </si>
  <si>
    <t>R1</t>
  </si>
  <si>
    <t>ADE</t>
  </si>
  <si>
    <t>Décés</t>
  </si>
  <si>
    <t>C1</t>
  </si>
  <si>
    <t>prévoyance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</si>
  <si>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</si>
  <si>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</si>
  <si>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</si>
  <si>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</si>
  <si>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</si>
  <si>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</si>
  <si>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</si>
  <si>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</si>
  <si>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</si>
  <si>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</si>
  <si>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</si>
  <si>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</si>
  <si>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</si>
  <si>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</si>
  <si>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</si>
  <si>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</si>
  <si>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</si>
  <si>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</si>
  <si>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</si>
  <si>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</si>
  <si>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</si>
  <si>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</si>
  <si>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</si>
  <si>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</si>
  <si>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</si>
  <si>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</si>
  <si>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</si>
  <si>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</si>
  <si>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</si>
  <si>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</si>
  <si>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</si>
  <si>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</si>
  <si>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</si>
  <si>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</si>
  <si>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</si>
  <si>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</si>
  <si>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</si>
  <si>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</si>
  <si>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</si>
  <si>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</si>
  <si>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</si>
  <si>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</si>
  <si>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</si>
  <si>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</si>
  <si>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</si>
  <si>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</si>
  <si>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</si>
  <si>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</si>
  <si>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</si>
  <si>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</si>
  <si>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</si>
  <si>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</si>
  <si>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</si>
  <si>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</si>
  <si>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</si>
  <si>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</si>
  <si>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</si>
  <si>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</si>
  <si>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</si>
  <si>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</si>
  <si>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</si>
  <si>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</si>
  <si>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</si>
  <si>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</si>
  <si>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</si>
  <si>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</si>
  <si>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</si>
  <si>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</si>
  <si>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</si>
  <si>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</si>
  <si>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</si>
  <si>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</si>
  <si>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</si>
  <si>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</si>
  <si>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</si>
  <si>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</si>
  <si>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</si>
  <si>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</si>
  <si>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</si>
  <si>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</si>
  <si>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</si>
  <si>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</si>
  <si>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</si>
  <si>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</si>
  <si>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</si>
  <si>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</si>
  <si>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</si>
  <si>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</si>
  <si>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</si>
  <si>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</si>
  <si>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</si>
  <si>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</si>
  <si>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</si>
  <si>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</si>
  <si>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</si>
  <si>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</si>
  <si>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</si>
  <si>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</si>
  <si>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</si>
  <si>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</si>
  <si>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</si>
  <si>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</si>
  <si>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</si>
  <si>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</si>
  <si>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</si>
  <si>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</si>
  <si>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</si>
  <si>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</si>
  <si>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</si>
  <si>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</si>
  <si>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</si>
  <si>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</si>
  <si>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</si>
  <si>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</si>
  <si>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</si>
  <si>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</si>
  <si>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</si>
  <si>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</si>
  <si>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</si>
  <si>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</si>
  <si>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</si>
  <si>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</si>
  <si>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</si>
  <si>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PPNA</t>
  </si>
  <si>
    <t>ANNEE</t>
  </si>
  <si>
    <t>RESEAUX</t>
  </si>
  <si>
    <t>PRODUIT</t>
  </si>
  <si>
    <t>N</t>
  </si>
  <si>
    <t>R2</t>
  </si>
  <si>
    <t>R5</t>
  </si>
  <si>
    <t>R6</t>
  </si>
  <si>
    <t>PE</t>
  </si>
  <si>
    <t>PREVOYANCE</t>
  </si>
  <si>
    <r>
      <t>SOIT</t>
    </r>
    <r>
      <rPr>
        <b/>
        <sz val="11"/>
        <color theme="1"/>
        <rFont val="Aptos Narrow"/>
        <family val="2"/>
        <scheme val="minor"/>
      </rPr>
      <t xml:space="preserve"> N</t>
    </r>
    <r>
      <rPr>
        <sz val="11"/>
        <color theme="1"/>
        <rFont val="Aptos Narrow"/>
        <family val="2"/>
        <scheme val="minor"/>
      </rPr>
      <t>=2022</t>
    </r>
  </si>
  <si>
    <t>PE au 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</si>
</sst>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D_A_-;\-* #,##0.00\ _D_A_-;_-* &quot;-&quot;??\ _D_A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Book Antiqua"/>
      <family val="1"/>
    </font>
    <font>
      <b/>
      <sz val="11"/>
      <color theme="0"/>
      <name val="Book Antiqua"/>
      <family val="1"/>
    </font>
    <font>
      <sz val="11"/>
      <name val="Book Antiqua"/>
      <family val="1"/>
    </font>
    <font>
      <sz val="11"/>
      <color rgb="FFFF0000"/>
      <name val="Copperplate Gothic Bold"/>
      <family val="2"/>
    </font>
    <font>
      <sz val="11"/>
      <color rgb="FF000000"/>
      <name val="Copperplate Gothic Bold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7216E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3" fontId="0" fillId="0" borderId="0" xfId="1" applyFont="1"/>
    <xf numFmtId="164" fontId="0" fillId="0" borderId="0" xfId="0" applyNumberFormat="1"/>
    <xf numFmtId="43" fontId="0" fillId="0" borderId="0" xfId="1" applyFont="1" applyAlignment="1">
      <alignment horizontal="center"/>
    </xf>
    <xf numFmtId="0" fontId="10" fillId="0" borderId="0" xfId="0" applyFont="1"/>
    <xf numFmtId="0" fontId="8" fillId="5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0" fillId="0" borderId="1" xfId="0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ass\zz\Users\CA01\Desktop\Compte%204T11%20%20Incendie_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A01/AppData/Local/Microsoft/Windows/Temporary%20Internet%20Files/Content.Outlook/PE3RIM95/GDV%20Knauf%20Algerien%202015%20.xls" TargetMode="External"/><Relationship Id="rId1" Type="http://schemas.openxmlformats.org/officeDocument/2006/relationships/externalLinkPath" Target="/Users/CA01/AppData/Local/Microsoft/Windows/Temporary%20Internet%20Files/Content.Outlook/PE3RIM95/GDV%20Knauf%20Algerien%202015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ira.rebaine\Desktop\bilan%20311222025-B\8-%20Groupe%2031122025-%20version01022026-%20pour%20p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ic.local\aglic\Users\farida.barka\Desktop\Tatoo%20backup%20-%20Death%20+%20TD%20+%20IU%20V1.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HNAS01\reass\Users\souscript01\Desktop\SAP%20INCENDIE%2031%2012%20201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ic.local\aglic\Users\MAhfof\Desktop\SINISTRES%20aglic%20juillet%20aout%20septemb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bilaaan26012023\bilan%20311220222\7-%20Groupe%203112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HNAS01\reass\Exploitation\2015\TRAITE\INCENDIE\4%20T\SAP%2031%2012%202015%20DEF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HNAS01\reass\Exploitation\2015\TRAITE\INCENDIE\4%20T\REC%20incendie%20au%2031.12.201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8\technique\ACTUARIAT\3-Reporting\3-1%20cl&#244;tures\2023\bilan%2031122023\DRM\calcul%20pe%20groupe%20v%2005022023%2023h%20-%20Copi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IRA.REBAINE\Desktop\bilaaan02022023\bilan%20311220222\pb%20et%20pe\2-PE%20GROUPE%20%20EX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pgsa/Desktop/Expoitation%20partage/2017/Trait&#233;/RC/4T/SAP%20RC%2031.12.2017.xlsx" TargetMode="External"/><Relationship Id="rId1" Type="http://schemas.openxmlformats.org/officeDocument/2006/relationships/externalLinkPath" Target="/Users/pgsa/Desktop/Expoitation%20partage/2017/Trait&#233;/RC/4T/SAP%20RC%2031.12.2017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kberoui/AppData/Local/Microsoft/Windows/INetCache/Content.Outlook/F7X1BA7C/Copy%20of%20CST_Knauf_Knauf%20Pl&#226;tres%20Fleurus_Algeria_2013(1).xls" TargetMode="External"/><Relationship Id="rId1" Type="http://schemas.openxmlformats.org/officeDocument/2006/relationships/externalLinkPath" Target="/Users/kberoui/AppData/Local/Microsoft/Windows/INetCache/Content.Outlook/F7X1BA7C/Copy%20of%20CST_Knauf_Knauf%20Pl&#226;tres%20Fleurus_Algeria_2013(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hnas01\REASS\Exploitation\2016\Trait&#233;\Incendie\1T\SAP%20INC%20au%2031.03.201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zazzouzi/Desktop/trait&#233;s/2T%202019%20RC%20final.xlsx" TargetMode="External"/><Relationship Id="rId1" Type="http://schemas.openxmlformats.org/officeDocument/2006/relationships/externalLinkPath" Target="/Users/zazzouzi/Desktop/trait&#233;s/2T%202019%20RC%20f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pgsa/Desktop/Expoitation%20partage/2018/Trait&#233;/INCENDIE/1T/SAP%20INC%2030.03.2018.xlsx" TargetMode="External"/><Relationship Id="rId1" Type="http://schemas.openxmlformats.org/officeDocument/2006/relationships/externalLinkPath" Target="/Users/pgsa/Desktop/Expoitation%20partage/2018/Trait&#233;/INCENDIE/1T/SAP%20INC%2030.03.2018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eassurance%20CASH/Trait&#233;s%202020%20et%20plus/2021/1T%202021/RCG%201T%202021%20final.xlsx" TargetMode="External"/><Relationship Id="rId1" Type="http://schemas.openxmlformats.org/officeDocument/2006/relationships/externalLinkPath" Target="/Reassurance%20CASH/Trait&#233;s%202020%20et%20plus/2021/1T%202021/RCG%201T%20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d 1T07"/>
      <sheetName val="Sin Réglés 1T07"/>
      <sheetName val="Annul 2T07"/>
      <sheetName val="Bord 2T07"/>
      <sheetName val="Sin Réglés 2T07"/>
      <sheetName val="Bord 3T07 Brut"/>
      <sheetName val="Bord 3T07"/>
      <sheetName val="Annul 3T07"/>
      <sheetName val="Sin Réglés 3T07"/>
      <sheetName val="Bord 4T07"/>
      <sheetName val="Annul 4T 07"/>
      <sheetName val="Sin Réglés 4t 07"/>
      <sheetName val="Bord 1T 08 SH"/>
      <sheetName val="ATS &amp; GEMP"/>
      <sheetName val="Bord 1T08"/>
      <sheetName val="Annul 1T08"/>
      <sheetName val="Sin Réglés 1T08"/>
      <sheetName val="Bord 2T08"/>
      <sheetName val="SIN REGL 2T08"/>
      <sheetName val="Annul 2T08"/>
      <sheetName val="Bord 3T08"/>
      <sheetName val="Annul 3T08"/>
      <sheetName val="Sin réglés 3T08"/>
      <sheetName val="Bord 4T08"/>
      <sheetName val="Sin réglés 4T08"/>
      <sheetName val="borderau de ristourne sur sini"/>
      <sheetName val="sunthèse"/>
      <sheetName val="Bord 1T09"/>
      <sheetName val="Bord de  ristourne "/>
      <sheetName val="synthèse"/>
      <sheetName val="Sin réglé 1T09"/>
      <sheetName val="Bord 2T09"/>
      <sheetName val=" Sin réglé 2T09"/>
      <sheetName val="synthèse 2T09"/>
      <sheetName val="Bord 3T09"/>
      <sheetName val="Ristourne 3T09"/>
      <sheetName val="sunthèse 3T09"/>
      <sheetName val="Sin rgl 3T09"/>
      <sheetName val="Bord 4T09"/>
      <sheetName val="Sin régl  4T09"/>
      <sheetName val="bord de rist sur sinit règls  "/>
      <sheetName val="BORD annul"/>
      <sheetName val="sunthèse 4T09"/>
      <sheetName val="Bord 1T10"/>
      <sheetName val="Sin régl  1T10)"/>
      <sheetName val="sunthèse 1T10"/>
      <sheetName val="Bord 2T10"/>
      <sheetName val="Sin régl  2T10"/>
      <sheetName val="Bord de  ristourne 2T10"/>
      <sheetName val="sunthèse 2T10"/>
      <sheetName val="Bord 3T10"/>
      <sheetName val="Bord de  ristourne 3T10 "/>
      <sheetName val="Sin régl  3T10"/>
      <sheetName val="sunthèse 3T10"/>
      <sheetName val="Bord 4T10 "/>
      <sheetName val="Sin régl  4T10 "/>
      <sheetName val="sunthèse 4T10 "/>
      <sheetName val="Ajustement COM 31-12-2010"/>
      <sheetName val="Ajustement COM 31-12-2010 aditi"/>
      <sheetName val="Bord 1T11 "/>
      <sheetName val="Sinistres  réglés 1 T 11"/>
      <sheetName val="Synthèse 1t 11"/>
      <sheetName val="Bord 2T11 "/>
      <sheetName val="BORD ANNUL SUR SH "/>
      <sheetName val="BORD RISTOURNE 2T 11"/>
      <sheetName val="Sinistres  réglés 2 T 11 "/>
      <sheetName val="CONSOLIDATION 2T11"/>
      <sheetName val="Bord 3T11"/>
      <sheetName val="Bord 3T11 -EX Antérieurs à 2011"/>
      <sheetName val="Annulation 3T11"/>
      <sheetName val="Ristourne 3T11"/>
      <sheetName val="Sinistres Réglés 3T11"/>
      <sheetName val="Bord 4T11 "/>
      <sheetName val="Bord 4T11 -EX Antérieurs à 2011"/>
      <sheetName val="Annulation 4T11"/>
      <sheetName val="Ristourne 4T11"/>
      <sheetName val="Sinistres Réglés 4T11"/>
      <sheetName val="Commission à échelle 2011"/>
      <sheetName val="SYNTHESE"/>
      <sheetName val="Bord_1T07"/>
      <sheetName val="Sin_Réglés_1T07"/>
      <sheetName val="Annul_2T07"/>
      <sheetName val="Bord_2T07"/>
      <sheetName val="Sin_Réglés_2T07"/>
      <sheetName val="Bord_3T07_Brut"/>
      <sheetName val="Bord_3T07"/>
      <sheetName val="Annul_3T07"/>
      <sheetName val="Sin_Réglés_3T07"/>
      <sheetName val="Bord_4T07"/>
      <sheetName val="Annul_4T_07"/>
      <sheetName val="Sin_Réglés_4t_07"/>
      <sheetName val="Bord_1T_08_SH"/>
      <sheetName val="ATS_&amp;_GEMP"/>
      <sheetName val="Bord_1T08"/>
      <sheetName val="Annul_1T08"/>
      <sheetName val="Sin_Réglés_1T08"/>
      <sheetName val="Bord_2T08"/>
      <sheetName val="SIN_REGL_2T08"/>
      <sheetName val="Annul_2T08"/>
      <sheetName val="Bord_3T08"/>
      <sheetName val="Annul_3T08"/>
      <sheetName val="Sin_réglés_3T08"/>
      <sheetName val="Bord_4T08"/>
      <sheetName val="Sin_réglés_4T08"/>
      <sheetName val="borderau_de_ristourne_sur_sini"/>
      <sheetName val="Bord_1T09"/>
      <sheetName val="Bord_de__ristourne_"/>
      <sheetName val="Sin_réglé_1T09"/>
      <sheetName val="Bord_2T09"/>
      <sheetName val="_Sin_réglé_2T09"/>
      <sheetName val="synthèse_2T09"/>
      <sheetName val="Bord_3T09"/>
      <sheetName val="Ristourne_3T09"/>
      <sheetName val="sunthèse_3T09"/>
      <sheetName val="Sin_rgl_3T09"/>
      <sheetName val="Bord_4T09"/>
      <sheetName val="Sin_régl__4T09"/>
      <sheetName val="bord_de_rist_sur_sinit_règls__"/>
      <sheetName val="BORD_annul"/>
      <sheetName val="sunthèse_4T09"/>
      <sheetName val="Bord_1T10"/>
      <sheetName val="Sin_régl__1T10)"/>
      <sheetName val="sunthèse_1T10"/>
      <sheetName val="Bord_2T10"/>
      <sheetName val="Sin_régl__2T10"/>
      <sheetName val="Bord_de__ristourne_2T10"/>
      <sheetName val="sunthèse_2T10"/>
      <sheetName val="Bord_3T10"/>
      <sheetName val="Bord_de__ristourne_3T10_"/>
      <sheetName val="Sin_régl__3T10"/>
      <sheetName val="sunthèse_3T10"/>
      <sheetName val="Bord_4T10_"/>
      <sheetName val="Sin_régl__4T10_"/>
      <sheetName val="sunthèse_4T10_"/>
      <sheetName val="Ajustement_COM_31-12-2010"/>
      <sheetName val="Ajustement_COM_31-12-2010_aditi"/>
      <sheetName val="Bord_1T11_"/>
      <sheetName val="Sinistres__réglés_1_T_11"/>
      <sheetName val="Synthèse_1t_11"/>
      <sheetName val="Bord_2T11_"/>
      <sheetName val="BORD_ANNUL_SUR_SH_"/>
      <sheetName val="BORD_RISTOURNE_2T_11"/>
      <sheetName val="Sinistres__réglés_2_T_11_"/>
      <sheetName val="CONSOLIDATION_2T11"/>
      <sheetName val="Bord_3T11"/>
      <sheetName val="Bord_3T11_-EX_Antérieurs_à_2011"/>
      <sheetName val="Annulation_3T11"/>
      <sheetName val="Ristourne_3T11"/>
      <sheetName val="Sinistres_Réglés_3T11"/>
      <sheetName val="Bord_4T11_"/>
      <sheetName val="Bord_4T11_-EX_Antérieurs_à_2011"/>
      <sheetName val="Annulation_4T11"/>
      <sheetName val="Ristourne_4T11"/>
      <sheetName val="Sinistres_Réglés_4T11"/>
      <sheetName val="Commission_à_échelle_2011"/>
      <sheetName val="Bord_1T071"/>
      <sheetName val="Sin_Réglés_1T071"/>
      <sheetName val="Annul_2T071"/>
      <sheetName val="Bord_2T071"/>
      <sheetName val="Sin_Réglés_2T071"/>
      <sheetName val="Bord_3T07_Brut1"/>
      <sheetName val="Bord_3T071"/>
      <sheetName val="Annul_3T071"/>
      <sheetName val="Sin_Réglés_3T071"/>
      <sheetName val="Bord_4T071"/>
      <sheetName val="Annul_4T_071"/>
      <sheetName val="Sin_Réglés_4t_071"/>
      <sheetName val="Bord_1T_08_SH1"/>
      <sheetName val="ATS_&amp;_GEMP1"/>
      <sheetName val="Bord_1T081"/>
      <sheetName val="Annul_1T081"/>
      <sheetName val="Sin_Réglés_1T081"/>
      <sheetName val="Bord_2T081"/>
      <sheetName val="SIN_REGL_2T081"/>
      <sheetName val="Annul_2T081"/>
      <sheetName val="Bord_3T081"/>
      <sheetName val="Annul_3T081"/>
      <sheetName val="Sin_réglés_3T081"/>
      <sheetName val="Bord_4T081"/>
      <sheetName val="Sin_réglés_4T081"/>
      <sheetName val="borderau_de_ristourne_sur_sini1"/>
      <sheetName val="Bord_1T091"/>
      <sheetName val="Bord_de__ristourne_1"/>
      <sheetName val="Sin_réglé_1T091"/>
      <sheetName val="Bord_2T091"/>
      <sheetName val="_Sin_réglé_2T091"/>
      <sheetName val="synthèse_2T091"/>
      <sheetName val="Bord_3T091"/>
      <sheetName val="Ristourne_3T091"/>
      <sheetName val="sunthèse_3T091"/>
      <sheetName val="Sin_rgl_3T091"/>
      <sheetName val="Bord_4T091"/>
      <sheetName val="Sin_régl__4T091"/>
      <sheetName val="bord_de_rist_sur_sinit_règls__1"/>
      <sheetName val="BORD_annul1"/>
      <sheetName val="sunthèse_4T091"/>
      <sheetName val="Bord_1T101"/>
      <sheetName val="Sin_régl__1T10)1"/>
      <sheetName val="sunthèse_1T101"/>
      <sheetName val="Bord_2T101"/>
      <sheetName val="Sin_régl__2T101"/>
      <sheetName val="Bord_de__ristourne_2T101"/>
      <sheetName val="sunthèse_2T101"/>
      <sheetName val="Bord_3T101"/>
      <sheetName val="Bord_de__ristourne_3T10_1"/>
      <sheetName val="Sin_régl__3T101"/>
      <sheetName val="sunthèse_3T101"/>
      <sheetName val="Bord_4T10_1"/>
      <sheetName val="Sin_régl__4T10_1"/>
      <sheetName val="sunthèse_4T10_1"/>
      <sheetName val="Ajustement_COM_31-12-20101"/>
      <sheetName val="Ajustement_COM_31-12-2010_adit1"/>
      <sheetName val="Bord_1T11_1"/>
      <sheetName val="Sinistres__réglés_1_T_111"/>
      <sheetName val="Synthèse_1t_111"/>
      <sheetName val="Bord_2T11_1"/>
      <sheetName val="BORD_ANNUL_SUR_SH_1"/>
      <sheetName val="BORD_RISTOURNE_2T_111"/>
      <sheetName val="Sinistres__réglés_2_T_11_1"/>
      <sheetName val="CONSOLIDATION_2T111"/>
      <sheetName val="Bord_3T111"/>
      <sheetName val="Bord_3T11_-EX_Antérieurs_à_2012"/>
      <sheetName val="Annulation_3T111"/>
      <sheetName val="Ristourne_3T111"/>
      <sheetName val="Sinistres_Réglés_3T111"/>
      <sheetName val="Bord_4T11_1"/>
      <sheetName val="Bord_4T11_-EX_Antérieurs_à_2012"/>
      <sheetName val="Annulation_4T111"/>
      <sheetName val="Ristourne_4T111"/>
      <sheetName val="Sinistres_Réglés_4T111"/>
      <sheetName val="Commission_à_échelle_20111"/>
      <sheetName val="Bord_1T072"/>
      <sheetName val="Sin_Réglés_1T072"/>
      <sheetName val="Annul_2T072"/>
      <sheetName val="Bord_2T072"/>
      <sheetName val="Sin_Réglés_2T072"/>
      <sheetName val="Bord_3T07_Brut2"/>
      <sheetName val="Bord_3T072"/>
      <sheetName val="Annul_3T072"/>
      <sheetName val="Sin_Réglés_3T072"/>
      <sheetName val="Bord_4T072"/>
      <sheetName val="Annul_4T_072"/>
      <sheetName val="Sin_Réglés_4t_072"/>
      <sheetName val="Bord_1T_08_SH2"/>
      <sheetName val="ATS_&amp;_GEMP2"/>
      <sheetName val="Bord_1T082"/>
      <sheetName val="Annul_1T082"/>
      <sheetName val="Sin_Réglés_1T082"/>
      <sheetName val="Bord_2T082"/>
      <sheetName val="SIN_REGL_2T082"/>
      <sheetName val="Annul_2T082"/>
      <sheetName val="Bord_3T082"/>
      <sheetName val="Annul_3T082"/>
      <sheetName val="Sin_réglés_3T082"/>
      <sheetName val="Bord_4T082"/>
      <sheetName val="Sin_réglés_4T082"/>
      <sheetName val="borderau_de_ristourne_sur_sini2"/>
      <sheetName val="Bord_1T092"/>
      <sheetName val="Bord_de__ristourne_2"/>
      <sheetName val="Sin_réglé_1T092"/>
      <sheetName val="Bord_2T092"/>
      <sheetName val="_Sin_réglé_2T092"/>
      <sheetName val="synthèse_2T092"/>
      <sheetName val="Bord_3T092"/>
      <sheetName val="Ristourne_3T092"/>
      <sheetName val="sunthèse_3T092"/>
      <sheetName val="Sin_rgl_3T092"/>
      <sheetName val="Bord_4T092"/>
      <sheetName val="Sin_régl__4T092"/>
      <sheetName val="bord_de_rist_sur_sinit_règls__2"/>
      <sheetName val="BORD_annul2"/>
      <sheetName val="sunthèse_4T092"/>
      <sheetName val="Bord_1T102"/>
      <sheetName val="Sin_régl__1T10)2"/>
      <sheetName val="sunthèse_1T102"/>
      <sheetName val="Bord_2T102"/>
      <sheetName val="Sin_régl__2T102"/>
      <sheetName val="Bord_de__ristourne_2T102"/>
      <sheetName val="sunthèse_2T102"/>
      <sheetName val="Bord_3T102"/>
      <sheetName val="Bord_de__ristourne_3T10_2"/>
      <sheetName val="Sin_régl__3T102"/>
      <sheetName val="sunthèse_3T102"/>
      <sheetName val="Bord_4T10_2"/>
      <sheetName val="Sin_régl__4T10_2"/>
      <sheetName val="sunthèse_4T10_2"/>
      <sheetName val="Ajustement_COM_31-12-20102"/>
      <sheetName val="Ajustement_COM_31-12-2010_adit2"/>
      <sheetName val="Bord_1T11_2"/>
      <sheetName val="Sinistres__réglés_1_T_112"/>
      <sheetName val="Synthèse_1t_112"/>
      <sheetName val="Bord_2T11_2"/>
      <sheetName val="BORD_ANNUL_SUR_SH_2"/>
      <sheetName val="BORD_RISTOURNE_2T_112"/>
      <sheetName val="Sinistres__réglés_2_T_11_2"/>
      <sheetName val="CONSOLIDATION_2T112"/>
      <sheetName val="Bord_3T112"/>
      <sheetName val="Bord_3T11_-EX_Antérieurs_à_2013"/>
      <sheetName val="Annulation_3T112"/>
      <sheetName val="Ristourne_3T112"/>
      <sheetName val="Sinistres_Réglés_3T112"/>
      <sheetName val="Bord_4T11_2"/>
      <sheetName val="Bord_4T11_-EX_Antérieurs_à_2013"/>
      <sheetName val="Annulation_4T112"/>
      <sheetName val="Ristourne_4T112"/>
      <sheetName val="Sinistres_Réglés_4T112"/>
      <sheetName val="Commission_à_échelle_20112"/>
      <sheetName val="Bord_1T074"/>
      <sheetName val="Sin_Réglés_1T074"/>
      <sheetName val="Annul_2T074"/>
      <sheetName val="Bord_2T074"/>
      <sheetName val="Sin_Réglés_2T074"/>
      <sheetName val="Bord_3T07_Brut4"/>
      <sheetName val="Bord_3T074"/>
      <sheetName val="Annul_3T074"/>
      <sheetName val="Sin_Réglés_3T074"/>
      <sheetName val="Bord_4T074"/>
      <sheetName val="Annul_4T_074"/>
      <sheetName val="Sin_Réglés_4t_074"/>
      <sheetName val="Bord_1T_08_SH4"/>
      <sheetName val="ATS_&amp;_GEMP4"/>
      <sheetName val="Bord_1T084"/>
      <sheetName val="Annul_1T084"/>
      <sheetName val="Sin_Réglés_1T084"/>
      <sheetName val="Bord_2T084"/>
      <sheetName val="SIN_REGL_2T084"/>
      <sheetName val="Annul_2T084"/>
      <sheetName val="Bord_3T084"/>
      <sheetName val="Annul_3T084"/>
      <sheetName val="Sin_réglés_3T084"/>
      <sheetName val="Bord_4T084"/>
      <sheetName val="Sin_réglés_4T084"/>
      <sheetName val="borderau_de_ristourne_sur_sini4"/>
      <sheetName val="Bord_1T094"/>
      <sheetName val="Bord_de__ristourne_4"/>
      <sheetName val="Sin_réglé_1T094"/>
      <sheetName val="Bord_2T094"/>
      <sheetName val="_Sin_réglé_2T094"/>
      <sheetName val="synthèse_2T094"/>
      <sheetName val="Bord_3T094"/>
      <sheetName val="Ristourne_3T094"/>
      <sheetName val="sunthèse_3T094"/>
      <sheetName val="Sin_rgl_3T094"/>
      <sheetName val="Bord_4T094"/>
      <sheetName val="Sin_régl__4T094"/>
      <sheetName val="bord_de_rist_sur_sinit_règls__4"/>
      <sheetName val="BORD_annul4"/>
      <sheetName val="sunthèse_4T094"/>
      <sheetName val="Bord_1T104"/>
      <sheetName val="Sin_régl__1T10)4"/>
      <sheetName val="sunthèse_1T104"/>
      <sheetName val="Bord_2T104"/>
      <sheetName val="Sin_régl__2T104"/>
      <sheetName val="Bord_de__ristourne_2T104"/>
      <sheetName val="sunthèse_2T104"/>
      <sheetName val="Bord_3T104"/>
      <sheetName val="Bord_de__ristourne_3T10_4"/>
      <sheetName val="Sin_régl__3T104"/>
      <sheetName val="sunthèse_3T104"/>
      <sheetName val="Bord_4T10_4"/>
      <sheetName val="Sin_régl__4T10_4"/>
      <sheetName val="sunthèse_4T10_4"/>
      <sheetName val="Ajustement_COM_31-12-20104"/>
      <sheetName val="Ajustement_COM_31-12-2010_adit4"/>
      <sheetName val="Bord_1T11_4"/>
      <sheetName val="Sinistres__réglés_1_T_114"/>
      <sheetName val="Synthèse_1t_114"/>
      <sheetName val="Bord_2T11_4"/>
      <sheetName val="BORD_ANNUL_SUR_SH_4"/>
      <sheetName val="BORD_RISTOURNE_2T_114"/>
      <sheetName val="Sinistres__réglés_2_T_11_4"/>
      <sheetName val="CONSOLIDATION_2T114"/>
      <sheetName val="Bord_3T114"/>
      <sheetName val="Bord_3T11_-EX_Antérieurs_à_2015"/>
      <sheetName val="Annulation_3T114"/>
      <sheetName val="Ristourne_3T114"/>
      <sheetName val="Sinistres_Réglés_3T114"/>
      <sheetName val="Bord_4T11_4"/>
      <sheetName val="Bord_4T11_-EX_Antérieurs_à_2015"/>
      <sheetName val="Annulation_4T114"/>
      <sheetName val="Ristourne_4T114"/>
      <sheetName val="Sinistres_Réglés_4T114"/>
      <sheetName val="Commission_à_échelle_20114"/>
      <sheetName val="Bord_1T073"/>
      <sheetName val="Sin_Réglés_1T073"/>
      <sheetName val="Annul_2T073"/>
      <sheetName val="Bord_2T073"/>
      <sheetName val="Sin_Réglés_2T073"/>
      <sheetName val="Bord_3T07_Brut3"/>
      <sheetName val="Bord_3T073"/>
      <sheetName val="Annul_3T073"/>
      <sheetName val="Sin_Réglés_3T073"/>
      <sheetName val="Bord_4T073"/>
      <sheetName val="Annul_4T_073"/>
      <sheetName val="Sin_Réglés_4t_073"/>
      <sheetName val="Bord_1T_08_SH3"/>
      <sheetName val="ATS_&amp;_GEMP3"/>
      <sheetName val="Bord_1T083"/>
      <sheetName val="Annul_1T083"/>
      <sheetName val="Sin_Réglés_1T083"/>
      <sheetName val="Bord_2T083"/>
      <sheetName val="SIN_REGL_2T083"/>
      <sheetName val="Annul_2T083"/>
      <sheetName val="Bord_3T083"/>
      <sheetName val="Annul_3T083"/>
      <sheetName val="Sin_réglés_3T083"/>
      <sheetName val="Bord_4T083"/>
      <sheetName val="Sin_réglés_4T083"/>
      <sheetName val="borderau_de_ristourne_sur_sini3"/>
      <sheetName val="Bord_1T093"/>
      <sheetName val="Bord_de__ristourne_3"/>
      <sheetName val="Sin_réglé_1T093"/>
      <sheetName val="Bord_2T093"/>
      <sheetName val="_Sin_réglé_2T093"/>
      <sheetName val="synthèse_2T093"/>
      <sheetName val="Bord_3T093"/>
      <sheetName val="Ristourne_3T093"/>
      <sheetName val="sunthèse_3T093"/>
      <sheetName val="Sin_rgl_3T093"/>
      <sheetName val="Bord_4T093"/>
      <sheetName val="Sin_régl__4T093"/>
      <sheetName val="bord_de_rist_sur_sinit_règls__3"/>
      <sheetName val="BORD_annul3"/>
      <sheetName val="sunthèse_4T093"/>
      <sheetName val="Bord_1T103"/>
      <sheetName val="Sin_régl__1T10)3"/>
      <sheetName val="sunthèse_1T103"/>
      <sheetName val="Bord_2T103"/>
      <sheetName val="Sin_régl__2T103"/>
      <sheetName val="Bord_de__ristourne_2T103"/>
      <sheetName val="sunthèse_2T103"/>
      <sheetName val="Bord_3T103"/>
      <sheetName val="Bord_de__ristourne_3T10_3"/>
      <sheetName val="Sin_régl__3T103"/>
      <sheetName val="sunthèse_3T103"/>
      <sheetName val="Bord_4T10_3"/>
      <sheetName val="Sin_régl__4T10_3"/>
      <sheetName val="sunthèse_4T10_3"/>
      <sheetName val="Ajustement_COM_31-12-20103"/>
      <sheetName val="Ajustement_COM_31-12-2010_adit3"/>
      <sheetName val="Bord_1T11_3"/>
      <sheetName val="Sinistres__réglés_1_T_113"/>
      <sheetName val="Synthèse_1t_113"/>
      <sheetName val="Bord_2T11_3"/>
      <sheetName val="BORD_ANNUL_SUR_SH_3"/>
      <sheetName val="BORD_RISTOURNE_2T_113"/>
      <sheetName val="Sinistres__réglés_2_T_11_3"/>
      <sheetName val="CONSOLIDATION_2T113"/>
      <sheetName val="Bord_3T113"/>
      <sheetName val="Bord_3T11_-EX_Antérieurs_à_2014"/>
      <sheetName val="Annulation_3T113"/>
      <sheetName val="Ristourne_3T113"/>
      <sheetName val="Sinistres_Réglés_3T113"/>
      <sheetName val="Bord_4T11_3"/>
      <sheetName val="Bord_4T11_-EX_Antérieurs_à_2014"/>
      <sheetName val="Annulation_4T113"/>
      <sheetName val="Ristourne_4T113"/>
      <sheetName val="Sinistres_Réglés_4T113"/>
      <sheetName val="Commission_à_échelle_201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>
        <row r="970">
          <cell r="C970">
            <v>10.3</v>
          </cell>
        </row>
        <row r="978">
          <cell r="C978">
            <v>5</v>
          </cell>
        </row>
        <row r="985">
          <cell r="C985">
            <v>6</v>
          </cell>
        </row>
        <row r="988">
          <cell r="C988">
            <v>13.1</v>
          </cell>
        </row>
        <row r="992">
          <cell r="C992">
            <v>9.1</v>
          </cell>
        </row>
        <row r="999">
          <cell r="C999">
            <v>14.2</v>
          </cell>
        </row>
        <row r="1000">
          <cell r="C1000">
            <v>2.1</v>
          </cell>
        </row>
        <row r="1012">
          <cell r="C1012">
            <v>8.1999999999999993</v>
          </cell>
        </row>
        <row r="1016">
          <cell r="C1016">
            <v>15.1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970">
          <cell r="C970">
            <v>10.3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sikoortInfo -  SOV"/>
      <sheetName val="Premium Calculation"/>
      <sheetName val="Referenztabellen-Referencetable"/>
      <sheetName val="Tabelle1"/>
      <sheetName val="Erläuterungen-Explanation"/>
      <sheetName val="RisikoortInfo_-__SOV"/>
      <sheetName val="Premium_Calculation"/>
      <sheetName val="RisikoortInfo_-__SOV1"/>
      <sheetName val="Premium_Calculation1"/>
      <sheetName val="RisikoortInfo_-__SOV2"/>
      <sheetName val="Premium_Calculation2"/>
      <sheetName val="RisikoortInfo_-__SOV4"/>
      <sheetName val="Premium_Calculation4"/>
      <sheetName val="RisikoortInfo_-__SOV3"/>
      <sheetName val="Premium_Calculation3"/>
    </sheetNames>
    <sheetDataSet>
      <sheetData sheetId="0"/>
      <sheetData sheetId="1"/>
      <sheetData sheetId="2">
        <row r="2">
          <cell r="E2">
            <v>94100</v>
          </cell>
          <cell r="K2" t="str">
            <v>ARS</v>
          </cell>
        </row>
        <row r="3">
          <cell r="E3">
            <v>94200</v>
          </cell>
          <cell r="K3" t="str">
            <v>BOB</v>
          </cell>
        </row>
        <row r="4">
          <cell r="E4">
            <v>94300</v>
          </cell>
          <cell r="K4" t="str">
            <v>RUB</v>
          </cell>
        </row>
        <row r="5">
          <cell r="E5">
            <v>94400</v>
          </cell>
          <cell r="K5" t="str">
            <v>KGS</v>
          </cell>
        </row>
        <row r="6">
          <cell r="E6">
            <v>94500</v>
          </cell>
          <cell r="K6" t="str">
            <v>HRK</v>
          </cell>
        </row>
        <row r="7">
          <cell r="E7">
            <v>95000</v>
          </cell>
          <cell r="K7" t="str">
            <v>BAM</v>
          </cell>
        </row>
        <row r="8">
          <cell r="E8">
            <v>101000</v>
          </cell>
          <cell r="K8" t="str">
            <v>MMK</v>
          </cell>
        </row>
        <row r="9">
          <cell r="E9">
            <v>101500</v>
          </cell>
          <cell r="K9" t="str">
            <v>CHF</v>
          </cell>
        </row>
        <row r="10">
          <cell r="E10">
            <v>102000</v>
          </cell>
          <cell r="K10" t="str">
            <v>MDL</v>
          </cell>
        </row>
        <row r="11">
          <cell r="E11">
            <v>102001</v>
          </cell>
          <cell r="K11" t="str">
            <v>GIP</v>
          </cell>
        </row>
        <row r="12">
          <cell r="E12">
            <v>103300</v>
          </cell>
          <cell r="K12" t="str">
            <v>GBP</v>
          </cell>
        </row>
        <row r="13">
          <cell r="E13">
            <v>103500</v>
          </cell>
          <cell r="K13" t="str">
            <v>DKK</v>
          </cell>
        </row>
        <row r="14">
          <cell r="E14">
            <v>105000</v>
          </cell>
          <cell r="K14" t="str">
            <v>ISK</v>
          </cell>
        </row>
        <row r="15">
          <cell r="E15">
            <v>107200</v>
          </cell>
          <cell r="K15" t="str">
            <v>NOK</v>
          </cell>
        </row>
        <row r="16">
          <cell r="E16">
            <v>109000</v>
          </cell>
          <cell r="K16" t="str">
            <v>SEK</v>
          </cell>
        </row>
        <row r="17">
          <cell r="E17">
            <v>111000</v>
          </cell>
          <cell r="K17" t="str">
            <v>ISK</v>
          </cell>
        </row>
        <row r="18">
          <cell r="E18">
            <v>113100</v>
          </cell>
          <cell r="K18" t="str">
            <v>ALL</v>
          </cell>
        </row>
        <row r="19">
          <cell r="E19">
            <v>113200</v>
          </cell>
          <cell r="K19" t="str">
            <v>TRL</v>
          </cell>
        </row>
        <row r="20">
          <cell r="E20">
            <v>115000</v>
          </cell>
          <cell r="K20" t="str">
            <v>TRY</v>
          </cell>
        </row>
        <row r="21">
          <cell r="E21">
            <v>117100</v>
          </cell>
          <cell r="K21" t="str">
            <v>BGL</v>
          </cell>
        </row>
        <row r="22">
          <cell r="E22">
            <v>119000</v>
          </cell>
          <cell r="K22" t="str">
            <v>PLN</v>
          </cell>
        </row>
        <row r="23">
          <cell r="E23">
            <v>194100</v>
          </cell>
          <cell r="K23" t="str">
            <v>ROL</v>
          </cell>
        </row>
        <row r="24">
          <cell r="E24">
            <v>194200</v>
          </cell>
          <cell r="K24" t="str">
            <v>CZK</v>
          </cell>
        </row>
        <row r="25">
          <cell r="E25">
            <v>194300</v>
          </cell>
          <cell r="K25" t="str">
            <v>HUF</v>
          </cell>
        </row>
        <row r="26">
          <cell r="E26">
            <v>194400</v>
          </cell>
          <cell r="K26" t="str">
            <v>RON</v>
          </cell>
        </row>
        <row r="27">
          <cell r="E27">
            <v>194500</v>
          </cell>
          <cell r="K27" t="str">
            <v>EEK</v>
          </cell>
        </row>
        <row r="28">
          <cell r="E28">
            <v>195000</v>
          </cell>
          <cell r="K28" t="str">
            <v>LVL</v>
          </cell>
        </row>
        <row r="29">
          <cell r="E29">
            <v>201000</v>
          </cell>
          <cell r="K29" t="str">
            <v>UAH</v>
          </cell>
        </row>
        <row r="30">
          <cell r="E30">
            <v>202000</v>
          </cell>
          <cell r="K30" t="str">
            <v>LTL</v>
          </cell>
        </row>
        <row r="31">
          <cell r="E31">
            <v>204000</v>
          </cell>
          <cell r="K31" t="str">
            <v>MKD</v>
          </cell>
        </row>
        <row r="32">
          <cell r="E32">
            <v>204010</v>
          </cell>
          <cell r="K32" t="str">
            <v>AZM</v>
          </cell>
        </row>
        <row r="33">
          <cell r="E33">
            <v>205000</v>
          </cell>
          <cell r="K33" t="str">
            <v>GEL</v>
          </cell>
        </row>
        <row r="34">
          <cell r="E34">
            <v>205010</v>
          </cell>
          <cell r="K34" t="str">
            <v>KZT</v>
          </cell>
        </row>
        <row r="35">
          <cell r="E35">
            <v>209000</v>
          </cell>
          <cell r="K35" t="str">
            <v>AMD</v>
          </cell>
        </row>
        <row r="36">
          <cell r="E36">
            <v>211000</v>
          </cell>
          <cell r="K36" t="str">
            <v>TMM</v>
          </cell>
        </row>
        <row r="37">
          <cell r="E37">
            <v>211001</v>
          </cell>
          <cell r="K37" t="str">
            <v>UZS</v>
          </cell>
        </row>
        <row r="38">
          <cell r="E38">
            <v>211002</v>
          </cell>
          <cell r="K38" t="str">
            <v>BYB</v>
          </cell>
        </row>
        <row r="39">
          <cell r="E39">
            <v>213000</v>
          </cell>
          <cell r="K39" t="str">
            <v>BHD</v>
          </cell>
        </row>
        <row r="40">
          <cell r="E40">
            <v>213001</v>
          </cell>
          <cell r="K40" t="str">
            <v>AED</v>
          </cell>
        </row>
        <row r="41">
          <cell r="E41">
            <v>216100</v>
          </cell>
          <cell r="K41" t="str">
            <v>IQD</v>
          </cell>
        </row>
        <row r="42">
          <cell r="E42">
            <v>216110</v>
          </cell>
          <cell r="K42" t="str">
            <v>ILS</v>
          </cell>
        </row>
        <row r="43">
          <cell r="E43">
            <v>216200</v>
          </cell>
          <cell r="K43" t="str">
            <v>YER</v>
          </cell>
        </row>
        <row r="44">
          <cell r="E44">
            <v>216210</v>
          </cell>
          <cell r="K44" t="str">
            <v>JOD</v>
          </cell>
        </row>
        <row r="45">
          <cell r="E45">
            <v>216300</v>
          </cell>
          <cell r="K45" t="str">
            <v>QAR</v>
          </cell>
        </row>
        <row r="46">
          <cell r="E46">
            <v>216301</v>
          </cell>
          <cell r="K46" t="str">
            <v>KWD</v>
          </cell>
        </row>
        <row r="47">
          <cell r="E47">
            <v>216310</v>
          </cell>
          <cell r="K47" t="str">
            <v>LBP</v>
          </cell>
        </row>
        <row r="48">
          <cell r="E48">
            <v>216311</v>
          </cell>
          <cell r="K48" t="str">
            <v>OMR</v>
          </cell>
        </row>
        <row r="49">
          <cell r="E49">
            <v>221000</v>
          </cell>
          <cell r="K49" t="str">
            <v>SAR</v>
          </cell>
        </row>
        <row r="50">
          <cell r="E50">
            <v>221001</v>
          </cell>
          <cell r="K50" t="str">
            <v>SYP</v>
          </cell>
        </row>
        <row r="51">
          <cell r="E51">
            <v>225000</v>
          </cell>
          <cell r="K51" t="str">
            <v>ILS</v>
          </cell>
        </row>
        <row r="52">
          <cell r="E52">
            <v>294100</v>
          </cell>
          <cell r="K52" t="str">
            <v>AFA</v>
          </cell>
        </row>
        <row r="53">
          <cell r="E53">
            <v>294200</v>
          </cell>
          <cell r="K53" t="str">
            <v>BDT</v>
          </cell>
        </row>
        <row r="54">
          <cell r="E54">
            <v>294300</v>
          </cell>
          <cell r="K54" t="str">
            <v>INR</v>
          </cell>
        </row>
        <row r="55">
          <cell r="E55">
            <v>294400</v>
          </cell>
          <cell r="K55" t="str">
            <v>IRR</v>
          </cell>
        </row>
        <row r="56">
          <cell r="E56">
            <v>294500</v>
          </cell>
          <cell r="K56" t="str">
            <v>NPR</v>
          </cell>
        </row>
        <row r="57">
          <cell r="E57">
            <v>295000</v>
          </cell>
          <cell r="K57" t="str">
            <v>PKR</v>
          </cell>
        </row>
        <row r="58">
          <cell r="E58">
            <v>301000</v>
          </cell>
          <cell r="K58" t="str">
            <v>LKR</v>
          </cell>
        </row>
        <row r="59">
          <cell r="E59">
            <v>301010</v>
          </cell>
          <cell r="K59" t="str">
            <v>CNY</v>
          </cell>
        </row>
        <row r="60">
          <cell r="E60">
            <v>301020</v>
          </cell>
          <cell r="K60" t="str">
            <v>HKD</v>
          </cell>
        </row>
        <row r="61">
          <cell r="E61">
            <v>301030</v>
          </cell>
          <cell r="K61" t="str">
            <v>JPY</v>
          </cell>
        </row>
        <row r="62">
          <cell r="E62">
            <v>303800</v>
          </cell>
          <cell r="K62" t="str">
            <v>KRW</v>
          </cell>
        </row>
        <row r="63">
          <cell r="E63">
            <v>303801</v>
          </cell>
          <cell r="K63" t="str">
            <v>LAK</v>
          </cell>
        </row>
        <row r="64">
          <cell r="E64">
            <v>303802</v>
          </cell>
          <cell r="K64" t="str">
            <v>MOP</v>
          </cell>
        </row>
        <row r="65">
          <cell r="E65">
            <v>303803</v>
          </cell>
          <cell r="K65" t="str">
            <v>MNT</v>
          </cell>
        </row>
        <row r="66">
          <cell r="E66">
            <v>303900</v>
          </cell>
          <cell r="K66" t="str">
            <v>TWD</v>
          </cell>
        </row>
        <row r="67">
          <cell r="E67">
            <v>303901</v>
          </cell>
          <cell r="K67" t="str">
            <v>THB</v>
          </cell>
        </row>
        <row r="68">
          <cell r="E68">
            <v>303902</v>
          </cell>
          <cell r="K68" t="str">
            <v>VND</v>
          </cell>
        </row>
        <row r="69">
          <cell r="E69">
            <v>303910</v>
          </cell>
          <cell r="K69" t="str">
            <v>IDR</v>
          </cell>
        </row>
        <row r="70">
          <cell r="E70">
            <v>303920</v>
          </cell>
          <cell r="K70" t="str">
            <v>MYR</v>
          </cell>
        </row>
        <row r="71">
          <cell r="E71">
            <v>304000</v>
          </cell>
          <cell r="K71" t="str">
            <v>PHP</v>
          </cell>
        </row>
        <row r="72">
          <cell r="E72">
            <v>305000</v>
          </cell>
          <cell r="K72" t="str">
            <v>SGD</v>
          </cell>
        </row>
        <row r="73">
          <cell r="E73">
            <v>307000</v>
          </cell>
          <cell r="K73" t="str">
            <v>BND</v>
          </cell>
        </row>
        <row r="74">
          <cell r="E74">
            <v>309100</v>
          </cell>
          <cell r="K74" t="str">
            <v>XOF</v>
          </cell>
        </row>
        <row r="75">
          <cell r="E75">
            <v>309400</v>
          </cell>
          <cell r="K75" t="str">
            <v>STD</v>
          </cell>
        </row>
        <row r="76">
          <cell r="E76">
            <v>309410</v>
          </cell>
          <cell r="K76" t="str">
            <v>CVE</v>
          </cell>
        </row>
        <row r="77">
          <cell r="E77">
            <v>309600</v>
          </cell>
          <cell r="K77" t="str">
            <v>EGP</v>
          </cell>
        </row>
        <row r="78">
          <cell r="E78">
            <v>309610</v>
          </cell>
          <cell r="K78" t="str">
            <v>DZD</v>
          </cell>
        </row>
        <row r="79">
          <cell r="E79">
            <v>309620</v>
          </cell>
          <cell r="K79" t="str">
            <v>LYD</v>
          </cell>
        </row>
        <row r="80">
          <cell r="E80">
            <v>309700</v>
          </cell>
          <cell r="K80" t="str">
            <v>MAD</v>
          </cell>
        </row>
        <row r="81">
          <cell r="E81">
            <v>309800</v>
          </cell>
          <cell r="K81" t="str">
            <v>TND</v>
          </cell>
        </row>
        <row r="82">
          <cell r="E82">
            <v>311000</v>
          </cell>
          <cell r="K82" t="str">
            <v>GMD</v>
          </cell>
        </row>
        <row r="83">
          <cell r="E83">
            <v>313000</v>
          </cell>
          <cell r="K83" t="str">
            <v>MRO</v>
          </cell>
        </row>
        <row r="84">
          <cell r="E84">
            <v>313010</v>
          </cell>
          <cell r="K84" t="str">
            <v>GNF</v>
          </cell>
        </row>
        <row r="85">
          <cell r="E85">
            <v>315000</v>
          </cell>
          <cell r="K85" t="str">
            <v>GHC</v>
          </cell>
        </row>
        <row r="86">
          <cell r="E86">
            <v>315010</v>
          </cell>
          <cell r="K86" t="str">
            <v>LRD</v>
          </cell>
        </row>
        <row r="87">
          <cell r="E87">
            <v>321000</v>
          </cell>
          <cell r="K87" t="str">
            <v>NGN</v>
          </cell>
        </row>
        <row r="88">
          <cell r="E88">
            <v>321010</v>
          </cell>
          <cell r="K88" t="str">
            <v>SLL</v>
          </cell>
        </row>
        <row r="89">
          <cell r="E89">
            <v>394100</v>
          </cell>
          <cell r="K89" t="str">
            <v>ETB</v>
          </cell>
        </row>
        <row r="90">
          <cell r="E90">
            <v>394110</v>
          </cell>
          <cell r="K90" t="str">
            <v>DJF</v>
          </cell>
        </row>
        <row r="91">
          <cell r="E91">
            <v>394200</v>
          </cell>
          <cell r="K91" t="str">
            <v>BIF</v>
          </cell>
        </row>
        <row r="92">
          <cell r="E92">
            <v>394210</v>
          </cell>
          <cell r="K92" t="str">
            <v>KES</v>
          </cell>
        </row>
        <row r="93">
          <cell r="E93">
            <v>394300</v>
          </cell>
          <cell r="K93" t="str">
            <v>RWF</v>
          </cell>
        </row>
        <row r="94">
          <cell r="E94">
            <v>394310</v>
          </cell>
          <cell r="K94" t="str">
            <v>SOS</v>
          </cell>
        </row>
        <row r="95">
          <cell r="E95">
            <v>394400</v>
          </cell>
          <cell r="K95" t="str">
            <v>TZS</v>
          </cell>
        </row>
        <row r="96">
          <cell r="E96">
            <v>394410</v>
          </cell>
          <cell r="K96" t="str">
            <v>CDF</v>
          </cell>
        </row>
        <row r="97">
          <cell r="E97">
            <v>394500</v>
          </cell>
          <cell r="K97" t="str">
            <v>ZMK</v>
          </cell>
        </row>
        <row r="98">
          <cell r="E98">
            <v>394510</v>
          </cell>
          <cell r="K98" t="str">
            <v>XAF</v>
          </cell>
        </row>
        <row r="99">
          <cell r="E99">
            <v>395000</v>
          </cell>
          <cell r="K99" t="str">
            <v>BWP</v>
          </cell>
        </row>
        <row r="100">
          <cell r="E100">
            <v>400100</v>
          </cell>
          <cell r="K100" t="str">
            <v>MWK</v>
          </cell>
        </row>
        <row r="101">
          <cell r="E101">
            <v>400200</v>
          </cell>
          <cell r="K101" t="str">
            <v>MZM</v>
          </cell>
        </row>
        <row r="102">
          <cell r="E102">
            <v>400201</v>
          </cell>
          <cell r="K102" t="str">
            <v>MZN</v>
          </cell>
        </row>
        <row r="103">
          <cell r="E103">
            <v>400202</v>
          </cell>
          <cell r="K103" t="str">
            <v>ZWD</v>
          </cell>
        </row>
        <row r="104">
          <cell r="E104">
            <v>400203</v>
          </cell>
          <cell r="K104" t="str">
            <v>ZAR</v>
          </cell>
        </row>
        <row r="105">
          <cell r="E105">
            <v>400210</v>
          </cell>
          <cell r="K105" t="str">
            <v>MGF</v>
          </cell>
        </row>
        <row r="106">
          <cell r="E106">
            <v>400300</v>
          </cell>
          <cell r="K106" t="str">
            <v>MUR</v>
          </cell>
        </row>
        <row r="107">
          <cell r="E107">
            <v>400301</v>
          </cell>
          <cell r="K107" t="str">
            <v>SCR</v>
          </cell>
        </row>
        <row r="108">
          <cell r="E108">
            <v>400302</v>
          </cell>
          <cell r="K108" t="str">
            <v>USD</v>
          </cell>
        </row>
        <row r="109">
          <cell r="E109">
            <v>400303</v>
          </cell>
          <cell r="K109" t="str">
            <v>CAD</v>
          </cell>
        </row>
        <row r="110">
          <cell r="E110">
            <v>400304</v>
          </cell>
          <cell r="K110" t="str">
            <v>CRC</v>
          </cell>
        </row>
        <row r="111">
          <cell r="E111">
            <v>400305</v>
          </cell>
          <cell r="K111" t="str">
            <v>SVC</v>
          </cell>
        </row>
        <row r="112">
          <cell r="E112">
            <v>400400</v>
          </cell>
          <cell r="K112" t="str">
            <v>GTQ</v>
          </cell>
        </row>
        <row r="113">
          <cell r="E113">
            <v>400401</v>
          </cell>
          <cell r="K113" t="str">
            <v>HNL</v>
          </cell>
        </row>
        <row r="114">
          <cell r="E114">
            <v>400410</v>
          </cell>
          <cell r="K114" t="str">
            <v>MXN</v>
          </cell>
        </row>
        <row r="115">
          <cell r="E115">
            <v>400500</v>
          </cell>
          <cell r="K115" t="str">
            <v>PAB</v>
          </cell>
        </row>
        <row r="116">
          <cell r="E116">
            <v>400510</v>
          </cell>
          <cell r="K116" t="str">
            <v>BSD</v>
          </cell>
        </row>
        <row r="117">
          <cell r="E117">
            <v>400600</v>
          </cell>
          <cell r="K117" t="str">
            <v>BMD</v>
          </cell>
        </row>
        <row r="118">
          <cell r="E118">
            <v>400601</v>
          </cell>
          <cell r="K118" t="str">
            <v>DOP</v>
          </cell>
        </row>
        <row r="119">
          <cell r="E119">
            <v>400700</v>
          </cell>
          <cell r="K119" t="str">
            <v>HTG</v>
          </cell>
        </row>
        <row r="120">
          <cell r="E120">
            <v>400701</v>
          </cell>
          <cell r="K120" t="str">
            <v>JMD</v>
          </cell>
        </row>
        <row r="121">
          <cell r="E121">
            <v>400800</v>
          </cell>
          <cell r="K121" t="str">
            <v>CUP</v>
          </cell>
        </row>
        <row r="122">
          <cell r="E122">
            <v>400801</v>
          </cell>
          <cell r="K122" t="str">
            <v>TTD</v>
          </cell>
        </row>
        <row r="123">
          <cell r="E123">
            <v>401100</v>
          </cell>
          <cell r="K123" t="str">
            <v>XCD</v>
          </cell>
        </row>
        <row r="124">
          <cell r="E124">
            <v>401101</v>
          </cell>
          <cell r="K124" t="str">
            <v>ANG</v>
          </cell>
        </row>
        <row r="125">
          <cell r="E125">
            <v>401102</v>
          </cell>
          <cell r="K125" t="str">
            <v>BBD</v>
          </cell>
        </row>
        <row r="126">
          <cell r="E126">
            <v>401103</v>
          </cell>
          <cell r="K126" t="str">
            <v>BRL</v>
          </cell>
        </row>
        <row r="127">
          <cell r="E127">
            <v>401200</v>
          </cell>
          <cell r="K127" t="str">
            <v>GYD</v>
          </cell>
        </row>
        <row r="128">
          <cell r="E128">
            <v>401201</v>
          </cell>
          <cell r="K128" t="str">
            <v>COP</v>
          </cell>
        </row>
        <row r="129">
          <cell r="E129">
            <v>401202</v>
          </cell>
          <cell r="K129" t="str">
            <v>VEB</v>
          </cell>
        </row>
        <row r="130">
          <cell r="E130">
            <v>401300</v>
          </cell>
          <cell r="K130" t="str">
            <v>CLP</v>
          </cell>
        </row>
        <row r="131">
          <cell r="E131">
            <v>401301</v>
          </cell>
          <cell r="K131" t="str">
            <v>PYG</v>
          </cell>
        </row>
        <row r="132">
          <cell r="E132">
            <v>401310</v>
          </cell>
          <cell r="K132" t="str">
            <v>AUD</v>
          </cell>
        </row>
        <row r="133">
          <cell r="E133">
            <v>401400</v>
          </cell>
          <cell r="K133" t="str">
            <v>FJD</v>
          </cell>
        </row>
        <row r="134">
          <cell r="E134">
            <v>401401</v>
          </cell>
          <cell r="K134" t="str">
            <v>NZD</v>
          </cell>
        </row>
        <row r="135">
          <cell r="E135">
            <v>401402</v>
          </cell>
          <cell r="K135" t="str">
            <v>PGK</v>
          </cell>
        </row>
        <row r="136">
          <cell r="E136">
            <v>401403</v>
          </cell>
          <cell r="K136" t="str">
            <v>WST</v>
          </cell>
        </row>
        <row r="137">
          <cell r="E137">
            <v>401500</v>
          </cell>
          <cell r="K137" t="str">
            <v>NIO</v>
          </cell>
        </row>
        <row r="138">
          <cell r="E138">
            <v>401501</v>
          </cell>
          <cell r="K138" t="str">
            <v>PEN</v>
          </cell>
        </row>
        <row r="139">
          <cell r="E139">
            <v>401502</v>
          </cell>
          <cell r="K139" t="str">
            <v>SDD</v>
          </cell>
        </row>
        <row r="140">
          <cell r="E140">
            <v>401503</v>
          </cell>
          <cell r="K140" t="str">
            <v>UGX</v>
          </cell>
        </row>
        <row r="141">
          <cell r="E141">
            <v>401600</v>
          </cell>
          <cell r="K141" t="str">
            <v>UYU</v>
          </cell>
        </row>
        <row r="142">
          <cell r="E142">
            <v>401601</v>
          </cell>
          <cell r="K142" t="str">
            <v>YUM</v>
          </cell>
        </row>
        <row r="143">
          <cell r="E143">
            <v>401602</v>
          </cell>
          <cell r="K143" t="str">
            <v>XOF</v>
          </cell>
        </row>
        <row r="144">
          <cell r="E144">
            <v>401603</v>
          </cell>
          <cell r="K144" t="str">
            <v>EUR</v>
          </cell>
        </row>
        <row r="145">
          <cell r="E145">
            <v>401604</v>
          </cell>
          <cell r="K145" t="str">
            <v>AOR</v>
          </cell>
        </row>
        <row r="146">
          <cell r="E146">
            <v>401610</v>
          </cell>
        </row>
        <row r="147">
          <cell r="E147">
            <v>401611</v>
          </cell>
        </row>
        <row r="148">
          <cell r="E148">
            <v>401612</v>
          </cell>
        </row>
        <row r="149">
          <cell r="E149">
            <v>401613</v>
          </cell>
        </row>
        <row r="150">
          <cell r="E150">
            <v>401614</v>
          </cell>
        </row>
        <row r="151">
          <cell r="E151">
            <v>401700</v>
          </cell>
        </row>
        <row r="152">
          <cell r="E152">
            <v>401701</v>
          </cell>
        </row>
        <row r="153">
          <cell r="E153">
            <v>401702</v>
          </cell>
        </row>
        <row r="154">
          <cell r="E154">
            <v>401703</v>
          </cell>
        </row>
        <row r="155">
          <cell r="E155">
            <v>401704</v>
          </cell>
        </row>
        <row r="156">
          <cell r="E156">
            <v>401705</v>
          </cell>
        </row>
        <row r="157">
          <cell r="E157">
            <v>494100</v>
          </cell>
        </row>
        <row r="158">
          <cell r="E158">
            <v>494110</v>
          </cell>
        </row>
        <row r="159">
          <cell r="E159">
            <v>494200</v>
          </cell>
        </row>
        <row r="160">
          <cell r="E160">
            <v>494210</v>
          </cell>
        </row>
        <row r="161">
          <cell r="E161">
            <v>494300</v>
          </cell>
        </row>
        <row r="162">
          <cell r="E162">
            <v>494310</v>
          </cell>
        </row>
        <row r="163">
          <cell r="E163">
            <v>494400</v>
          </cell>
        </row>
        <row r="164">
          <cell r="E164">
            <v>494410</v>
          </cell>
        </row>
        <row r="165">
          <cell r="E165">
            <v>494500</v>
          </cell>
        </row>
        <row r="166">
          <cell r="E166">
            <v>494510</v>
          </cell>
        </row>
        <row r="167">
          <cell r="E167">
            <v>495000</v>
          </cell>
        </row>
        <row r="168">
          <cell r="E168">
            <v>501000</v>
          </cell>
        </row>
        <row r="169">
          <cell r="E169">
            <v>503200</v>
          </cell>
        </row>
        <row r="170">
          <cell r="E170">
            <v>503400</v>
          </cell>
        </row>
        <row r="171">
          <cell r="E171">
            <v>503600</v>
          </cell>
        </row>
        <row r="172">
          <cell r="E172">
            <v>504100</v>
          </cell>
        </row>
        <row r="173">
          <cell r="E173">
            <v>504110</v>
          </cell>
        </row>
        <row r="174">
          <cell r="E174">
            <v>523300</v>
          </cell>
        </row>
        <row r="175">
          <cell r="E175">
            <v>523310</v>
          </cell>
        </row>
        <row r="176">
          <cell r="E176">
            <v>525100</v>
          </cell>
        </row>
        <row r="177">
          <cell r="E177">
            <v>525200</v>
          </cell>
        </row>
        <row r="178">
          <cell r="E178">
            <v>527000</v>
          </cell>
        </row>
        <row r="179">
          <cell r="E179">
            <v>527001</v>
          </cell>
        </row>
        <row r="180">
          <cell r="E180">
            <v>541000</v>
          </cell>
        </row>
        <row r="181">
          <cell r="E181">
            <v>543000</v>
          </cell>
        </row>
        <row r="182">
          <cell r="E182">
            <v>545000</v>
          </cell>
        </row>
        <row r="183">
          <cell r="E183">
            <v>545001</v>
          </cell>
        </row>
        <row r="184">
          <cell r="E184">
            <v>551000</v>
          </cell>
        </row>
        <row r="185">
          <cell r="E185">
            <v>551001</v>
          </cell>
        </row>
        <row r="186">
          <cell r="E186">
            <v>563100</v>
          </cell>
        </row>
        <row r="187">
          <cell r="E187">
            <v>563110</v>
          </cell>
        </row>
        <row r="188">
          <cell r="E188">
            <v>563111</v>
          </cell>
        </row>
        <row r="189">
          <cell r="E189">
            <v>565000</v>
          </cell>
        </row>
        <row r="190">
          <cell r="E190">
            <v>565010</v>
          </cell>
        </row>
        <row r="191">
          <cell r="E191">
            <v>569100</v>
          </cell>
        </row>
        <row r="192">
          <cell r="E192">
            <v>569200</v>
          </cell>
        </row>
        <row r="193">
          <cell r="E193">
            <v>594100</v>
          </cell>
        </row>
        <row r="194">
          <cell r="E194">
            <v>594200</v>
          </cell>
        </row>
        <row r="195">
          <cell r="E195">
            <v>594300</v>
          </cell>
        </row>
        <row r="196">
          <cell r="E196">
            <v>594400</v>
          </cell>
        </row>
        <row r="197">
          <cell r="E197">
            <v>594500</v>
          </cell>
        </row>
        <row r="198">
          <cell r="E198">
            <v>595000</v>
          </cell>
        </row>
        <row r="199">
          <cell r="E199">
            <v>601000</v>
          </cell>
        </row>
        <row r="200">
          <cell r="E200">
            <v>601010</v>
          </cell>
        </row>
        <row r="201">
          <cell r="E201">
            <v>607100</v>
          </cell>
        </row>
        <row r="202">
          <cell r="E202">
            <v>607200</v>
          </cell>
        </row>
        <row r="203">
          <cell r="E203">
            <v>617000</v>
          </cell>
        </row>
        <row r="204">
          <cell r="E204">
            <v>617001</v>
          </cell>
        </row>
        <row r="205">
          <cell r="E205">
            <v>653000</v>
          </cell>
        </row>
        <row r="206">
          <cell r="E206">
            <v>653010</v>
          </cell>
        </row>
        <row r="207">
          <cell r="E207">
            <v>653100</v>
          </cell>
        </row>
        <row r="208">
          <cell r="E208">
            <v>655000</v>
          </cell>
        </row>
        <row r="209">
          <cell r="E209">
            <v>686000</v>
          </cell>
        </row>
        <row r="210">
          <cell r="E210">
            <v>686010</v>
          </cell>
        </row>
        <row r="211">
          <cell r="E211">
            <v>687000</v>
          </cell>
        </row>
        <row r="212">
          <cell r="E212">
            <v>688000</v>
          </cell>
        </row>
        <row r="213">
          <cell r="E213">
            <v>694100</v>
          </cell>
        </row>
        <row r="214">
          <cell r="E214">
            <v>694110</v>
          </cell>
        </row>
        <row r="215">
          <cell r="E215">
            <v>694200</v>
          </cell>
        </row>
        <row r="216">
          <cell r="E216">
            <v>694210</v>
          </cell>
        </row>
        <row r="217">
          <cell r="E217">
            <v>694300</v>
          </cell>
        </row>
        <row r="218">
          <cell r="E218">
            <v>694310</v>
          </cell>
        </row>
        <row r="219">
          <cell r="E219">
            <v>694400</v>
          </cell>
        </row>
        <row r="220">
          <cell r="E220">
            <v>694410</v>
          </cell>
        </row>
        <row r="221">
          <cell r="E221">
            <v>694500</v>
          </cell>
        </row>
        <row r="222">
          <cell r="E222">
            <v>694510</v>
          </cell>
        </row>
        <row r="223">
          <cell r="E223">
            <v>695000</v>
          </cell>
        </row>
        <row r="224">
          <cell r="E224">
            <v>701100</v>
          </cell>
        </row>
        <row r="225">
          <cell r="E225">
            <v>709100</v>
          </cell>
        </row>
        <row r="226">
          <cell r="E226">
            <v>711100</v>
          </cell>
        </row>
        <row r="227">
          <cell r="E227">
            <v>711101</v>
          </cell>
        </row>
        <row r="228">
          <cell r="E228">
            <v>711400</v>
          </cell>
        </row>
        <row r="229">
          <cell r="E229">
            <v>713500</v>
          </cell>
        </row>
        <row r="230">
          <cell r="E230">
            <v>713501</v>
          </cell>
        </row>
        <row r="231">
          <cell r="E231">
            <v>713700</v>
          </cell>
        </row>
        <row r="232">
          <cell r="E232">
            <v>713701</v>
          </cell>
        </row>
        <row r="233">
          <cell r="E233">
            <v>725100</v>
          </cell>
        </row>
        <row r="234">
          <cell r="E234">
            <v>739000</v>
          </cell>
        </row>
        <row r="235">
          <cell r="E235">
            <v>794100</v>
          </cell>
        </row>
        <row r="236">
          <cell r="E236">
            <v>794200</v>
          </cell>
        </row>
        <row r="237">
          <cell r="E237">
            <v>794300</v>
          </cell>
        </row>
        <row r="238">
          <cell r="E238">
            <v>794400</v>
          </cell>
        </row>
        <row r="239">
          <cell r="E239">
            <v>794500</v>
          </cell>
        </row>
        <row r="240">
          <cell r="E240">
            <v>795000</v>
          </cell>
        </row>
        <row r="241">
          <cell r="E241">
            <v>801000</v>
          </cell>
        </row>
        <row r="242">
          <cell r="E242">
            <v>802000</v>
          </cell>
        </row>
        <row r="243">
          <cell r="E243">
            <v>821000</v>
          </cell>
        </row>
        <row r="244">
          <cell r="E244">
            <v>821001</v>
          </cell>
        </row>
        <row r="245">
          <cell r="E245">
            <v>821010</v>
          </cell>
        </row>
        <row r="246">
          <cell r="E246">
            <v>821011</v>
          </cell>
        </row>
        <row r="247">
          <cell r="E247">
            <v>841000</v>
          </cell>
        </row>
        <row r="248">
          <cell r="E248">
            <v>841010</v>
          </cell>
        </row>
        <row r="249">
          <cell r="E249">
            <v>843000</v>
          </cell>
        </row>
        <row r="250">
          <cell r="E250">
            <v>843001</v>
          </cell>
        </row>
        <row r="251">
          <cell r="E251">
            <v>843002</v>
          </cell>
        </row>
        <row r="252">
          <cell r="E252">
            <v>843003</v>
          </cell>
        </row>
        <row r="253">
          <cell r="E253">
            <v>847000</v>
          </cell>
        </row>
        <row r="254">
          <cell r="E254">
            <v>849000</v>
          </cell>
        </row>
        <row r="255">
          <cell r="E255">
            <v>849001</v>
          </cell>
        </row>
        <row r="256">
          <cell r="E256">
            <v>849002</v>
          </cell>
        </row>
        <row r="257">
          <cell r="E257">
            <v>849003</v>
          </cell>
        </row>
        <row r="258">
          <cell r="E258">
            <v>851000</v>
          </cell>
        </row>
        <row r="259">
          <cell r="E259">
            <v>855000</v>
          </cell>
        </row>
        <row r="260">
          <cell r="E260">
            <v>857100</v>
          </cell>
        </row>
        <row r="261">
          <cell r="E261">
            <v>857101</v>
          </cell>
        </row>
        <row r="262">
          <cell r="E262">
            <v>857102</v>
          </cell>
        </row>
        <row r="263">
          <cell r="E263">
            <v>857200</v>
          </cell>
        </row>
        <row r="264">
          <cell r="E264">
            <v>857201</v>
          </cell>
        </row>
        <row r="265">
          <cell r="E265">
            <v>859100</v>
          </cell>
        </row>
        <row r="266">
          <cell r="E266">
            <v>859101</v>
          </cell>
        </row>
        <row r="267">
          <cell r="E267">
            <v>861000</v>
          </cell>
        </row>
        <row r="268">
          <cell r="E268">
            <v>861001</v>
          </cell>
        </row>
        <row r="269">
          <cell r="E269">
            <v>863000</v>
          </cell>
        </row>
        <row r="270">
          <cell r="E270">
            <v>864000</v>
          </cell>
        </row>
        <row r="271">
          <cell r="E271">
            <v>865100</v>
          </cell>
        </row>
        <row r="272">
          <cell r="E272">
            <v>865110</v>
          </cell>
        </row>
        <row r="273">
          <cell r="E273">
            <v>867100</v>
          </cell>
        </row>
        <row r="274">
          <cell r="E274">
            <v>867200</v>
          </cell>
        </row>
        <row r="275">
          <cell r="E275">
            <v>867201</v>
          </cell>
        </row>
        <row r="276">
          <cell r="E276">
            <v>867400</v>
          </cell>
        </row>
        <row r="277">
          <cell r="E277">
            <v>871000</v>
          </cell>
        </row>
        <row r="278">
          <cell r="E278">
            <v>874100</v>
          </cell>
        </row>
        <row r="279">
          <cell r="E279">
            <v>874110</v>
          </cell>
        </row>
        <row r="280">
          <cell r="E280">
            <v>874200</v>
          </cell>
        </row>
        <row r="281">
          <cell r="E281">
            <v>874300</v>
          </cell>
        </row>
        <row r="282">
          <cell r="E282">
            <v>879000</v>
          </cell>
        </row>
        <row r="283">
          <cell r="E283">
            <v>879001</v>
          </cell>
        </row>
        <row r="284">
          <cell r="E284">
            <v>894100</v>
          </cell>
        </row>
        <row r="285">
          <cell r="E285">
            <v>894110</v>
          </cell>
        </row>
        <row r="286">
          <cell r="E286">
            <v>894200</v>
          </cell>
        </row>
        <row r="287">
          <cell r="E287">
            <v>894210</v>
          </cell>
        </row>
        <row r="288">
          <cell r="E288">
            <v>894300</v>
          </cell>
        </row>
        <row r="289">
          <cell r="E289">
            <v>894310</v>
          </cell>
        </row>
        <row r="290">
          <cell r="E290">
            <v>894400</v>
          </cell>
        </row>
        <row r="291">
          <cell r="E291">
            <v>894410</v>
          </cell>
        </row>
        <row r="292">
          <cell r="E292">
            <v>894500</v>
          </cell>
        </row>
        <row r="293">
          <cell r="E293">
            <v>894510</v>
          </cell>
        </row>
        <row r="294">
          <cell r="E294">
            <v>895000</v>
          </cell>
        </row>
        <row r="295">
          <cell r="E295">
            <v>901100</v>
          </cell>
        </row>
        <row r="296">
          <cell r="E296">
            <v>901300</v>
          </cell>
        </row>
        <row r="297">
          <cell r="E297">
            <v>901310</v>
          </cell>
        </row>
        <row r="298">
          <cell r="E298">
            <v>901320</v>
          </cell>
        </row>
        <row r="299">
          <cell r="E299">
            <v>901330</v>
          </cell>
        </row>
        <row r="300">
          <cell r="E300">
            <v>901340</v>
          </cell>
        </row>
        <row r="301">
          <cell r="E301">
            <v>901350</v>
          </cell>
        </row>
        <row r="302">
          <cell r="E302">
            <v>902100</v>
          </cell>
        </row>
        <row r="303">
          <cell r="E303">
            <v>905000</v>
          </cell>
        </row>
        <row r="304">
          <cell r="E304">
            <v>905100</v>
          </cell>
        </row>
        <row r="305">
          <cell r="E305">
            <v>905200</v>
          </cell>
        </row>
        <row r="306">
          <cell r="E306">
            <v>905210</v>
          </cell>
        </row>
        <row r="307">
          <cell r="E307">
            <v>905300</v>
          </cell>
        </row>
        <row r="308">
          <cell r="E308">
            <v>905400</v>
          </cell>
        </row>
        <row r="309">
          <cell r="E309">
            <v>905410</v>
          </cell>
        </row>
        <row r="310">
          <cell r="E310">
            <v>905500</v>
          </cell>
        </row>
        <row r="311">
          <cell r="E311">
            <v>905600</v>
          </cell>
        </row>
        <row r="312">
          <cell r="E312">
            <v>905700</v>
          </cell>
        </row>
        <row r="313">
          <cell r="E313">
            <v>906000</v>
          </cell>
        </row>
        <row r="314">
          <cell r="E314">
            <v>906600</v>
          </cell>
        </row>
        <row r="315">
          <cell r="E315">
            <v>906700</v>
          </cell>
        </row>
        <row r="316">
          <cell r="E316">
            <v>908000</v>
          </cell>
        </row>
        <row r="317">
          <cell r="E317">
            <v>908010</v>
          </cell>
        </row>
        <row r="318">
          <cell r="E318">
            <v>909000</v>
          </cell>
        </row>
        <row r="319">
          <cell r="E319">
            <v>911000</v>
          </cell>
        </row>
        <row r="320">
          <cell r="E320">
            <v>923000</v>
          </cell>
        </row>
        <row r="321">
          <cell r="E321">
            <v>923010</v>
          </cell>
        </row>
        <row r="322">
          <cell r="E322">
            <v>923020</v>
          </cell>
        </row>
        <row r="323">
          <cell r="E323">
            <v>923030</v>
          </cell>
        </row>
        <row r="324">
          <cell r="E324">
            <v>926100</v>
          </cell>
        </row>
        <row r="325">
          <cell r="E325">
            <v>926200</v>
          </cell>
        </row>
        <row r="326">
          <cell r="E326">
            <v>945100</v>
          </cell>
        </row>
        <row r="327">
          <cell r="E327">
            <v>945200</v>
          </cell>
        </row>
        <row r="328">
          <cell r="E328">
            <v>949000</v>
          </cell>
        </row>
        <row r="329">
          <cell r="E329">
            <v>949001</v>
          </cell>
        </row>
        <row r="330">
          <cell r="E330">
            <v>955000</v>
          </cell>
        </row>
        <row r="331">
          <cell r="E331">
            <v>962100</v>
          </cell>
        </row>
        <row r="332">
          <cell r="E332">
            <v>962200</v>
          </cell>
        </row>
        <row r="333">
          <cell r="E333">
            <v>963000</v>
          </cell>
        </row>
        <row r="334">
          <cell r="E334">
            <v>964000</v>
          </cell>
        </row>
        <row r="335">
          <cell r="E335">
            <v>965000</v>
          </cell>
        </row>
        <row r="336">
          <cell r="E336">
            <v>966000</v>
          </cell>
        </row>
        <row r="337">
          <cell r="E337">
            <v>966010</v>
          </cell>
        </row>
        <row r="338">
          <cell r="E338">
            <v>967000</v>
          </cell>
        </row>
        <row r="339">
          <cell r="E339">
            <v>967001</v>
          </cell>
        </row>
        <row r="340">
          <cell r="E340">
            <v>971100</v>
          </cell>
        </row>
        <row r="341">
          <cell r="E341">
            <v>971300</v>
          </cell>
        </row>
        <row r="342">
          <cell r="E342">
            <v>971400</v>
          </cell>
        </row>
        <row r="343">
          <cell r="E343">
            <v>971500</v>
          </cell>
        </row>
        <row r="344">
          <cell r="E344">
            <v>971510</v>
          </cell>
        </row>
        <row r="345">
          <cell r="E345">
            <v>994100</v>
          </cell>
        </row>
        <row r="346">
          <cell r="E346">
            <v>994200</v>
          </cell>
        </row>
        <row r="347">
          <cell r="E347">
            <v>994300</v>
          </cell>
        </row>
        <row r="348">
          <cell r="E348">
            <v>994400</v>
          </cell>
        </row>
        <row r="349">
          <cell r="E349">
            <v>994500</v>
          </cell>
        </row>
        <row r="350">
          <cell r="E350">
            <v>995000</v>
          </cell>
        </row>
        <row r="351">
          <cell r="E351">
            <v>997001</v>
          </cell>
        </row>
        <row r="352">
          <cell r="E352">
            <v>997002</v>
          </cell>
        </row>
        <row r="353">
          <cell r="E353">
            <v>997003</v>
          </cell>
        </row>
        <row r="354">
          <cell r="E354">
            <v>997100</v>
          </cell>
        </row>
        <row r="355">
          <cell r="E355">
            <v>998001</v>
          </cell>
        </row>
        <row r="356">
          <cell r="E356">
            <v>998002</v>
          </cell>
        </row>
        <row r="357">
          <cell r="E357">
            <v>999000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if "/>
      <sheetName val="nvl affaire 2025"/>
      <sheetName val="prod usa-annulation "/>
      <sheetName val="Sinistre réglé  "/>
      <sheetName val="reg "/>
      <sheetName val="Feuil8"/>
      <sheetName val="sap -"/>
      <sheetName val="SAP "/>
      <sheetName val=" PROD  (2)"/>
      <sheetName val=" PROD etap 1"/>
      <sheetName val=" PROD etap 2"/>
      <sheetName val="REG VF"/>
      <sheetName val="SAP VFF"/>
      <sheetName val=" PROD etap 3"/>
      <sheetName val="pe 2024"/>
      <sheetName val=" PE prévo 2025 etap 4"/>
    </sheetNames>
    <sheetDataSet>
      <sheetData sheetId="0">
        <row r="3">
          <cell r="K3" t="str">
            <v>SINISTRE</v>
          </cell>
        </row>
        <row r="4">
          <cell r="L4" t="str">
            <v xml:space="preserve">Rétention </v>
          </cell>
          <cell r="M4" t="str">
            <v xml:space="preserve">cession </v>
          </cell>
        </row>
        <row r="5">
          <cell r="K5">
            <v>2025</v>
          </cell>
          <cell r="L5">
            <v>0.6</v>
          </cell>
          <cell r="M5">
            <v>0.4</v>
          </cell>
        </row>
        <row r="6">
          <cell r="K6">
            <v>2024</v>
          </cell>
          <cell r="L6">
            <v>0.6</v>
          </cell>
          <cell r="M6">
            <v>0.4</v>
          </cell>
        </row>
        <row r="7">
          <cell r="K7">
            <v>2023</v>
          </cell>
          <cell r="L7">
            <v>0.25</v>
          </cell>
          <cell r="M7">
            <v>0.75</v>
          </cell>
        </row>
        <row r="8">
          <cell r="K8">
            <v>2022</v>
          </cell>
          <cell r="L8">
            <v>0.25</v>
          </cell>
          <cell r="M8">
            <v>0.75</v>
          </cell>
        </row>
        <row r="9">
          <cell r="K9">
            <v>2021</v>
          </cell>
          <cell r="L9">
            <v>0.25</v>
          </cell>
          <cell r="M9">
            <v>0.75</v>
          </cell>
        </row>
        <row r="10">
          <cell r="K10">
            <v>2020</v>
          </cell>
          <cell r="L10">
            <v>0.25</v>
          </cell>
          <cell r="M10">
            <v>0.75</v>
          </cell>
        </row>
        <row r="11">
          <cell r="K11">
            <v>2019</v>
          </cell>
          <cell r="L11">
            <v>0.5</v>
          </cell>
          <cell r="M11">
            <v>0.5</v>
          </cell>
        </row>
        <row r="12">
          <cell r="K12">
            <v>2018</v>
          </cell>
          <cell r="L12">
            <v>0.5</v>
          </cell>
          <cell r="M12">
            <v>0.5</v>
          </cell>
        </row>
        <row r="13">
          <cell r="K13">
            <v>2017</v>
          </cell>
          <cell r="L13">
            <v>0.35</v>
          </cell>
          <cell r="M13">
            <v>0.65</v>
          </cell>
        </row>
        <row r="19">
          <cell r="K19" t="str">
            <v>fac</v>
          </cell>
          <cell r="L19" t="str">
            <v xml:space="preserve">Rétention </v>
          </cell>
          <cell r="M19" t="str">
            <v xml:space="preserve">cession </v>
          </cell>
        </row>
        <row r="20">
          <cell r="K20" t="str">
            <v>ENAFOR-</v>
          </cell>
          <cell r="L20">
            <v>0.5</v>
          </cell>
          <cell r="M20">
            <v>0.5</v>
          </cell>
        </row>
        <row r="21">
          <cell r="K21" t="str">
            <v>ENSP-</v>
          </cell>
          <cell r="L21">
            <v>0.3</v>
          </cell>
          <cell r="M21">
            <v>0.7</v>
          </cell>
        </row>
        <row r="22">
          <cell r="K22" t="str">
            <v>ENAGEO-</v>
          </cell>
          <cell r="L22">
            <v>0.25</v>
          </cell>
          <cell r="M22">
            <v>0.75</v>
          </cell>
        </row>
        <row r="23">
          <cell r="K23" t="str">
            <v>SONTARCH Retraité</v>
          </cell>
          <cell r="L23">
            <v>0.25</v>
          </cell>
          <cell r="M23">
            <v>0.75</v>
          </cell>
        </row>
        <row r="24">
          <cell r="K24" t="str">
            <v>SONATRACH (Annulation interne)</v>
          </cell>
          <cell r="L24">
            <v>0.25</v>
          </cell>
          <cell r="M24">
            <v>0.75</v>
          </cell>
        </row>
        <row r="25">
          <cell r="K25" t="str">
            <v>SONATRACH (Avenant d'émission de prime)</v>
          </cell>
          <cell r="L25">
            <v>0.25</v>
          </cell>
          <cell r="M25">
            <v>0.75</v>
          </cell>
        </row>
        <row r="26">
          <cell r="K26" t="str">
            <v>BANK ABC ALGERIA-Prévoyance</v>
          </cell>
          <cell r="L26">
            <v>0.05</v>
          </cell>
          <cell r="M26">
            <v>0.95</v>
          </cell>
        </row>
        <row r="27">
          <cell r="K27" t="str">
            <v>ADFC</v>
          </cell>
          <cell r="L27">
            <v>0.25</v>
          </cell>
          <cell r="M27">
            <v>0.75</v>
          </cell>
        </row>
        <row r="28">
          <cell r="K28" t="str">
            <v>ENTP</v>
          </cell>
          <cell r="L28">
            <v>0.25</v>
          </cell>
          <cell r="M28">
            <v>0.75</v>
          </cell>
        </row>
        <row r="29">
          <cell r="K29" t="str">
            <v>ENAFOR</v>
          </cell>
          <cell r="L29">
            <v>0.25</v>
          </cell>
          <cell r="M29">
            <v>0.75</v>
          </cell>
        </row>
        <row r="30">
          <cell r="K30" t="str">
            <v>ENSP et ces filiales</v>
          </cell>
          <cell r="L30">
            <v>0.25</v>
          </cell>
          <cell r="M30">
            <v>0.75</v>
          </cell>
        </row>
        <row r="31">
          <cell r="K31" t="str">
            <v xml:space="preserve">SONATRACH </v>
          </cell>
          <cell r="L31">
            <v>0.25</v>
          </cell>
          <cell r="M31">
            <v>0.75</v>
          </cell>
        </row>
        <row r="32">
          <cell r="K32" t="str">
            <v xml:space="preserve">STH </v>
          </cell>
          <cell r="L32">
            <v>0.25</v>
          </cell>
          <cell r="M32">
            <v>0.75</v>
          </cell>
        </row>
        <row r="33">
          <cell r="K33" t="str">
            <v>ENAGEO</v>
          </cell>
          <cell r="L33">
            <v>0.25</v>
          </cell>
          <cell r="M33">
            <v>0.75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C3" t="str">
            <v xml:space="preserve">CLIENT </v>
          </cell>
          <cell r="D3" t="str">
            <v xml:space="preserve">Prime de BASE </v>
          </cell>
          <cell r="E3" t="str">
            <v>REC de cloture 31/12/2024</v>
          </cell>
          <cell r="F3" t="str">
            <v xml:space="preserve">sinsiter reg </v>
          </cell>
          <cell r="G3" t="str">
            <v>SAP de cloture 31/12/2024</v>
          </cell>
          <cell r="H3" t="str">
            <v xml:space="preserve">rec d'ouverture </v>
          </cell>
          <cell r="I3" t="str">
            <v xml:space="preserve">sap d'ouverture </v>
          </cell>
          <cell r="J3" t="str">
            <v xml:space="preserve">Report Solde débiteur </v>
          </cell>
          <cell r="K3" t="str">
            <v>Résultat technique</v>
          </cell>
          <cell r="L3" t="str">
            <v>charge sinistre 2024</v>
          </cell>
          <cell r="M3" t="str">
            <v>charge sinistre 2023</v>
          </cell>
          <cell r="N3" t="str">
            <v>charge sinistre 2022</v>
          </cell>
          <cell r="O3" t="str">
            <v>charge sinistre 2021</v>
          </cell>
          <cell r="P3" t="str">
            <v>provision d'egalisation</v>
          </cell>
        </row>
        <row r="4">
          <cell r="C4" t="str">
            <v>ACE ALGERIE</v>
          </cell>
          <cell r="D4">
            <v>48488.520000000004</v>
          </cell>
          <cell r="E4">
            <v>4106.9511475409836</v>
          </cell>
          <cell r="F4">
            <v>0</v>
          </cell>
          <cell r="G4">
            <v>0</v>
          </cell>
          <cell r="H4">
            <v>3160.4801584009228</v>
          </cell>
          <cell r="I4">
            <v>0</v>
          </cell>
          <cell r="J4">
            <v>0</v>
          </cell>
          <cell r="K4">
            <v>47542.049010859948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C5" t="str">
            <v>ADFC</v>
          </cell>
          <cell r="D5">
            <v>455080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455080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C6" t="str">
            <v>AEC</v>
          </cell>
          <cell r="D6">
            <v>1259767.08</v>
          </cell>
          <cell r="E6">
            <v>203633.58279452057</v>
          </cell>
          <cell r="F6">
            <v>4200000</v>
          </cell>
          <cell r="G6">
            <v>0</v>
          </cell>
          <cell r="H6">
            <v>63763.276540058534</v>
          </cell>
          <cell r="I6">
            <v>0</v>
          </cell>
          <cell r="J6">
            <v>-217776.55679223867</v>
          </cell>
          <cell r="K6">
            <v>-3297879.783046701</v>
          </cell>
          <cell r="L6">
            <v>4200000</v>
          </cell>
          <cell r="M6">
            <v>0</v>
          </cell>
          <cell r="N6">
            <v>2000000</v>
          </cell>
          <cell r="O6">
            <v>2000000</v>
          </cell>
          <cell r="P6">
            <v>0</v>
          </cell>
        </row>
        <row r="7">
          <cell r="C7" t="str">
            <v>AGLIC</v>
          </cell>
          <cell r="D7">
            <v>641329.92000000004</v>
          </cell>
          <cell r="E7">
            <v>210848.19287671233</v>
          </cell>
          <cell r="F7">
            <v>0</v>
          </cell>
          <cell r="G7">
            <v>0</v>
          </cell>
          <cell r="H7">
            <v>212024.37245901639</v>
          </cell>
          <cell r="I7">
            <v>0</v>
          </cell>
          <cell r="J7">
            <v>0</v>
          </cell>
          <cell r="K7">
            <v>642506.09958230413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C8" t="str">
            <v>ALDAPH</v>
          </cell>
          <cell r="D8">
            <v>19163046</v>
          </cell>
          <cell r="E8">
            <v>11130317.128767122</v>
          </cell>
          <cell r="F8">
            <v>12000000</v>
          </cell>
          <cell r="G8">
            <v>0</v>
          </cell>
          <cell r="H8">
            <v>10346302.504918033</v>
          </cell>
          <cell r="I8">
            <v>12000000</v>
          </cell>
          <cell r="J8">
            <v>0</v>
          </cell>
          <cell r="K8">
            <v>18379031.37615091</v>
          </cell>
          <cell r="L8">
            <v>0</v>
          </cell>
          <cell r="M8">
            <v>24000000</v>
          </cell>
          <cell r="N8">
            <v>0</v>
          </cell>
          <cell r="O8">
            <v>0</v>
          </cell>
          <cell r="P8">
            <v>1200000</v>
          </cell>
        </row>
        <row r="9">
          <cell r="C9" t="str">
            <v>ALFA ROMEO EL DJAZAIR SPA</v>
          </cell>
          <cell r="D9">
            <v>34688.639999999999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34688.639999999999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C10" t="str">
            <v>ALGERIAN STARTUP FUND Spa</v>
          </cell>
          <cell r="D10">
            <v>16919.581265195578</v>
          </cell>
          <cell r="E10">
            <v>11264.269171075413</v>
          </cell>
          <cell r="F10">
            <v>0</v>
          </cell>
          <cell r="G10">
            <v>0</v>
          </cell>
          <cell r="H10">
            <v>14847.462826738643</v>
          </cell>
          <cell r="I10">
            <v>0</v>
          </cell>
          <cell r="J10">
            <v>0</v>
          </cell>
          <cell r="K10">
            <v>20502.774920858807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C11" t="str">
            <v>AMIMER ENERGIE SPA</v>
          </cell>
          <cell r="D11">
            <v>1551400.7999999998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1551400.7999999998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 t="str">
            <v>ANAM</v>
          </cell>
          <cell r="D12">
            <v>1828467.3599999999</v>
          </cell>
          <cell r="E12">
            <v>0</v>
          </cell>
          <cell r="F12">
            <v>600000</v>
          </cell>
          <cell r="G12">
            <v>2600000</v>
          </cell>
          <cell r="H12">
            <v>0</v>
          </cell>
          <cell r="I12">
            <v>0</v>
          </cell>
          <cell r="J12">
            <v>0</v>
          </cell>
          <cell r="K12">
            <v>1228467.3599999999</v>
          </cell>
          <cell r="L12">
            <v>3200000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 t="str">
            <v>ARAB BANK</v>
          </cell>
          <cell r="D13">
            <v>54692.5683417908</v>
          </cell>
          <cell r="E13">
            <v>2092.0654556969157</v>
          </cell>
          <cell r="F13">
            <v>50000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2600.5028860938837</v>
          </cell>
          <cell r="L13">
            <v>50000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 t="str">
            <v>ARAB LEASING CORPORATION</v>
          </cell>
          <cell r="D14">
            <v>9052.7732463713073</v>
          </cell>
          <cell r="E14">
            <v>3745.1198909645686</v>
          </cell>
          <cell r="F14">
            <v>0</v>
          </cell>
          <cell r="G14">
            <v>0</v>
          </cell>
          <cell r="H14">
            <v>4177.3574178762565</v>
          </cell>
          <cell r="I14">
            <v>0</v>
          </cell>
          <cell r="J14">
            <v>0</v>
          </cell>
          <cell r="K14">
            <v>9485.0107732829965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 t="str">
            <v>AROME ALGERIE</v>
          </cell>
          <cell r="D15">
            <v>68343</v>
          </cell>
          <cell r="E15">
            <v>56921.293150684935</v>
          </cell>
          <cell r="F15">
            <v>0</v>
          </cell>
          <cell r="G15">
            <v>0</v>
          </cell>
          <cell r="H15">
            <v>47633.000000000007</v>
          </cell>
          <cell r="I15">
            <v>0</v>
          </cell>
          <cell r="J15">
            <v>0</v>
          </cell>
          <cell r="K15">
            <v>59054.706849315065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 t="str">
            <v>BAHIA PHARM</v>
          </cell>
          <cell r="D16">
            <v>157907.88</v>
          </cell>
          <cell r="E16">
            <v>38936.189589041096</v>
          </cell>
          <cell r="F16">
            <v>0</v>
          </cell>
          <cell r="G16">
            <v>0</v>
          </cell>
          <cell r="H16">
            <v>39261.248852459015</v>
          </cell>
          <cell r="I16">
            <v>0</v>
          </cell>
          <cell r="J16">
            <v>-82975.288852458994</v>
          </cell>
          <cell r="K16">
            <v>75257.650410958915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 t="str">
            <v>BAMIC</v>
          </cell>
          <cell r="D17">
            <v>639185.52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639185.52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 t="str">
            <v>BANK ABC ALGERIA-Prévoyance</v>
          </cell>
          <cell r="D18">
            <v>973914.01800000016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973914.01800000016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 t="str">
            <v>BANQUE AL BARAKA D'ALGERIE</v>
          </cell>
          <cell r="D19">
            <v>1385796.2399999998</v>
          </cell>
          <cell r="E19">
            <v>1268098.4771506847</v>
          </cell>
          <cell r="F19">
            <v>0</v>
          </cell>
          <cell r="G19">
            <v>500000</v>
          </cell>
          <cell r="H19">
            <v>1269863.081967213</v>
          </cell>
          <cell r="I19">
            <v>0</v>
          </cell>
          <cell r="J19">
            <v>0</v>
          </cell>
          <cell r="K19">
            <v>1387560.8448165278</v>
          </cell>
          <cell r="L19">
            <v>500000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 t="str">
            <v>BJSP-ALSCIF</v>
          </cell>
          <cell r="D20">
            <v>7487652</v>
          </cell>
          <cell r="E20">
            <v>0</v>
          </cell>
          <cell r="F20">
            <v>0</v>
          </cell>
          <cell r="G20">
            <v>6000000</v>
          </cell>
          <cell r="H20">
            <v>0</v>
          </cell>
          <cell r="I20">
            <v>6000000</v>
          </cell>
          <cell r="J20">
            <v>0</v>
          </cell>
          <cell r="K20">
            <v>13487652</v>
          </cell>
          <cell r="L20">
            <v>0</v>
          </cell>
          <cell r="M20">
            <v>6000000</v>
          </cell>
          <cell r="N20">
            <v>0</v>
          </cell>
          <cell r="O20">
            <v>0</v>
          </cell>
          <cell r="P20">
            <v>300000</v>
          </cell>
        </row>
        <row r="21">
          <cell r="C21" t="str">
            <v xml:space="preserve">BRIQUETERIE TAFNA </v>
          </cell>
          <cell r="D21">
            <v>-99890.960399999996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-99890.960399999996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 t="str">
            <v>BUHLER</v>
          </cell>
          <cell r="D22">
            <v>7870.7206328067605</v>
          </cell>
          <cell r="E22">
            <v>1466.3260357009856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6404.3945971057747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C23" t="str">
            <v>CARGILL ALGERIA</v>
          </cell>
          <cell r="D23">
            <v>51225.263157894733</v>
          </cell>
          <cell r="E23">
            <v>26041.457982856686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25183.805175038047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C24" t="str">
            <v>CASH</v>
          </cell>
          <cell r="D24">
            <v>12158704.800000001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12158704.800000001</v>
          </cell>
          <cell r="L24">
            <v>0</v>
          </cell>
          <cell r="M24">
            <v>0</v>
          </cell>
          <cell r="N24">
            <v>6287821.75</v>
          </cell>
          <cell r="O24">
            <v>6287821.75</v>
          </cell>
          <cell r="P24">
            <v>628782.17499999993</v>
          </cell>
        </row>
        <row r="25">
          <cell r="C25" t="str">
            <v>CGCI</v>
          </cell>
          <cell r="D25">
            <v>253499.52000000002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253499.52000000002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C26" t="str">
            <v xml:space="preserve">CIEPTAL CARS SPA </v>
          </cell>
          <cell r="D26">
            <v>569139.48999999987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-780453.04000000015</v>
          </cell>
          <cell r="K26">
            <v>-211313.55000000028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 t="str">
            <v>CLINICA GROUP</v>
          </cell>
          <cell r="D27">
            <v>860884.33037576894</v>
          </cell>
          <cell r="E27">
            <v>573136.69118167635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287747.6391940926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C28" t="str">
            <v>COGIZ SPA</v>
          </cell>
          <cell r="D28">
            <v>18230.856113930262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18230.856113930262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C29" t="str">
            <v>COLPA</v>
          </cell>
          <cell r="D29">
            <v>564632.88</v>
          </cell>
          <cell r="E29">
            <v>422314.4554520548</v>
          </cell>
          <cell r="F29">
            <v>0</v>
          </cell>
          <cell r="G29">
            <v>0</v>
          </cell>
          <cell r="H29">
            <v>396823.50950819679</v>
          </cell>
          <cell r="I29">
            <v>0</v>
          </cell>
          <cell r="J29">
            <v>-3048308.359919155</v>
          </cell>
          <cell r="K29">
            <v>-2509166.4258630127</v>
          </cell>
          <cell r="L29">
            <v>0</v>
          </cell>
          <cell r="M29">
            <v>3000000</v>
          </cell>
          <cell r="N29">
            <v>1000000</v>
          </cell>
          <cell r="O29">
            <v>1000000</v>
          </cell>
          <cell r="P29">
            <v>0</v>
          </cell>
        </row>
        <row r="30">
          <cell r="C30" t="str">
            <v>CREG</v>
          </cell>
          <cell r="D30">
            <v>504835.19999999995</v>
          </cell>
          <cell r="E30">
            <v>107882.59068493151</v>
          </cell>
          <cell r="F30">
            <v>0</v>
          </cell>
          <cell r="G30">
            <v>0</v>
          </cell>
          <cell r="H30">
            <v>87173.728524590173</v>
          </cell>
          <cell r="I30">
            <v>0</v>
          </cell>
          <cell r="J30">
            <v>0</v>
          </cell>
          <cell r="K30">
            <v>484126.3378396586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C31" t="str">
            <v>DANONE DJURDJURA ALGERIE</v>
          </cell>
          <cell r="D31">
            <v>126182.98614602216</v>
          </cell>
          <cell r="E31">
            <v>73289.844008100539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52893.142137921619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DAR AL HANDASAH</v>
          </cell>
          <cell r="D32">
            <v>739938.10407521389</v>
          </cell>
          <cell r="E32">
            <v>306111.38004207483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433826.72403313906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C33" t="str">
            <v>DFSP Ex BASP</v>
          </cell>
          <cell r="D33">
            <v>3375727.9999999995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3375727.9999999995</v>
          </cell>
          <cell r="L33">
            <v>0</v>
          </cell>
          <cell r="M33">
            <v>6000000</v>
          </cell>
          <cell r="N33">
            <v>0</v>
          </cell>
          <cell r="O33">
            <v>0</v>
          </cell>
          <cell r="P33">
            <v>300000</v>
          </cell>
        </row>
        <row r="34">
          <cell r="C34" t="str">
            <v>EL KENDI INDUSTRIE DU MEDICAMENT SPA</v>
          </cell>
          <cell r="D34">
            <v>2121862.232602078</v>
          </cell>
          <cell r="E34">
            <v>342048.82984569017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1779813.4027563878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C35" t="str">
            <v xml:space="preserve">ENAFOR </v>
          </cell>
          <cell r="D35">
            <v>152501960</v>
          </cell>
          <cell r="E35">
            <v>0</v>
          </cell>
          <cell r="F35">
            <v>80400000</v>
          </cell>
          <cell r="G35">
            <v>24000000</v>
          </cell>
          <cell r="H35">
            <v>0</v>
          </cell>
          <cell r="I35">
            <v>1200000</v>
          </cell>
          <cell r="J35">
            <v>0</v>
          </cell>
          <cell r="K35">
            <v>73301960</v>
          </cell>
          <cell r="L35">
            <v>103200000</v>
          </cell>
          <cell r="M35">
            <v>50400000</v>
          </cell>
          <cell r="N35">
            <v>25200000</v>
          </cell>
          <cell r="O35">
            <v>25200000</v>
          </cell>
          <cell r="P35">
            <v>5040000</v>
          </cell>
        </row>
        <row r="36">
          <cell r="C36" t="str">
            <v xml:space="preserve">ENAGEO </v>
          </cell>
          <cell r="D36">
            <v>149690568.75</v>
          </cell>
          <cell r="E36">
            <v>0</v>
          </cell>
          <cell r="F36">
            <v>37200000</v>
          </cell>
          <cell r="G36">
            <v>46800000</v>
          </cell>
          <cell r="H36">
            <v>48815085.245901637</v>
          </cell>
          <cell r="I36">
            <v>0</v>
          </cell>
          <cell r="J36">
            <v>0</v>
          </cell>
          <cell r="K36">
            <v>161305653.99590164</v>
          </cell>
          <cell r="L36">
            <v>84000000</v>
          </cell>
          <cell r="M36">
            <v>18000000</v>
          </cell>
          <cell r="N36">
            <v>0</v>
          </cell>
          <cell r="O36">
            <v>0</v>
          </cell>
          <cell r="P36">
            <v>900000</v>
          </cell>
        </row>
        <row r="37">
          <cell r="C37" t="str">
            <v xml:space="preserve">ENSP </v>
          </cell>
          <cell r="D37">
            <v>45913492</v>
          </cell>
          <cell r="E37">
            <v>0</v>
          </cell>
          <cell r="F37">
            <v>20400000</v>
          </cell>
          <cell r="G37">
            <v>19200000</v>
          </cell>
          <cell r="H37">
            <v>0</v>
          </cell>
          <cell r="I37">
            <v>7200000</v>
          </cell>
          <cell r="J37">
            <v>0</v>
          </cell>
          <cell r="K37">
            <v>32713492</v>
          </cell>
          <cell r="L37">
            <v>32400000</v>
          </cell>
          <cell r="M37">
            <v>2400000</v>
          </cell>
          <cell r="N37">
            <v>44400000</v>
          </cell>
          <cell r="O37">
            <v>44400000</v>
          </cell>
          <cell r="P37">
            <v>4560000</v>
          </cell>
        </row>
        <row r="38">
          <cell r="C38" t="str">
            <v>ENTP</v>
          </cell>
          <cell r="D38">
            <v>49263802.32</v>
          </cell>
          <cell r="E38">
            <v>0</v>
          </cell>
          <cell r="F38">
            <v>0</v>
          </cell>
          <cell r="G38">
            <v>38400000</v>
          </cell>
          <cell r="H38">
            <v>0</v>
          </cell>
          <cell r="I38">
            <v>0</v>
          </cell>
          <cell r="J38">
            <v>0</v>
          </cell>
          <cell r="K38">
            <v>49263802.32</v>
          </cell>
          <cell r="L38">
            <v>38400000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 t="str">
            <v>ENTREPRISE DE DESSALEMENT DE L'EAU DE MER</v>
          </cell>
          <cell r="D39">
            <v>50310.96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50310.96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C40" t="str">
            <v>EUL SATI (Michelin Algerie)</v>
          </cell>
          <cell r="D40">
            <v>209517.12</v>
          </cell>
          <cell r="E40">
            <v>103897.53073972603</v>
          </cell>
          <cell r="F40">
            <v>0</v>
          </cell>
          <cell r="G40">
            <v>0</v>
          </cell>
          <cell r="H40">
            <v>143255.89967213114</v>
          </cell>
          <cell r="I40">
            <v>0</v>
          </cell>
          <cell r="J40">
            <v>0</v>
          </cell>
          <cell r="K40">
            <v>248875.48893240513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C41" t="str">
            <v>EURL ALADVISE</v>
          </cell>
          <cell r="D41">
            <v>2452.984462415895</v>
          </cell>
          <cell r="E41">
            <v>1014.7963118487676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1438.1881505671274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C42" t="str">
            <v>CARIP</v>
          </cell>
          <cell r="D42">
            <v>128375.00298928555</v>
          </cell>
          <cell r="E42">
            <v>85466.097880538058</v>
          </cell>
          <cell r="F42">
            <v>1500000</v>
          </cell>
          <cell r="G42">
            <v>0</v>
          </cell>
          <cell r="H42">
            <v>78451.390715674497</v>
          </cell>
          <cell r="I42">
            <v>0</v>
          </cell>
          <cell r="J42">
            <v>-418416.72831339564</v>
          </cell>
          <cell r="K42">
            <v>-1797056.4324889737</v>
          </cell>
          <cell r="L42">
            <v>1500000</v>
          </cell>
          <cell r="M42">
            <v>500000</v>
          </cell>
          <cell r="N42">
            <v>0</v>
          </cell>
          <cell r="O42">
            <v>0</v>
          </cell>
          <cell r="P42">
            <v>0</v>
          </cell>
        </row>
        <row r="43">
          <cell r="C43" t="str">
            <v>EURL FLAVEUR</v>
          </cell>
          <cell r="D43">
            <v>24852</v>
          </cell>
          <cell r="E43">
            <v>20698.652054794522</v>
          </cell>
          <cell r="F43">
            <v>0</v>
          </cell>
          <cell r="G43">
            <v>0</v>
          </cell>
          <cell r="H43">
            <v>27958.5</v>
          </cell>
          <cell r="I43">
            <v>0</v>
          </cell>
          <cell r="J43">
            <v>0</v>
          </cell>
          <cell r="K43">
            <v>32111.847945205478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C44" t="str">
            <v>EURL MERAMUR</v>
          </cell>
          <cell r="D44">
            <v>64325.04</v>
          </cell>
          <cell r="E44">
            <v>58861.817424657536</v>
          </cell>
          <cell r="F44">
            <v>0</v>
          </cell>
          <cell r="G44">
            <v>0</v>
          </cell>
          <cell r="H44">
            <v>42213.514754098367</v>
          </cell>
          <cell r="I44">
            <v>0</v>
          </cell>
          <cell r="J44">
            <v>0</v>
          </cell>
          <cell r="K44">
            <v>47676.737329440832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>EURL SATEREX</v>
          </cell>
          <cell r="D45">
            <v>3438517.2294922485</v>
          </cell>
          <cell r="E45">
            <v>847853.56343644473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2590663.6660558037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 t="str">
            <v>WIS</v>
          </cell>
          <cell r="D46">
            <v>101070.71360947151</v>
          </cell>
          <cell r="E46">
            <v>16337.457816325534</v>
          </cell>
          <cell r="F46">
            <v>0</v>
          </cell>
          <cell r="G46">
            <v>0</v>
          </cell>
          <cell r="H46">
            <v>22919.672897392404</v>
          </cell>
          <cell r="I46">
            <v>0</v>
          </cell>
          <cell r="J46">
            <v>0</v>
          </cell>
          <cell r="K46">
            <v>107652.92869053838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>FIAT EL DJAZAIR</v>
          </cell>
          <cell r="D47">
            <v>198220.79999999999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198220.79999999999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C48" t="str">
            <v>FIELDCORE SOLUTIONS INTERNATIONAL ALGERIA</v>
          </cell>
          <cell r="D48">
            <v>847266.24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-238578.07999999996</v>
          </cell>
          <cell r="K48">
            <v>608688.16</v>
          </cell>
          <cell r="L48">
            <v>0</v>
          </cell>
          <cell r="M48">
            <v>0</v>
          </cell>
          <cell r="N48">
            <v>2000000</v>
          </cell>
          <cell r="O48">
            <v>2000000</v>
          </cell>
          <cell r="P48">
            <v>199999.99999999997</v>
          </cell>
        </row>
        <row r="49">
          <cell r="C49" t="str">
            <v>FMC</v>
          </cell>
          <cell r="D49">
            <v>775839.02999772667</v>
          </cell>
          <cell r="E49">
            <v>580285.08271062851</v>
          </cell>
          <cell r="F49">
            <v>0</v>
          </cell>
          <cell r="G49">
            <v>0</v>
          </cell>
          <cell r="H49">
            <v>580819.38311305223</v>
          </cell>
          <cell r="I49">
            <v>0</v>
          </cell>
          <cell r="J49">
            <v>-4732086.9486518446</v>
          </cell>
          <cell r="K49">
            <v>-3955713.6182516944</v>
          </cell>
          <cell r="L49">
            <v>0</v>
          </cell>
          <cell r="M49">
            <v>0</v>
          </cell>
          <cell r="N49">
            <v>3000000</v>
          </cell>
          <cell r="O49">
            <v>3000000</v>
          </cell>
          <cell r="P49">
            <v>0</v>
          </cell>
        </row>
        <row r="50">
          <cell r="C50" t="str">
            <v>FRANSABANK</v>
          </cell>
          <cell r="D50">
            <v>678472.28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678472.28</v>
          </cell>
          <cell r="L50">
            <v>0</v>
          </cell>
          <cell r="M50">
            <v>-1000000</v>
          </cell>
          <cell r="N50">
            <v>1000000</v>
          </cell>
          <cell r="O50">
            <v>1000000</v>
          </cell>
          <cell r="P50">
            <v>49999.999999999993</v>
          </cell>
        </row>
        <row r="51">
          <cell r="C51" t="str">
            <v>FROMAGERIE BEL ALGERIE SPA</v>
          </cell>
          <cell r="D51">
            <v>2169370.551336532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2169370.551336532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C52" t="str">
            <v xml:space="preserve">G-CCO </v>
          </cell>
          <cell r="D52">
            <v>3289718.04</v>
          </cell>
          <cell r="E52">
            <v>811163.35232876707</v>
          </cell>
          <cell r="F52">
            <v>0</v>
          </cell>
          <cell r="G52">
            <v>0</v>
          </cell>
          <cell r="H52">
            <v>756419.32983606553</v>
          </cell>
          <cell r="I52">
            <v>0</v>
          </cell>
          <cell r="J52">
            <v>0</v>
          </cell>
          <cell r="K52">
            <v>3234974.0175072984</v>
          </cell>
          <cell r="L52">
            <v>0</v>
          </cell>
          <cell r="M52">
            <v>1400000</v>
          </cell>
          <cell r="N52">
            <v>600000</v>
          </cell>
          <cell r="O52">
            <v>600000</v>
          </cell>
          <cell r="P52">
            <v>129999.99999999999</v>
          </cell>
        </row>
        <row r="53">
          <cell r="C53" t="str">
            <v>GEAT</v>
          </cell>
          <cell r="D53">
            <v>2079109.1488154449</v>
          </cell>
          <cell r="E53">
            <v>683542.73385713249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1395566.4149583124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>GEFCO</v>
          </cell>
          <cell r="D54">
            <v>15772.229063007038</v>
          </cell>
          <cell r="E54">
            <v>13136.322288093534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2635.9067749135047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GENERAL EMBALLAGE</v>
          </cell>
          <cell r="D55">
            <v>6072883.3104000008</v>
          </cell>
          <cell r="E55">
            <v>0</v>
          </cell>
          <cell r="F55">
            <v>4000000</v>
          </cell>
          <cell r="G55">
            <v>2500000</v>
          </cell>
          <cell r="H55">
            <v>0</v>
          </cell>
          <cell r="I55">
            <v>0</v>
          </cell>
          <cell r="J55">
            <v>0</v>
          </cell>
          <cell r="K55">
            <v>2072883.3104000008</v>
          </cell>
          <cell r="L55">
            <v>6500000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C56" t="str">
            <v>GREIF (03 ans)</v>
          </cell>
          <cell r="D56">
            <v>296370.95999999996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296370.95999999996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Groupe AMOUR-SARLCONSERVERIE DU MAGHREB/SARL MEDIBOX</v>
          </cell>
          <cell r="D57">
            <v>1113600</v>
          </cell>
          <cell r="E57">
            <v>94321.311475409835</v>
          </cell>
          <cell r="F57">
            <v>500000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519278.68852459011</v>
          </cell>
          <cell r="L57">
            <v>500000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GROUPE CEVITAL</v>
          </cell>
          <cell r="D58">
            <v>44910734.969999999</v>
          </cell>
          <cell r="E58">
            <v>0</v>
          </cell>
          <cell r="F58">
            <v>20850000</v>
          </cell>
          <cell r="G58">
            <v>11350000</v>
          </cell>
          <cell r="H58">
            <v>0</v>
          </cell>
          <cell r="I58">
            <v>0</v>
          </cell>
          <cell r="J58">
            <v>0</v>
          </cell>
          <cell r="K58">
            <v>24060734.969999999</v>
          </cell>
          <cell r="L58">
            <v>32200000</v>
          </cell>
          <cell r="M58">
            <v>11500000</v>
          </cell>
          <cell r="N58">
            <v>0</v>
          </cell>
          <cell r="O58">
            <v>0</v>
          </cell>
          <cell r="P58">
            <v>575000</v>
          </cell>
        </row>
        <row r="59">
          <cell r="C59" t="str">
            <v>GROUPE LAFARGE</v>
          </cell>
          <cell r="D59">
            <v>3898502.4000000004</v>
          </cell>
          <cell r="E59">
            <v>0</v>
          </cell>
          <cell r="F59">
            <v>1360000</v>
          </cell>
          <cell r="G59">
            <v>1000000</v>
          </cell>
          <cell r="H59">
            <v>0</v>
          </cell>
          <cell r="I59">
            <v>0</v>
          </cell>
          <cell r="J59">
            <v>0</v>
          </cell>
          <cell r="K59">
            <v>2538502.4000000004</v>
          </cell>
          <cell r="L59">
            <v>2360000</v>
          </cell>
          <cell r="M59">
            <v>180000</v>
          </cell>
          <cell r="N59">
            <v>2000000</v>
          </cell>
          <cell r="O59">
            <v>2000000</v>
          </cell>
          <cell r="P59">
            <v>208999.99999999997</v>
          </cell>
        </row>
        <row r="60">
          <cell r="C60" t="str">
            <v>AGB</v>
          </cell>
          <cell r="D60">
            <v>8343151.1999999993</v>
          </cell>
          <cell r="E60">
            <v>2377226.6432876708</v>
          </cell>
          <cell r="F60">
            <v>0</v>
          </cell>
          <cell r="G60">
            <v>0</v>
          </cell>
          <cell r="H60">
            <v>2367714.437704918</v>
          </cell>
          <cell r="I60">
            <v>0</v>
          </cell>
          <cell r="J60">
            <v>0</v>
          </cell>
          <cell r="K60">
            <v>8333638.9944172455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C61" t="str">
            <v>HELIOS SPA</v>
          </cell>
          <cell r="D61">
            <v>90470.37</v>
          </cell>
          <cell r="E61">
            <v>35200.904876712331</v>
          </cell>
          <cell r="F61">
            <v>0</v>
          </cell>
          <cell r="G61">
            <v>0</v>
          </cell>
          <cell r="H61">
            <v>31931.213114754104</v>
          </cell>
          <cell r="I61">
            <v>0</v>
          </cell>
          <cell r="J61">
            <v>0</v>
          </cell>
          <cell r="K61">
            <v>87200.678238041772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C62" t="str">
            <v>HESP</v>
          </cell>
          <cell r="D62">
            <v>1418524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1418524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C63" t="str">
            <v xml:space="preserve">CARREFOUR </v>
          </cell>
          <cell r="D63">
            <v>237470.68800000002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237470.68800000002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C64" t="str">
            <v>IFFCO Foodstuffs SPA</v>
          </cell>
          <cell r="D64">
            <v>134614.80528302185</v>
          </cell>
          <cell r="E64">
            <v>33192.691713621825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101422.11356940003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C65" t="str">
            <v>TECHNOVER-Ex JOTUN</v>
          </cell>
          <cell r="D65">
            <v>120628.79999999999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120628.79999999999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KCA</v>
          </cell>
          <cell r="D66">
            <v>58990.8</v>
          </cell>
          <cell r="E66">
            <v>29252.972054794522</v>
          </cell>
          <cell r="F66">
            <v>0</v>
          </cell>
          <cell r="G66">
            <v>0</v>
          </cell>
          <cell r="H66">
            <v>34342.504918032791</v>
          </cell>
          <cell r="I66">
            <v>0</v>
          </cell>
          <cell r="J66">
            <v>0</v>
          </cell>
          <cell r="K66">
            <v>64080.332863238276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C67" t="str">
            <v>l'ALGERIENNE DES ASSURANCES</v>
          </cell>
          <cell r="D67">
            <v>5379862.9110772014</v>
          </cell>
          <cell r="E67">
            <v>0</v>
          </cell>
          <cell r="F67">
            <v>22926123.770000003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-17546260.858922802</v>
          </cell>
          <cell r="L67">
            <v>22926123.770000003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C68" t="str">
            <v xml:space="preserve">Les sociétés MODIS FOOD, METRODIS FOOD, et DISRA </v>
          </cell>
          <cell r="D68">
            <v>48205.799999999996</v>
          </cell>
          <cell r="E68">
            <v>12942.927123287669</v>
          </cell>
          <cell r="F68">
            <v>0</v>
          </cell>
          <cell r="G68">
            <v>0</v>
          </cell>
          <cell r="H68">
            <v>13317.546303626201</v>
          </cell>
          <cell r="I68">
            <v>0</v>
          </cell>
          <cell r="J68">
            <v>0</v>
          </cell>
          <cell r="K68">
            <v>48580.419180338526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C69" t="str">
            <v>NATIXIS</v>
          </cell>
          <cell r="D69">
            <v>3852062.4000000004</v>
          </cell>
          <cell r="E69">
            <v>0</v>
          </cell>
          <cell r="F69">
            <v>1000000</v>
          </cell>
          <cell r="G69">
            <v>1000000</v>
          </cell>
          <cell r="H69">
            <v>0</v>
          </cell>
          <cell r="I69">
            <v>0</v>
          </cell>
          <cell r="J69">
            <v>0</v>
          </cell>
          <cell r="K69">
            <v>2852062.4000000004</v>
          </cell>
          <cell r="L69">
            <v>2000000</v>
          </cell>
          <cell r="M69">
            <v>1000000</v>
          </cell>
          <cell r="N69">
            <v>0</v>
          </cell>
          <cell r="O69">
            <v>0</v>
          </cell>
          <cell r="P69">
            <v>49999.999999999993</v>
          </cell>
        </row>
        <row r="70">
          <cell r="C70" t="str">
            <v>PASA SARL</v>
          </cell>
          <cell r="D70">
            <v>66256.289970772486</v>
          </cell>
          <cell r="E70">
            <v>27410.136398867522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38846.153571904964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C71" t="str">
            <v>PEARL MARKET</v>
          </cell>
          <cell r="D71">
            <v>77576.033168471709</v>
          </cell>
          <cell r="E71">
            <v>12539.687553259811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65036.345615211896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C72" t="str">
            <v>Peugeot Citroën Production Algérie PCPA</v>
          </cell>
          <cell r="D72">
            <v>2378649.5999999996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2378649.5999999996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C73" t="str">
            <v>Pfizer Pharm Algerie SPA</v>
          </cell>
          <cell r="D73">
            <v>7500643.0295039155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-5106765.9411144834</v>
          </cell>
          <cell r="K73">
            <v>2393877.0883894321</v>
          </cell>
          <cell r="L73">
            <v>0</v>
          </cell>
          <cell r="M73">
            <v>0</v>
          </cell>
          <cell r="N73">
            <v>12069538</v>
          </cell>
          <cell r="O73">
            <v>12069538</v>
          </cell>
          <cell r="P73">
            <v>1206953.8</v>
          </cell>
        </row>
        <row r="74">
          <cell r="C74" t="str">
            <v>PIGMA COLOR</v>
          </cell>
          <cell r="D74">
            <v>1518863.4000000001</v>
          </cell>
          <cell r="E74">
            <v>245514.90575342468</v>
          </cell>
          <cell r="F74">
            <v>1000000</v>
          </cell>
          <cell r="G74">
            <v>0</v>
          </cell>
          <cell r="H74">
            <v>171736.05836065573</v>
          </cell>
          <cell r="I74">
            <v>0</v>
          </cell>
          <cell r="J74">
            <v>0</v>
          </cell>
          <cell r="K74">
            <v>445084.55260723131</v>
          </cell>
          <cell r="L74">
            <v>1000000</v>
          </cell>
          <cell r="M74">
            <v>1000000</v>
          </cell>
          <cell r="N74">
            <v>0</v>
          </cell>
          <cell r="O74">
            <v>0</v>
          </cell>
          <cell r="P74">
            <v>49999.999999999993</v>
          </cell>
        </row>
        <row r="75">
          <cell r="C75" t="str">
            <v>PWC EURL</v>
          </cell>
          <cell r="D75">
            <v>65006.171292078667</v>
          </cell>
          <cell r="E75">
            <v>26892.96401398323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38113.207278095433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C76" t="str">
            <v>SANDOZ</v>
          </cell>
          <cell r="D76">
            <v>7676.4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7676.4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C77" t="str">
            <v>2SP</v>
          </cell>
          <cell r="D77">
            <v>97333820.099999994</v>
          </cell>
          <cell r="E77">
            <v>44569528.767123282</v>
          </cell>
          <cell r="F77">
            <v>45750000</v>
          </cell>
          <cell r="G77">
            <v>38000000</v>
          </cell>
          <cell r="H77">
            <v>42396321.54098361</v>
          </cell>
          <cell r="I77">
            <v>15000000</v>
          </cell>
          <cell r="J77">
            <v>0</v>
          </cell>
          <cell r="K77">
            <v>64410612.873860329</v>
          </cell>
          <cell r="L77">
            <v>68750000</v>
          </cell>
          <cell r="M77">
            <v>28000000</v>
          </cell>
          <cell r="N77">
            <v>27900000</v>
          </cell>
          <cell r="O77">
            <v>27900000</v>
          </cell>
          <cell r="P77">
            <v>4189999.9999999995</v>
          </cell>
        </row>
        <row r="78">
          <cell r="C78" t="str">
            <v>SARL AGRIDIAM</v>
          </cell>
          <cell r="D78">
            <v>65481.600000000006</v>
          </cell>
          <cell r="E78">
            <v>43594.599452054797</v>
          </cell>
          <cell r="F78">
            <v>0</v>
          </cell>
          <cell r="G78">
            <v>0</v>
          </cell>
          <cell r="H78">
            <v>44803.19999999999</v>
          </cell>
          <cell r="I78">
            <v>0</v>
          </cell>
          <cell r="J78">
            <v>0</v>
          </cell>
          <cell r="K78">
            <v>66690.200547945191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C79" t="str">
            <v>ALPHAS</v>
          </cell>
          <cell r="D79">
            <v>90299.040000000008</v>
          </cell>
          <cell r="E79">
            <v>60116.895123287679</v>
          </cell>
          <cell r="F79">
            <v>0</v>
          </cell>
          <cell r="G79">
            <v>0</v>
          </cell>
          <cell r="H79">
            <v>61237.280000000006</v>
          </cell>
          <cell r="I79">
            <v>0</v>
          </cell>
          <cell r="J79">
            <v>0</v>
          </cell>
          <cell r="K79">
            <v>91419.424876712321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C80" t="str">
            <v>SARL ALUCOSTAR</v>
          </cell>
          <cell r="D80">
            <v>20838.778850875788</v>
          </cell>
          <cell r="E80">
            <v>10333.750608242513</v>
          </cell>
          <cell r="F80">
            <v>0</v>
          </cell>
          <cell r="G80">
            <v>0</v>
          </cell>
          <cell r="H80">
            <v>13188.576381527946</v>
          </cell>
          <cell r="I80">
            <v>0</v>
          </cell>
          <cell r="J80">
            <v>0</v>
          </cell>
          <cell r="K80">
            <v>23693.604624161217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C81" t="str">
            <v>SARL DAR AL DAWA ALGERIE</v>
          </cell>
          <cell r="D81">
            <v>86676.479999999981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86676.479999999981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C82" t="str">
            <v>SARL DRACO</v>
          </cell>
          <cell r="D82">
            <v>213888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-1947232</v>
          </cell>
          <cell r="K82">
            <v>-1733344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C83" t="str">
            <v>SARL GMF</v>
          </cell>
          <cell r="D83">
            <v>44721</v>
          </cell>
          <cell r="E83">
            <v>3787.844262295082</v>
          </cell>
          <cell r="F83">
            <v>0</v>
          </cell>
          <cell r="G83">
            <v>0</v>
          </cell>
          <cell r="H83">
            <v>3798.2647611057241</v>
          </cell>
          <cell r="I83">
            <v>0</v>
          </cell>
          <cell r="J83">
            <v>0</v>
          </cell>
          <cell r="K83">
            <v>44731.420498810643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C84" t="str">
            <v>SARL IMPRIMERIE HARANI</v>
          </cell>
          <cell r="D84">
            <v>124034.4</v>
          </cell>
          <cell r="E84">
            <v>113499.97150684931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10534.428493150685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C85" t="str">
            <v>SOUMMAm</v>
          </cell>
          <cell r="D85">
            <v>384429.13999999996</v>
          </cell>
          <cell r="E85">
            <v>0</v>
          </cell>
          <cell r="F85">
            <v>1000000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-615570.8600000001</v>
          </cell>
          <cell r="L85">
            <v>1000000</v>
          </cell>
          <cell r="M85">
            <v>0</v>
          </cell>
          <cell r="N85">
            <v>2000000</v>
          </cell>
          <cell r="O85">
            <v>2000000</v>
          </cell>
          <cell r="P85">
            <v>0</v>
          </cell>
        </row>
        <row r="86">
          <cell r="C86" t="str">
            <v>SARL MAHER ASSURANCE</v>
          </cell>
          <cell r="D86">
            <v>67129.436865379685</v>
          </cell>
          <cell r="E86">
            <v>44691.652488458261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22437.784376921423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SARL MEDIPHARMA INTERNATIONAL</v>
          </cell>
          <cell r="D87">
            <v>84870.720000000001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84870.720000000001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MOULIN HABOUR</v>
          </cell>
          <cell r="D88">
            <v>253536</v>
          </cell>
          <cell r="E88">
            <v>168792.46027397263</v>
          </cell>
          <cell r="F88">
            <v>0</v>
          </cell>
          <cell r="G88">
            <v>0</v>
          </cell>
          <cell r="H88">
            <v>166800</v>
          </cell>
          <cell r="I88">
            <v>0</v>
          </cell>
          <cell r="J88">
            <v>-502606.96986301371</v>
          </cell>
          <cell r="K88">
            <v>-251063.43013698634</v>
          </cell>
          <cell r="L88">
            <v>0</v>
          </cell>
          <cell r="M88">
            <v>500000</v>
          </cell>
          <cell r="N88">
            <v>500000</v>
          </cell>
          <cell r="O88">
            <v>500000</v>
          </cell>
          <cell r="P88">
            <v>0</v>
          </cell>
        </row>
        <row r="89">
          <cell r="C89" t="str">
            <v>SARL MSCA</v>
          </cell>
          <cell r="D89">
            <v>1272495.2505516582</v>
          </cell>
          <cell r="E89">
            <v>847168.07091521355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425327.17963644466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C90" t="str">
            <v>SARL SADID</v>
          </cell>
          <cell r="D90">
            <v>277097.70115877216</v>
          </cell>
          <cell r="E90">
            <v>160944.41820728683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116153.28295148534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C91" t="str">
            <v xml:space="preserve">TANGO </v>
          </cell>
          <cell r="D91">
            <v>596386.07999999996</v>
          </cell>
          <cell r="E91">
            <v>197706.07035616439</v>
          </cell>
          <cell r="F91">
            <v>0</v>
          </cell>
          <cell r="G91">
            <v>0</v>
          </cell>
          <cell r="H91">
            <v>200435.36</v>
          </cell>
          <cell r="I91">
            <v>0</v>
          </cell>
          <cell r="J91">
            <v>-66960.393208808149</v>
          </cell>
          <cell r="K91">
            <v>532154.97643502743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C92" t="str">
            <v>SARL TRAIMETAL</v>
          </cell>
          <cell r="D92">
            <v>129665.98829685034</v>
          </cell>
          <cell r="E92">
            <v>31972.435470456247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97693.552826394094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C93" t="str">
            <v xml:space="preserve">SARL WAFA </v>
          </cell>
          <cell r="D93">
            <v>479527.67999999999</v>
          </cell>
          <cell r="E93">
            <v>424349.15243835619</v>
          </cell>
          <cell r="F93">
            <v>800000</v>
          </cell>
          <cell r="G93">
            <v>0</v>
          </cell>
          <cell r="H93">
            <v>256990.4872131148</v>
          </cell>
          <cell r="I93">
            <v>0</v>
          </cell>
          <cell r="J93">
            <v>0</v>
          </cell>
          <cell r="K93">
            <v>-487830.9852252414</v>
          </cell>
          <cell r="L93">
            <v>800000</v>
          </cell>
          <cell r="M93">
            <v>0</v>
          </cell>
          <cell r="N93">
            <v>400000</v>
          </cell>
          <cell r="O93">
            <v>400000</v>
          </cell>
          <cell r="P93">
            <v>0</v>
          </cell>
        </row>
        <row r="94">
          <cell r="C94" t="str">
            <v>SARPI</v>
          </cell>
          <cell r="D94">
            <v>79179198.332516477</v>
          </cell>
          <cell r="E94">
            <v>39264205.20050817</v>
          </cell>
          <cell r="F94">
            <v>29200000</v>
          </cell>
          <cell r="G94">
            <v>14400000</v>
          </cell>
          <cell r="H94">
            <v>29366935.639274497</v>
          </cell>
          <cell r="I94">
            <v>0</v>
          </cell>
          <cell r="J94">
            <v>0</v>
          </cell>
          <cell r="K94">
            <v>40081928.771282792</v>
          </cell>
          <cell r="L94">
            <v>43600000</v>
          </cell>
          <cell r="M94">
            <v>35200000</v>
          </cell>
          <cell r="N94">
            <v>5600000</v>
          </cell>
          <cell r="O94">
            <v>5600000</v>
          </cell>
          <cell r="P94">
            <v>2320000</v>
          </cell>
        </row>
        <row r="95">
          <cell r="C95" t="str">
            <v xml:space="preserve">SETRAM </v>
          </cell>
          <cell r="D95">
            <v>15101250.206752606</v>
          </cell>
          <cell r="E95">
            <v>0</v>
          </cell>
          <cell r="F95">
            <v>10850000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4251250.2067526057</v>
          </cell>
          <cell r="L95">
            <v>10850000</v>
          </cell>
          <cell r="M95">
            <v>1500000</v>
          </cell>
          <cell r="N95">
            <v>0</v>
          </cell>
          <cell r="O95">
            <v>0</v>
          </cell>
          <cell r="P95">
            <v>75000</v>
          </cell>
        </row>
        <row r="96">
          <cell r="C96" t="str">
            <v>SGT ALGERIE</v>
          </cell>
          <cell r="D96">
            <v>316344.76802939817</v>
          </cell>
          <cell r="E96">
            <v>156872.33702279747</v>
          </cell>
          <cell r="F96">
            <v>0</v>
          </cell>
          <cell r="G96">
            <v>0</v>
          </cell>
          <cell r="H96">
            <v>147903.7682076151</v>
          </cell>
          <cell r="I96">
            <v>0</v>
          </cell>
          <cell r="J96">
            <v>0</v>
          </cell>
          <cell r="K96">
            <v>307376.19921421586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C97" t="str">
            <v>SHOSA Ex VARIAN</v>
          </cell>
          <cell r="D97">
            <v>367132.68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-3797399.3557470515</v>
          </cell>
          <cell r="K97">
            <v>-3430266.6757470514</v>
          </cell>
          <cell r="L97">
            <v>0</v>
          </cell>
          <cell r="M97">
            <v>0</v>
          </cell>
          <cell r="N97">
            <v>3000000</v>
          </cell>
          <cell r="O97">
            <v>3000000</v>
          </cell>
          <cell r="P97">
            <v>0</v>
          </cell>
        </row>
        <row r="98">
          <cell r="C98" t="str">
            <v>SIDAL</v>
          </cell>
          <cell r="D98">
            <v>55358.64</v>
          </cell>
          <cell r="E98">
            <v>4688.8465573770491</v>
          </cell>
          <cell r="F98">
            <v>0</v>
          </cell>
          <cell r="G98">
            <v>0</v>
          </cell>
          <cell r="H98">
            <v>4614.6243287671232</v>
          </cell>
          <cell r="I98">
            <v>0</v>
          </cell>
          <cell r="J98">
            <v>0</v>
          </cell>
          <cell r="K98">
            <v>55284.417771390072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C99" t="str">
            <v>SIEMENS SPA</v>
          </cell>
          <cell r="D99">
            <v>2338005.6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-461586.36595650576</v>
          </cell>
          <cell r="K99">
            <v>1876419.2340434943</v>
          </cell>
          <cell r="L99">
            <v>0</v>
          </cell>
          <cell r="M99">
            <v>3000000</v>
          </cell>
          <cell r="N99">
            <v>0</v>
          </cell>
          <cell r="O99">
            <v>0</v>
          </cell>
          <cell r="P99">
            <v>150000</v>
          </cell>
        </row>
        <row r="100">
          <cell r="C100" t="str">
            <v>SOCAD</v>
          </cell>
          <cell r="D100">
            <v>458863.19163543964</v>
          </cell>
          <cell r="E100">
            <v>266517.79897729645</v>
          </cell>
          <cell r="F100">
            <v>0</v>
          </cell>
          <cell r="G100">
            <v>0</v>
          </cell>
          <cell r="H100">
            <v>270511.42806866777</v>
          </cell>
          <cell r="I100">
            <v>0</v>
          </cell>
          <cell r="J100">
            <v>0</v>
          </cell>
          <cell r="K100">
            <v>462856.82072681095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C101" t="str">
            <v>SOMEDIAL</v>
          </cell>
          <cell r="D101">
            <v>171931.32</v>
          </cell>
          <cell r="E101">
            <v>28029.106849315067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143902.21315068495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C102" t="str">
            <v xml:space="preserve">SOMIK </v>
          </cell>
          <cell r="D102">
            <v>27826488.640000001</v>
          </cell>
          <cell r="E102">
            <v>16160600.273972601</v>
          </cell>
          <cell r="F102">
            <v>9200000</v>
          </cell>
          <cell r="G102">
            <v>5600000</v>
          </cell>
          <cell r="H102">
            <v>15172845.491803277</v>
          </cell>
          <cell r="I102">
            <v>3200000</v>
          </cell>
          <cell r="J102">
            <v>0</v>
          </cell>
          <cell r="K102">
            <v>20838733.857830673</v>
          </cell>
          <cell r="L102">
            <v>11600000</v>
          </cell>
          <cell r="M102">
            <v>3800000</v>
          </cell>
          <cell r="N102">
            <v>19000000</v>
          </cell>
          <cell r="O102">
            <v>19000000</v>
          </cell>
          <cell r="P102">
            <v>2090000</v>
          </cell>
        </row>
        <row r="103">
          <cell r="C103" t="str">
            <v xml:space="preserve">SONATRACH </v>
          </cell>
          <cell r="D103">
            <v>668165144.02999997</v>
          </cell>
          <cell r="E103">
            <v>0</v>
          </cell>
          <cell r="F103">
            <v>373200000</v>
          </cell>
          <cell r="G103">
            <v>225600000</v>
          </cell>
          <cell r="H103">
            <v>0</v>
          </cell>
          <cell r="I103">
            <v>0</v>
          </cell>
          <cell r="J103">
            <v>0</v>
          </cell>
          <cell r="K103">
            <v>294965144.02999997</v>
          </cell>
          <cell r="L103">
            <v>598800000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C104" t="str">
            <v>SOTRAZ</v>
          </cell>
          <cell r="D104">
            <v>447021.1</v>
          </cell>
          <cell r="E104">
            <v>0</v>
          </cell>
          <cell r="F104">
            <v>2000000</v>
          </cell>
          <cell r="G104">
            <v>300000</v>
          </cell>
          <cell r="H104">
            <v>0</v>
          </cell>
          <cell r="I104">
            <v>1000000</v>
          </cell>
          <cell r="J104">
            <v>-115633.1469728502</v>
          </cell>
          <cell r="K104">
            <v>-668612.0469728501</v>
          </cell>
          <cell r="L104">
            <v>1300000</v>
          </cell>
          <cell r="M104">
            <v>2000000</v>
          </cell>
          <cell r="N104">
            <v>0</v>
          </cell>
          <cell r="O104">
            <v>0</v>
          </cell>
          <cell r="P104">
            <v>0</v>
          </cell>
        </row>
        <row r="105">
          <cell r="C105" t="str">
            <v>SPA GRD LABELLE</v>
          </cell>
          <cell r="D105">
            <v>1505029.6799999997</v>
          </cell>
          <cell r="E105">
            <v>494804.27835616429</v>
          </cell>
          <cell r="F105">
            <v>250000</v>
          </cell>
          <cell r="G105">
            <v>0</v>
          </cell>
          <cell r="H105">
            <v>429718.56968304497</v>
          </cell>
          <cell r="I105">
            <v>0</v>
          </cell>
          <cell r="J105">
            <v>0</v>
          </cell>
          <cell r="K105">
            <v>1189943.9713268804</v>
          </cell>
          <cell r="L105">
            <v>250000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C106" t="str">
            <v>SNAX</v>
          </cell>
          <cell r="D106">
            <v>530062.07999999996</v>
          </cell>
          <cell r="E106">
            <v>128795.41479452055</v>
          </cell>
          <cell r="F106">
            <v>0</v>
          </cell>
          <cell r="G106">
            <v>0</v>
          </cell>
          <cell r="H106">
            <v>107708.43540983606</v>
          </cell>
          <cell r="I106">
            <v>0</v>
          </cell>
          <cell r="J106">
            <v>0</v>
          </cell>
          <cell r="K106">
            <v>508975.10061531555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C107" t="str">
            <v>SPA TCHIN LAIT</v>
          </cell>
          <cell r="D107">
            <v>15464478.535281055</v>
          </cell>
          <cell r="E107">
            <v>7668686.616125674</v>
          </cell>
          <cell r="F107">
            <v>0</v>
          </cell>
          <cell r="G107">
            <v>3000000</v>
          </cell>
          <cell r="H107">
            <v>0</v>
          </cell>
          <cell r="I107">
            <v>0</v>
          </cell>
          <cell r="J107">
            <v>0</v>
          </cell>
          <cell r="K107">
            <v>7795791.9191553807</v>
          </cell>
          <cell r="L107">
            <v>3000000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C108" t="str">
            <v>STELLANTIS EL DJAZAIR SPA</v>
          </cell>
          <cell r="D108">
            <v>416263.67999999999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416263.67999999999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C109" t="str">
            <v xml:space="preserve">STH </v>
          </cell>
          <cell r="D109">
            <v>7607238.3999999994</v>
          </cell>
          <cell r="E109">
            <v>0</v>
          </cell>
          <cell r="F109">
            <v>0</v>
          </cell>
          <cell r="G109">
            <v>6000000</v>
          </cell>
          <cell r="H109">
            <v>0</v>
          </cell>
          <cell r="I109">
            <v>0</v>
          </cell>
          <cell r="J109">
            <v>0</v>
          </cell>
          <cell r="K109">
            <v>7607238.3999999994</v>
          </cell>
          <cell r="L109">
            <v>6000000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C110" t="str">
            <v>TECHNOVER-Ex JOTUN</v>
          </cell>
          <cell r="D110">
            <v>398075.04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398075.04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C111" t="str">
            <v xml:space="preserve">TETRA PACK </v>
          </cell>
          <cell r="D111">
            <v>306384</v>
          </cell>
          <cell r="E111">
            <v>0</v>
          </cell>
          <cell r="F111">
            <v>0</v>
          </cell>
          <cell r="G111">
            <v>0</v>
          </cell>
          <cell r="H111">
            <v>134775.47540983607</v>
          </cell>
          <cell r="I111">
            <v>0</v>
          </cell>
          <cell r="J111">
            <v>0</v>
          </cell>
          <cell r="K111">
            <v>441159.47540983604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C112" t="str">
            <v>TIMAC AGRO</v>
          </cell>
          <cell r="D112">
            <v>604755.36</v>
          </cell>
          <cell r="E112">
            <v>172313.856</v>
          </cell>
          <cell r="F112">
            <v>0</v>
          </cell>
          <cell r="G112">
            <v>0</v>
          </cell>
          <cell r="H112">
            <v>185378.63606557375</v>
          </cell>
          <cell r="I112">
            <v>0</v>
          </cell>
          <cell r="J112">
            <v>0</v>
          </cell>
          <cell r="K112">
            <v>617820.14006557374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C113" t="str">
            <v>TMF SPA</v>
          </cell>
          <cell r="D113">
            <v>1656389.5000000002</v>
          </cell>
          <cell r="E113">
            <v>0</v>
          </cell>
          <cell r="F113">
            <v>3000000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-1343610.4999999998</v>
          </cell>
          <cell r="L113">
            <v>3000000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C114" t="str">
            <v>USA</v>
          </cell>
          <cell r="D114">
            <v>2138745.5999999996</v>
          </cell>
          <cell r="E114">
            <v>1488332.5545205479</v>
          </cell>
          <cell r="F114">
            <v>0</v>
          </cell>
          <cell r="G114">
            <v>0</v>
          </cell>
          <cell r="H114">
            <v>1490109.639344262</v>
          </cell>
          <cell r="I114">
            <v>0</v>
          </cell>
          <cell r="J114">
            <v>0</v>
          </cell>
          <cell r="K114">
            <v>2140522.6848237137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C115" t="str">
            <v>VECO SANTE ANIMALE</v>
          </cell>
          <cell r="D115">
            <v>22463.132324975981</v>
          </cell>
          <cell r="E115">
            <v>9292.9670714284202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13170.16525354756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6">
          <cell r="C116" t="str">
            <v>VECOPHARM</v>
          </cell>
          <cell r="D116">
            <v>831135.89602411119</v>
          </cell>
          <cell r="E116">
            <v>343839.78164285148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487296.11438125971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C117" t="str">
            <v>YOKOGAWA</v>
          </cell>
          <cell r="D117">
            <v>18401.759999999998</v>
          </cell>
          <cell r="E117">
            <v>4537.4202739726024</v>
          </cell>
          <cell r="F117">
            <v>0</v>
          </cell>
          <cell r="G117">
            <v>0</v>
          </cell>
          <cell r="H117">
            <v>4575.3009836065567</v>
          </cell>
          <cell r="I117">
            <v>0</v>
          </cell>
          <cell r="J117">
            <v>0</v>
          </cell>
          <cell r="K117">
            <v>18439.640709633954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</sheetData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arameters"/>
      <sheetName val="Loadings - not available"/>
      <sheetName val="Technical Bases"/>
      <sheetName val="Results"/>
      <sheetName val="Underlying Product Result"/>
      <sheetName val="DC Results"/>
      <sheetName val="TD results 1"/>
      <sheetName val="TD Results"/>
      <sheetName val="IU results 1"/>
      <sheetName val="UI Results"/>
    </sheetNames>
    <sheetDataSet>
      <sheetData sheetId="0">
        <row r="26">
          <cell r="H26" t="str">
            <v>Yes</v>
          </cell>
        </row>
      </sheetData>
      <sheetData sheetId="1">
        <row r="20">
          <cell r="D20" t="str">
            <v>Yes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 FINAL"/>
      <sheetName val="Feuil1"/>
      <sheetName val="SAP PAR REASSUREUR"/>
      <sheetName val="au 31 12 2014"/>
      <sheetName val="verif"/>
      <sheetName val="Liste des reglements "/>
      <sheetName val="SAP par réass"/>
      <sheetName val="Feuil2"/>
      <sheetName val="SAP_FINAL"/>
      <sheetName val="SAP_PAR_REASSUREUR"/>
      <sheetName val="au_31_12_2014"/>
      <sheetName val="Liste_des_reglements_"/>
      <sheetName val="SAP_par_réass"/>
      <sheetName val="SAP_FINAL1"/>
      <sheetName val="SAP_PAR_REASSUREUR1"/>
      <sheetName val="au_31_12_20141"/>
      <sheetName val="Liste_des_reglements_1"/>
      <sheetName val="SAP_par_réass1"/>
      <sheetName val="SAP_FINAL2"/>
      <sheetName val="SAP_PAR_REASSUREUR2"/>
      <sheetName val="au_31_12_20142"/>
      <sheetName val="Liste_des_reglements_2"/>
      <sheetName val="SAP_par_réass2"/>
      <sheetName val="SAP_FINAL4"/>
      <sheetName val="SAP_PAR_REASSUREUR4"/>
      <sheetName val="au_31_12_20144"/>
      <sheetName val="Liste_des_reglements_4"/>
      <sheetName val="SAP_par_réass4"/>
      <sheetName val="SAP_FINAL3"/>
      <sheetName val="SAP_PAR_REASSUREUR3"/>
      <sheetName val="au_31_12_20143"/>
      <sheetName val="Liste_des_reglements_3"/>
      <sheetName val="SAP_par_réass3"/>
    </sheetNames>
    <sheetDataSet>
      <sheetData sheetId="0"/>
      <sheetData sheetId="1"/>
      <sheetData sheetId="2"/>
      <sheetData sheetId="3"/>
      <sheetData sheetId="4">
        <row r="1">
          <cell r="B1" t="str">
            <v>POLICE_AVENAT</v>
          </cell>
          <cell r="C1" t="str">
            <v>NUM_SINITRE</v>
          </cell>
          <cell r="D1" t="str">
            <v>Rétention CASH %</v>
          </cell>
          <cell r="E1" t="str">
            <v>COR Traité 2010 et antérieur %</v>
          </cell>
          <cell r="F1" t="str">
            <v>Traité %</v>
          </cell>
          <cell r="G1" t="str">
            <v>Fac %</v>
          </cell>
        </row>
        <row r="2">
          <cell r="B2" t="str">
            <v>201 2013 10 1211 00006</v>
          </cell>
          <cell r="C2">
            <v>2012013121100000</v>
          </cell>
          <cell r="D2">
            <v>5.8823529411764705E-2</v>
          </cell>
          <cell r="F2">
            <v>0.94117647058823528</v>
          </cell>
          <cell r="G2">
            <v>0</v>
          </cell>
          <cell r="H2">
            <v>1</v>
          </cell>
        </row>
        <row r="3">
          <cell r="B3" t="str">
            <v>201 2013 10 1211 00006</v>
          </cell>
          <cell r="C3">
            <v>2012013121100060</v>
          </cell>
          <cell r="D3">
            <v>5.8823529411764705E-2</v>
          </cell>
          <cell r="F3">
            <v>0.94117647058823528</v>
          </cell>
          <cell r="G3">
            <v>0</v>
          </cell>
          <cell r="H3">
            <v>1</v>
          </cell>
        </row>
        <row r="4">
          <cell r="B4" t="str">
            <v>201 2014 10 1212 00006</v>
          </cell>
          <cell r="C4">
            <v>2012014121200000</v>
          </cell>
          <cell r="D4">
            <v>6.6666666666666666E-2</v>
          </cell>
          <cell r="F4">
            <v>0.93333333333333335</v>
          </cell>
          <cell r="G4">
            <v>0</v>
          </cell>
          <cell r="H4">
            <v>1</v>
          </cell>
        </row>
        <row r="5">
          <cell r="B5" t="str">
            <v>201 2014 10 1211 00006</v>
          </cell>
          <cell r="C5">
            <v>2012014121100100</v>
          </cell>
          <cell r="D5">
            <v>5.4945054945054937E-2</v>
          </cell>
          <cell r="F5">
            <v>0.94505494505494503</v>
          </cell>
          <cell r="G5">
            <v>0</v>
          </cell>
          <cell r="H5">
            <v>1</v>
          </cell>
        </row>
        <row r="6">
          <cell r="B6" t="str">
            <v>201 2013 10 1211 00006</v>
          </cell>
          <cell r="C6">
            <v>2012013121100190</v>
          </cell>
          <cell r="D6">
            <v>5.8823529411764705E-2</v>
          </cell>
          <cell r="F6">
            <v>0.94117647058823528</v>
          </cell>
          <cell r="G6">
            <v>0</v>
          </cell>
          <cell r="H6">
            <v>1</v>
          </cell>
        </row>
        <row r="7">
          <cell r="B7" t="str">
            <v>201 2014 10 1211 00006</v>
          </cell>
          <cell r="C7">
            <v>2012014121100050</v>
          </cell>
          <cell r="D7">
            <v>5.4945054945054937E-2</v>
          </cell>
          <cell r="F7">
            <v>0.94505494505494503</v>
          </cell>
          <cell r="G7">
            <v>0</v>
          </cell>
          <cell r="H7">
            <v>1</v>
          </cell>
        </row>
        <row r="8">
          <cell r="B8" t="str">
            <v>202 2012 60 1211 00001</v>
          </cell>
          <cell r="C8">
            <v>2022012121100000</v>
          </cell>
          <cell r="D8">
            <v>1</v>
          </cell>
          <cell r="F8">
            <v>0</v>
          </cell>
          <cell r="G8">
            <v>0</v>
          </cell>
          <cell r="H8">
            <v>1</v>
          </cell>
        </row>
        <row r="9">
          <cell r="B9" t="str">
            <v>201 2014 10 1211 00006</v>
          </cell>
          <cell r="C9">
            <v>2012014121100140</v>
          </cell>
          <cell r="D9">
            <v>5.4945054945054937E-2</v>
          </cell>
          <cell r="F9">
            <v>0.94505494505494503</v>
          </cell>
          <cell r="G9">
            <v>0</v>
          </cell>
          <cell r="H9">
            <v>1</v>
          </cell>
        </row>
        <row r="10">
          <cell r="B10" t="str">
            <v>201 2012 10 1212 00005</v>
          </cell>
          <cell r="C10">
            <v>2012012121200010</v>
          </cell>
          <cell r="D10">
            <v>7.3642749602937707E-2</v>
          </cell>
          <cell r="F10">
            <v>0.92635725039706229</v>
          </cell>
          <cell r="G10">
            <v>0</v>
          </cell>
          <cell r="H10">
            <v>1</v>
          </cell>
        </row>
        <row r="11">
          <cell r="B11" t="str">
            <v>201 2014 10 1211 00006</v>
          </cell>
          <cell r="C11">
            <v>2012014121100050</v>
          </cell>
          <cell r="D11">
            <v>5.4945054945054937E-2</v>
          </cell>
          <cell r="F11">
            <v>0.94505494505494503</v>
          </cell>
          <cell r="G11">
            <v>0</v>
          </cell>
          <cell r="H11">
            <v>1</v>
          </cell>
        </row>
        <row r="12">
          <cell r="B12" t="str">
            <v>201 2013 10 1211 00006</v>
          </cell>
          <cell r="C12">
            <v>2012013121100190</v>
          </cell>
          <cell r="D12">
            <v>5.8823529411764705E-2</v>
          </cell>
          <cell r="F12">
            <v>0.94117647058823528</v>
          </cell>
          <cell r="G12">
            <v>0</v>
          </cell>
          <cell r="H12">
            <v>1</v>
          </cell>
        </row>
        <row r="13">
          <cell r="B13" t="str">
            <v>201 2014 10 1212 00004</v>
          </cell>
          <cell r="C13">
            <v>2012014121200010</v>
          </cell>
          <cell r="D13">
            <v>0.11839683618058792</v>
          </cell>
          <cell r="F13">
            <v>0.88160316381941206</v>
          </cell>
          <cell r="G13">
            <v>0</v>
          </cell>
          <cell r="H13">
            <v>1</v>
          </cell>
        </row>
        <row r="14">
          <cell r="B14" t="str">
            <v>201 2013 10 1211 00006</v>
          </cell>
          <cell r="C14">
            <v>2012013121100140</v>
          </cell>
          <cell r="D14">
            <v>5.8823529411764705E-2</v>
          </cell>
          <cell r="F14">
            <v>0.94117647058823528</v>
          </cell>
          <cell r="G14">
            <v>0</v>
          </cell>
          <cell r="H14">
            <v>1</v>
          </cell>
        </row>
        <row r="15">
          <cell r="B15" t="str">
            <v>201 2013 10 1211 00006</v>
          </cell>
          <cell r="C15">
            <v>2012013121100190</v>
          </cell>
          <cell r="D15">
            <v>5.8823529411764705E-2</v>
          </cell>
          <cell r="F15">
            <v>0.94117647058823528</v>
          </cell>
          <cell r="G15">
            <v>0</v>
          </cell>
          <cell r="H15">
            <v>1</v>
          </cell>
        </row>
        <row r="16">
          <cell r="B16" t="str">
            <v>201 2014 10 1211 00006</v>
          </cell>
          <cell r="C16">
            <v>2012014121100020</v>
          </cell>
          <cell r="D16">
            <v>5.4945054945054937E-2</v>
          </cell>
          <cell r="F16">
            <v>0.94505494505494503</v>
          </cell>
          <cell r="G16">
            <v>0</v>
          </cell>
          <cell r="H16">
            <v>1</v>
          </cell>
        </row>
        <row r="17">
          <cell r="B17" t="str">
            <v>201 2013 10 1211 00006</v>
          </cell>
          <cell r="C17">
            <v>2012013121100200</v>
          </cell>
          <cell r="D17">
            <v>5.8823529411764705E-2</v>
          </cell>
          <cell r="F17">
            <v>0.94117647058823528</v>
          </cell>
          <cell r="G17">
            <v>0</v>
          </cell>
          <cell r="H17">
            <v>1</v>
          </cell>
        </row>
        <row r="18">
          <cell r="B18" t="str">
            <v>201 2013 10 1211 00006</v>
          </cell>
          <cell r="C18">
            <v>2012013121100140</v>
          </cell>
          <cell r="D18">
            <v>5.8823529411764705E-2</v>
          </cell>
          <cell r="F18">
            <v>0.94117647058823528</v>
          </cell>
          <cell r="G18">
            <v>0</v>
          </cell>
          <cell r="H18">
            <v>1</v>
          </cell>
        </row>
        <row r="19">
          <cell r="B19" t="str">
            <v>201 2014 10 1211 00006</v>
          </cell>
          <cell r="C19">
            <v>2012014121100010</v>
          </cell>
          <cell r="D19">
            <v>5.4945054945054937E-2</v>
          </cell>
          <cell r="F19">
            <v>0.94505494505494503</v>
          </cell>
          <cell r="G19">
            <v>0</v>
          </cell>
          <cell r="H19">
            <v>1</v>
          </cell>
        </row>
        <row r="20">
          <cell r="B20" t="str">
            <v>201 2013 10 1211 00006</v>
          </cell>
          <cell r="C20">
            <v>2012013121100190</v>
          </cell>
          <cell r="D20">
            <v>5.8823529411764705E-2</v>
          </cell>
          <cell r="F20">
            <v>0.94117647058823528</v>
          </cell>
          <cell r="G20">
            <v>0</v>
          </cell>
          <cell r="H20">
            <v>1</v>
          </cell>
        </row>
        <row r="21">
          <cell r="B21" t="str">
            <v>201 2013 10 1211 00006</v>
          </cell>
          <cell r="C21">
            <v>2012013121100050</v>
          </cell>
          <cell r="D21">
            <v>5.8823529411764705E-2</v>
          </cell>
          <cell r="F21">
            <v>0.94117647058823528</v>
          </cell>
          <cell r="G21">
            <v>0</v>
          </cell>
          <cell r="H21">
            <v>1</v>
          </cell>
        </row>
        <row r="22">
          <cell r="B22" t="str">
            <v>201 2014 10 1211 00006</v>
          </cell>
          <cell r="C22">
            <v>2012014121100110</v>
          </cell>
          <cell r="D22">
            <v>5.4945054945054937E-2</v>
          </cell>
          <cell r="F22">
            <v>0.94505494505494503</v>
          </cell>
          <cell r="G22">
            <v>0</v>
          </cell>
          <cell r="H22">
            <v>1</v>
          </cell>
        </row>
        <row r="23">
          <cell r="B23" t="str">
            <v>202 2012 10 1222 00004</v>
          </cell>
          <cell r="C23">
            <v>2022012122200000</v>
          </cell>
          <cell r="D23">
            <v>1</v>
          </cell>
          <cell r="F23">
            <v>0</v>
          </cell>
          <cell r="G23">
            <v>0</v>
          </cell>
          <cell r="H23">
            <v>1</v>
          </cell>
        </row>
        <row r="24">
          <cell r="B24" t="str">
            <v>201 2013 10 1222 00068</v>
          </cell>
          <cell r="C24">
            <v>2012013122200000</v>
          </cell>
          <cell r="D24">
            <v>1</v>
          </cell>
          <cell r="F24">
            <v>0</v>
          </cell>
          <cell r="G24">
            <v>0</v>
          </cell>
          <cell r="H24">
            <v>1</v>
          </cell>
        </row>
        <row r="25">
          <cell r="B25" t="str">
            <v>201 2014 10 1211 00006</v>
          </cell>
          <cell r="C25">
            <v>2012014121100030</v>
          </cell>
          <cell r="D25">
            <v>5.4945054945054937E-2</v>
          </cell>
          <cell r="F25">
            <v>0.94505494505494503</v>
          </cell>
          <cell r="G25">
            <v>0</v>
          </cell>
          <cell r="H25">
            <v>1</v>
          </cell>
        </row>
        <row r="26">
          <cell r="B26" t="str">
            <v>201 2014 10 1212 00006</v>
          </cell>
          <cell r="C26">
            <v>2012014121200010</v>
          </cell>
          <cell r="D26">
            <v>6.6666666666666666E-2</v>
          </cell>
          <cell r="F26">
            <v>0.93333333333333335</v>
          </cell>
          <cell r="G26">
            <v>0</v>
          </cell>
          <cell r="H26">
            <v>1</v>
          </cell>
        </row>
        <row r="27">
          <cell r="B27" t="str">
            <v>201 2014 10 1211 00006</v>
          </cell>
          <cell r="C27">
            <v>2012014121100050</v>
          </cell>
          <cell r="D27">
            <v>5.4945054945054937E-2</v>
          </cell>
          <cell r="F27">
            <v>0.94505494505494503</v>
          </cell>
          <cell r="G27">
            <v>0</v>
          </cell>
          <cell r="H27">
            <v>1</v>
          </cell>
        </row>
        <row r="28">
          <cell r="B28" t="str">
            <v>201 2013 10 1212 00004</v>
          </cell>
          <cell r="C28">
            <v>2012013121200000</v>
          </cell>
          <cell r="D28">
            <v>7.2463768115942032E-2</v>
          </cell>
          <cell r="F28">
            <v>0.92753623188405798</v>
          </cell>
          <cell r="G28">
            <v>0</v>
          </cell>
          <cell r="H28">
            <v>1</v>
          </cell>
        </row>
        <row r="29">
          <cell r="B29" t="str">
            <v>201 2013 10 1211 00006</v>
          </cell>
          <cell r="C29">
            <v>2012013121100010</v>
          </cell>
          <cell r="D29">
            <v>5.8823529411764705E-2</v>
          </cell>
          <cell r="F29">
            <v>0.94117647058823528</v>
          </cell>
          <cell r="G29">
            <v>0</v>
          </cell>
          <cell r="H29">
            <v>1</v>
          </cell>
        </row>
        <row r="30">
          <cell r="B30" t="str">
            <v>201 2013 10 1212 00004</v>
          </cell>
          <cell r="C30">
            <v>2012013121200030</v>
          </cell>
          <cell r="D30">
            <v>7.2463768115942032E-2</v>
          </cell>
          <cell r="F30">
            <v>0.92753623188405798</v>
          </cell>
          <cell r="G30">
            <v>0</v>
          </cell>
          <cell r="H30">
            <v>1</v>
          </cell>
        </row>
        <row r="31">
          <cell r="B31" t="str">
            <v>201 2013 10 1211 00006</v>
          </cell>
          <cell r="C31">
            <v>2012013121100200</v>
          </cell>
          <cell r="D31">
            <v>5.8823529411764705E-2</v>
          </cell>
          <cell r="F31">
            <v>0.94117647058823528</v>
          </cell>
          <cell r="G31">
            <v>0</v>
          </cell>
          <cell r="H31">
            <v>1</v>
          </cell>
        </row>
        <row r="32">
          <cell r="B32" t="str">
            <v>201 2014 10 1211 00006</v>
          </cell>
          <cell r="C32">
            <v>2012014121100090</v>
          </cell>
          <cell r="D32">
            <v>5.4945054945054937E-2</v>
          </cell>
          <cell r="F32">
            <v>0.94505494505494503</v>
          </cell>
          <cell r="G32">
            <v>0</v>
          </cell>
          <cell r="H32">
            <v>1</v>
          </cell>
        </row>
        <row r="33">
          <cell r="B33" t="str">
            <v>201 2013 10 1211 00006</v>
          </cell>
          <cell r="C33">
            <v>2012013121100100</v>
          </cell>
          <cell r="D33">
            <v>5.8823529411764705E-2</v>
          </cell>
          <cell r="F33">
            <v>0.94117647058823528</v>
          </cell>
          <cell r="G33">
            <v>0</v>
          </cell>
          <cell r="H33">
            <v>1</v>
          </cell>
        </row>
        <row r="34">
          <cell r="B34" t="str">
            <v>201 2013 10 1211 00006</v>
          </cell>
          <cell r="C34">
            <v>2012013121100050</v>
          </cell>
          <cell r="D34">
            <v>5.8823529411764705E-2</v>
          </cell>
          <cell r="F34">
            <v>0.94117647058823528</v>
          </cell>
          <cell r="G34">
            <v>0</v>
          </cell>
          <cell r="H34">
            <v>1</v>
          </cell>
        </row>
        <row r="35">
          <cell r="B35" t="str">
            <v>201 2014 10 1211 00006</v>
          </cell>
          <cell r="C35">
            <v>2012014121100100</v>
          </cell>
          <cell r="D35">
            <v>5.4945054945054937E-2</v>
          </cell>
          <cell r="F35">
            <v>0.94505494505494503</v>
          </cell>
          <cell r="G35">
            <v>0</v>
          </cell>
          <cell r="H35">
            <v>1</v>
          </cell>
        </row>
        <row r="36">
          <cell r="B36" t="str">
            <v>201 2013 10 1212 00015</v>
          </cell>
          <cell r="C36">
            <v>2012013121200020</v>
          </cell>
          <cell r="D36">
            <v>0.15175409523601405</v>
          </cell>
          <cell r="F36">
            <v>0.84824590476398598</v>
          </cell>
          <cell r="G36">
            <v>0</v>
          </cell>
          <cell r="H36">
            <v>1</v>
          </cell>
        </row>
        <row r="37">
          <cell r="B37" t="str">
            <v>201 2013 10 1211 00006</v>
          </cell>
          <cell r="C37">
            <v>2012013121100180</v>
          </cell>
          <cell r="D37">
            <v>5.8823529411764705E-2</v>
          </cell>
          <cell r="F37">
            <v>0.94117647058823528</v>
          </cell>
          <cell r="G37">
            <v>0</v>
          </cell>
          <cell r="H37">
            <v>1</v>
          </cell>
        </row>
        <row r="38">
          <cell r="B38" t="str">
            <v>201 2013 10 1211 00006</v>
          </cell>
          <cell r="C38">
            <v>2012013121100030</v>
          </cell>
          <cell r="D38">
            <v>5.8823529411764705E-2</v>
          </cell>
          <cell r="F38">
            <v>0.94117647058823528</v>
          </cell>
          <cell r="G38">
            <v>0</v>
          </cell>
          <cell r="H38">
            <v>1</v>
          </cell>
        </row>
        <row r="39">
          <cell r="B39" t="str">
            <v>201 2014 10 1211 00006</v>
          </cell>
          <cell r="C39">
            <v>2012014121100060</v>
          </cell>
          <cell r="D39">
            <v>5.4945054945054937E-2</v>
          </cell>
          <cell r="F39">
            <v>0.94505494505494503</v>
          </cell>
          <cell r="G39">
            <v>0</v>
          </cell>
          <cell r="H39">
            <v>1</v>
          </cell>
        </row>
        <row r="40">
          <cell r="B40" t="str">
            <v>201 2014 10 1211 00006</v>
          </cell>
          <cell r="C40">
            <v>2012014121100100</v>
          </cell>
          <cell r="D40">
            <v>5.4945054945054937E-2</v>
          </cell>
          <cell r="F40">
            <v>0.94505494505494503</v>
          </cell>
          <cell r="G40">
            <v>0</v>
          </cell>
          <cell r="H40">
            <v>1</v>
          </cell>
        </row>
        <row r="41">
          <cell r="B41" t="str">
            <v>201 2013 10 1211 00006</v>
          </cell>
          <cell r="C41">
            <v>2012013121100190</v>
          </cell>
          <cell r="D41">
            <v>5.8823529411764705E-2</v>
          </cell>
          <cell r="F41">
            <v>0.94117647058823528</v>
          </cell>
          <cell r="G41">
            <v>0</v>
          </cell>
          <cell r="H41">
            <v>1</v>
          </cell>
        </row>
        <row r="42">
          <cell r="B42" t="str">
            <v>201 2013 10 1211 00006</v>
          </cell>
          <cell r="C42">
            <v>2012013121100030</v>
          </cell>
          <cell r="D42">
            <v>5.8823529411764705E-2</v>
          </cell>
          <cell r="F42">
            <v>0.94117647058823528</v>
          </cell>
          <cell r="G42">
            <v>0</v>
          </cell>
          <cell r="H42">
            <v>1</v>
          </cell>
        </row>
        <row r="43">
          <cell r="B43" t="str">
            <v>201 2014 10 1211 00006</v>
          </cell>
          <cell r="C43">
            <v>2012014121100060</v>
          </cell>
          <cell r="D43">
            <v>5.4945054945054937E-2</v>
          </cell>
          <cell r="F43">
            <v>0.94505494505494503</v>
          </cell>
          <cell r="G43">
            <v>0</v>
          </cell>
          <cell r="H43">
            <v>1</v>
          </cell>
        </row>
        <row r="44">
          <cell r="B44" t="str">
            <v>201 2009 88 1211 00003</v>
          </cell>
          <cell r="C44">
            <v>2012009121100030</v>
          </cell>
          <cell r="D44">
            <v>9.2200000000000004E-2</v>
          </cell>
          <cell r="E44">
            <v>9.0800000000000006E-2</v>
          </cell>
          <cell r="F44">
            <v>0.81699999999999995</v>
          </cell>
          <cell r="G44">
            <v>0</v>
          </cell>
          <cell r="H44">
            <v>1</v>
          </cell>
        </row>
        <row r="45">
          <cell r="B45" t="str">
            <v>201 2014 10 1211 00006</v>
          </cell>
          <cell r="C45">
            <v>2012014121100010</v>
          </cell>
          <cell r="D45">
            <v>5.4945054945054937E-2</v>
          </cell>
          <cell r="F45">
            <v>0.94505494505494503</v>
          </cell>
          <cell r="G45">
            <v>0</v>
          </cell>
          <cell r="H45">
            <v>1</v>
          </cell>
        </row>
        <row r="46">
          <cell r="B46" t="str">
            <v>201 2012 10 1211 00006</v>
          </cell>
          <cell r="C46">
            <v>2012012121100010</v>
          </cell>
          <cell r="D46">
            <v>7.2738201232028885E-2</v>
          </cell>
          <cell r="F46">
            <v>0.9272617987679711</v>
          </cell>
          <cell r="G46">
            <v>0</v>
          </cell>
          <cell r="H46">
            <v>1</v>
          </cell>
        </row>
        <row r="47">
          <cell r="B47" t="str">
            <v>201 2014 10 1211 00006</v>
          </cell>
          <cell r="C47">
            <v>2012014121100100</v>
          </cell>
          <cell r="D47">
            <v>5.4945054945054937E-2</v>
          </cell>
          <cell r="F47">
            <v>0.94505494505494503</v>
          </cell>
          <cell r="G47">
            <v>0</v>
          </cell>
          <cell r="H47">
            <v>1</v>
          </cell>
        </row>
        <row r="48">
          <cell r="B48" t="str">
            <v>201 2014 10 1211 00006</v>
          </cell>
          <cell r="C48">
            <v>2012014121100000</v>
          </cell>
          <cell r="D48">
            <v>5.4945054945054937E-2</v>
          </cell>
          <cell r="F48">
            <v>0.94505494505494503</v>
          </cell>
          <cell r="G48">
            <v>0</v>
          </cell>
          <cell r="H48">
            <v>1</v>
          </cell>
        </row>
        <row r="49">
          <cell r="B49" t="str">
            <v>201 2013 10 1212 00006</v>
          </cell>
          <cell r="C49">
            <v>2012013121200030</v>
          </cell>
          <cell r="D49">
            <v>0.26906612627682158</v>
          </cell>
          <cell r="F49">
            <v>0.73093387372317842</v>
          </cell>
          <cell r="G49">
            <v>0</v>
          </cell>
          <cell r="H49">
            <v>1</v>
          </cell>
        </row>
        <row r="50">
          <cell r="B50" t="str">
            <v>201 2014 10 1211 00006</v>
          </cell>
          <cell r="C50">
            <v>2012014121100060</v>
          </cell>
          <cell r="D50">
            <v>5.4945054945054937E-2</v>
          </cell>
          <cell r="F50">
            <v>0.94505494505494503</v>
          </cell>
          <cell r="G50">
            <v>0</v>
          </cell>
          <cell r="H50">
            <v>1</v>
          </cell>
        </row>
        <row r="51">
          <cell r="B51" t="str">
            <v>201 2013 10 1211 00006</v>
          </cell>
          <cell r="C51">
            <v>2012013121100090</v>
          </cell>
          <cell r="D51">
            <v>5.8823529411764705E-2</v>
          </cell>
          <cell r="F51">
            <v>0.94117647058823528</v>
          </cell>
          <cell r="G51">
            <v>0</v>
          </cell>
          <cell r="H51">
            <v>1</v>
          </cell>
        </row>
        <row r="52">
          <cell r="B52" t="str">
            <v>201 2013 10 1211 00006</v>
          </cell>
          <cell r="C52">
            <v>2012013121100180</v>
          </cell>
          <cell r="D52">
            <v>5.8823529411764705E-2</v>
          </cell>
          <cell r="F52">
            <v>0.94117647058823528</v>
          </cell>
          <cell r="G52">
            <v>0</v>
          </cell>
          <cell r="H52">
            <v>1</v>
          </cell>
        </row>
        <row r="53">
          <cell r="B53" t="str">
            <v>202 2011 60 1212 00001</v>
          </cell>
          <cell r="C53">
            <v>2022011121200000</v>
          </cell>
          <cell r="D53">
            <v>0.69353355807539074</v>
          </cell>
          <cell r="F53">
            <v>0.30646644192460926</v>
          </cell>
          <cell r="G53">
            <v>0</v>
          </cell>
          <cell r="H53">
            <v>1</v>
          </cell>
        </row>
        <row r="54">
          <cell r="B54" t="str">
            <v>201 2011 10 1212 00015</v>
          </cell>
          <cell r="C54">
            <v>2012011121200000</v>
          </cell>
          <cell r="D54">
            <v>8.5873581207425484E-2</v>
          </cell>
          <cell r="F54">
            <v>0.9141264187925745</v>
          </cell>
          <cell r="G54">
            <v>0</v>
          </cell>
          <cell r="H54">
            <v>1</v>
          </cell>
        </row>
        <row r="55">
          <cell r="B55" t="str">
            <v>201 2014 10 1211 00006</v>
          </cell>
          <cell r="C55">
            <v>2012014121100020</v>
          </cell>
          <cell r="D55">
            <v>5.4945054945054937E-2</v>
          </cell>
          <cell r="F55">
            <v>0.94505494505494503</v>
          </cell>
          <cell r="G55">
            <v>0</v>
          </cell>
          <cell r="H55">
            <v>1</v>
          </cell>
        </row>
        <row r="56">
          <cell r="B56" t="str">
            <v>201 2013 10 1222 00064</v>
          </cell>
          <cell r="C56">
            <v>2012013122200000</v>
          </cell>
          <cell r="D56">
            <v>1</v>
          </cell>
          <cell r="F56">
            <v>0</v>
          </cell>
          <cell r="G56">
            <v>0</v>
          </cell>
          <cell r="H56">
            <v>1</v>
          </cell>
        </row>
        <row r="57">
          <cell r="B57" t="str">
            <v>201 2014 10 1211 00006</v>
          </cell>
          <cell r="C57">
            <v>2012014121100010</v>
          </cell>
          <cell r="D57">
            <v>5.4945054945054937E-2</v>
          </cell>
          <cell r="F57">
            <v>0.94505494505494503</v>
          </cell>
          <cell r="G57">
            <v>0</v>
          </cell>
          <cell r="H57">
            <v>1</v>
          </cell>
        </row>
        <row r="58">
          <cell r="B58" t="str">
            <v>201 2013 10 1211 00006</v>
          </cell>
          <cell r="C58">
            <v>2012013121100110</v>
          </cell>
          <cell r="D58">
            <v>5.8823529411764705E-2</v>
          </cell>
          <cell r="F58">
            <v>0.94117647058823528</v>
          </cell>
          <cell r="G58">
            <v>0</v>
          </cell>
          <cell r="H58">
            <v>1</v>
          </cell>
        </row>
        <row r="59">
          <cell r="B59" t="str">
            <v>201 2014 10 1211 00006</v>
          </cell>
          <cell r="C59">
            <v>2012014121100060</v>
          </cell>
          <cell r="D59">
            <v>5.4945054945054937E-2</v>
          </cell>
          <cell r="F59">
            <v>0.94505494505494503</v>
          </cell>
          <cell r="G59">
            <v>0</v>
          </cell>
          <cell r="H59">
            <v>1</v>
          </cell>
        </row>
        <row r="60">
          <cell r="B60" t="str">
            <v>201 2012 10 1211 00006</v>
          </cell>
          <cell r="C60">
            <v>2012012121100020</v>
          </cell>
          <cell r="D60">
            <v>7.2738201232028885E-2</v>
          </cell>
          <cell r="F60">
            <v>0.9272617987679711</v>
          </cell>
          <cell r="G60">
            <v>0</v>
          </cell>
          <cell r="H60">
            <v>1</v>
          </cell>
        </row>
        <row r="61">
          <cell r="B61" t="str">
            <v>201 2014 10 1211 00006</v>
          </cell>
          <cell r="C61">
            <v>2012014121100140</v>
          </cell>
          <cell r="D61">
            <v>5.4945054945054937E-2</v>
          </cell>
          <cell r="F61">
            <v>0.94505494505494503</v>
          </cell>
          <cell r="G61">
            <v>0</v>
          </cell>
          <cell r="H61">
            <v>1</v>
          </cell>
        </row>
        <row r="62">
          <cell r="B62" t="str">
            <v>201 2013 10 1211 00006</v>
          </cell>
          <cell r="C62">
            <v>2012013121100180</v>
          </cell>
          <cell r="D62">
            <v>5.8823529411764705E-2</v>
          </cell>
          <cell r="F62">
            <v>0.94117647058823528</v>
          </cell>
          <cell r="G62">
            <v>0</v>
          </cell>
          <cell r="H62">
            <v>1</v>
          </cell>
        </row>
        <row r="63">
          <cell r="B63" t="str">
            <v>201 2013 10 1211 00006</v>
          </cell>
          <cell r="C63">
            <v>2012013121100060</v>
          </cell>
          <cell r="D63">
            <v>5.8823529411764705E-2</v>
          </cell>
          <cell r="F63">
            <v>0.94117647058823528</v>
          </cell>
          <cell r="G63">
            <v>0</v>
          </cell>
          <cell r="H63">
            <v>1</v>
          </cell>
        </row>
        <row r="64">
          <cell r="B64" t="str">
            <v>201 2014 10 1211 00006</v>
          </cell>
          <cell r="C64">
            <v>2012014121100100</v>
          </cell>
          <cell r="D64">
            <v>5.4945054945054937E-2</v>
          </cell>
          <cell r="F64">
            <v>0.94505494505494503</v>
          </cell>
          <cell r="G64">
            <v>0</v>
          </cell>
          <cell r="H64">
            <v>1</v>
          </cell>
        </row>
        <row r="65">
          <cell r="B65" t="str">
            <v>115 2013 10 1211 00003</v>
          </cell>
          <cell r="C65">
            <v>1152013121100000</v>
          </cell>
          <cell r="D65">
            <v>0.41666666666666669</v>
          </cell>
          <cell r="F65">
            <v>0.58333333333333326</v>
          </cell>
          <cell r="G65">
            <v>0</v>
          </cell>
          <cell r="H65">
            <v>1</v>
          </cell>
        </row>
        <row r="66">
          <cell r="B66" t="str">
            <v>201 2012 10 1212 00016</v>
          </cell>
          <cell r="C66">
            <v>2012013121200020</v>
          </cell>
          <cell r="D66">
            <v>0.15175381888485223</v>
          </cell>
          <cell r="F66">
            <v>0.84824618111514782</v>
          </cell>
          <cell r="G66">
            <v>0</v>
          </cell>
          <cell r="H66">
            <v>1</v>
          </cell>
        </row>
        <row r="67">
          <cell r="B67" t="str">
            <v>201 2014 10 1211 00006</v>
          </cell>
          <cell r="C67">
            <v>2012014121100050</v>
          </cell>
          <cell r="D67">
            <v>5.4945054945054937E-2</v>
          </cell>
          <cell r="F67">
            <v>0.94505494505494503</v>
          </cell>
          <cell r="G67">
            <v>0</v>
          </cell>
          <cell r="H67">
            <v>1</v>
          </cell>
        </row>
        <row r="68">
          <cell r="B68" t="str">
            <v>201 2014 10 1211 00006</v>
          </cell>
          <cell r="C68">
            <v>2012014121100110</v>
          </cell>
          <cell r="D68">
            <v>5.4945054945054937E-2</v>
          </cell>
          <cell r="F68">
            <v>0.94505494505494503</v>
          </cell>
          <cell r="G68">
            <v>0</v>
          </cell>
          <cell r="H68">
            <v>1</v>
          </cell>
        </row>
        <row r="69">
          <cell r="B69" t="str">
            <v>201 2008 10 1211 00005</v>
          </cell>
          <cell r="C69">
            <v>2012009121100000</v>
          </cell>
          <cell r="D69">
            <v>9.2200000000000004E-2</v>
          </cell>
          <cell r="E69">
            <v>9.0800000000000006E-2</v>
          </cell>
          <cell r="F69">
            <v>0.81699999999999995</v>
          </cell>
          <cell r="G69">
            <v>0</v>
          </cell>
          <cell r="H69">
            <v>1</v>
          </cell>
        </row>
        <row r="70">
          <cell r="B70" t="str">
            <v>201 2014 10 1211 00006</v>
          </cell>
          <cell r="C70">
            <v>2012014121100010</v>
          </cell>
          <cell r="D70">
            <v>5.4945054945054937E-2</v>
          </cell>
          <cell r="F70">
            <v>0.94505494505494503</v>
          </cell>
          <cell r="G70">
            <v>0</v>
          </cell>
          <cell r="H70">
            <v>1</v>
          </cell>
        </row>
        <row r="71">
          <cell r="B71" t="str">
            <v>201 2013 10 1211 00006</v>
          </cell>
          <cell r="C71">
            <v>2012013121100060</v>
          </cell>
          <cell r="D71">
            <v>5.8823529411764705E-2</v>
          </cell>
          <cell r="F71">
            <v>0.94117647058823528</v>
          </cell>
          <cell r="G71">
            <v>0</v>
          </cell>
          <cell r="H71">
            <v>1</v>
          </cell>
        </row>
        <row r="72">
          <cell r="B72" t="str">
            <v>201 2012 10 1211 00006</v>
          </cell>
          <cell r="C72">
            <v>2012012121100000</v>
          </cell>
          <cell r="D72">
            <v>7.2738201232028885E-2</v>
          </cell>
          <cell r="F72">
            <v>0.9272617987679711</v>
          </cell>
          <cell r="G72">
            <v>0</v>
          </cell>
          <cell r="H72">
            <v>1</v>
          </cell>
        </row>
        <row r="73">
          <cell r="B73" t="str">
            <v>201 2014 10 1211 00006</v>
          </cell>
          <cell r="C73">
            <v>2012014121100110</v>
          </cell>
          <cell r="D73">
            <v>5.4945054945054937E-2</v>
          </cell>
          <cell r="F73">
            <v>0.94505494505494503</v>
          </cell>
          <cell r="G73">
            <v>0</v>
          </cell>
          <cell r="H73">
            <v>1</v>
          </cell>
        </row>
        <row r="74">
          <cell r="B74" t="str">
            <v>201 2013 10 1211 00006</v>
          </cell>
          <cell r="C74">
            <v>2012013121100200</v>
          </cell>
          <cell r="D74">
            <v>5.8823529411764705E-2</v>
          </cell>
          <cell r="F74">
            <v>0.94117647058823528</v>
          </cell>
          <cell r="G74">
            <v>0</v>
          </cell>
          <cell r="H74">
            <v>1</v>
          </cell>
        </row>
        <row r="75">
          <cell r="B75" t="str">
            <v>201 2012 10 1221 00009</v>
          </cell>
          <cell r="C75">
            <v>2012012122100000</v>
          </cell>
          <cell r="D75">
            <v>1</v>
          </cell>
          <cell r="F75">
            <v>0</v>
          </cell>
          <cell r="G75">
            <v>0</v>
          </cell>
          <cell r="H75">
            <v>1</v>
          </cell>
        </row>
        <row r="76">
          <cell r="B76" t="str">
            <v>201 2012 10 1211 00006</v>
          </cell>
          <cell r="C76">
            <v>2012012121100020</v>
          </cell>
          <cell r="D76">
            <v>7.2738201232028885E-2</v>
          </cell>
          <cell r="F76">
            <v>0.9272617987679711</v>
          </cell>
          <cell r="G76">
            <v>0</v>
          </cell>
          <cell r="H76">
            <v>1</v>
          </cell>
        </row>
        <row r="77">
          <cell r="B77" t="str">
            <v>201 2014 10 1211 00006</v>
          </cell>
          <cell r="C77">
            <v>2012014121100140</v>
          </cell>
          <cell r="D77">
            <v>5.4945054945054937E-2</v>
          </cell>
          <cell r="F77">
            <v>0.94505494505494503</v>
          </cell>
          <cell r="G77">
            <v>0</v>
          </cell>
          <cell r="H77">
            <v>1</v>
          </cell>
        </row>
        <row r="78">
          <cell r="B78" t="str">
            <v>201 2013 10 1212 00008</v>
          </cell>
          <cell r="C78">
            <v>2012013121200020</v>
          </cell>
          <cell r="D78">
            <v>0.14448030983548066</v>
          </cell>
          <cell r="F78">
            <v>0.85551969016451934</v>
          </cell>
          <cell r="G78">
            <v>0</v>
          </cell>
          <cell r="H78">
            <v>1</v>
          </cell>
        </row>
        <row r="79">
          <cell r="B79" t="str">
            <v>115 2013 10 1211 00003</v>
          </cell>
          <cell r="C79">
            <v>1152013121100000</v>
          </cell>
          <cell r="D79">
            <v>0.41666666666666669</v>
          </cell>
          <cell r="F79">
            <v>0.58333333333333326</v>
          </cell>
          <cell r="G79">
            <v>0</v>
          </cell>
          <cell r="H79">
            <v>1</v>
          </cell>
        </row>
        <row r="80">
          <cell r="B80" t="str">
            <v>115 2013 10 1211 00003</v>
          </cell>
          <cell r="C80">
            <v>1152013121100010</v>
          </cell>
          <cell r="D80">
            <v>0.41666666666666669</v>
          </cell>
          <cell r="F80">
            <v>0.58333333333333326</v>
          </cell>
          <cell r="G80">
            <v>0</v>
          </cell>
          <cell r="H80">
            <v>1</v>
          </cell>
        </row>
        <row r="81">
          <cell r="B81" t="str">
            <v>201 2012 10 1212 00004</v>
          </cell>
          <cell r="C81">
            <v>2012012121200000</v>
          </cell>
          <cell r="D81">
            <v>0.10605654604331205</v>
          </cell>
          <cell r="F81">
            <v>0.89394345395668795</v>
          </cell>
          <cell r="G81">
            <v>0</v>
          </cell>
          <cell r="H81">
            <v>1</v>
          </cell>
        </row>
        <row r="82">
          <cell r="B82" t="str">
            <v>201 2012 10 1211 00006</v>
          </cell>
          <cell r="C82">
            <v>2012012121100010</v>
          </cell>
          <cell r="D82">
            <v>7.2738201232028885E-2</v>
          </cell>
          <cell r="F82">
            <v>0.9272617987679711</v>
          </cell>
          <cell r="G82">
            <v>0</v>
          </cell>
          <cell r="H82">
            <v>1</v>
          </cell>
        </row>
        <row r="83">
          <cell r="B83" t="str">
            <v>201 2014 10 1211 00006</v>
          </cell>
          <cell r="C83">
            <v>2012014121100030</v>
          </cell>
          <cell r="D83">
            <v>5.4945054945054937E-2</v>
          </cell>
          <cell r="F83">
            <v>0.94505494505494503</v>
          </cell>
          <cell r="G83">
            <v>0</v>
          </cell>
          <cell r="H83">
            <v>1</v>
          </cell>
        </row>
        <row r="84">
          <cell r="B84" t="str">
            <v>201 2014 10 1211 00006</v>
          </cell>
          <cell r="C84">
            <v>2012014121100020</v>
          </cell>
          <cell r="D84">
            <v>5.4945054945054937E-2</v>
          </cell>
          <cell r="F84">
            <v>0.94505494505494503</v>
          </cell>
          <cell r="G84">
            <v>0</v>
          </cell>
          <cell r="H84">
            <v>1</v>
          </cell>
        </row>
        <row r="85">
          <cell r="B85" t="str">
            <v>201 2013 10 1211 00006</v>
          </cell>
          <cell r="C85">
            <v>2012013121100050</v>
          </cell>
          <cell r="D85">
            <v>5.8823529411764705E-2</v>
          </cell>
          <cell r="F85">
            <v>0.94117647058823528</v>
          </cell>
          <cell r="G85">
            <v>0</v>
          </cell>
          <cell r="H85">
            <v>1</v>
          </cell>
        </row>
        <row r="86">
          <cell r="B86" t="str">
            <v>201 2013 10 1212 00008</v>
          </cell>
          <cell r="C86">
            <v>2012013121200030</v>
          </cell>
          <cell r="D86">
            <v>0.14448030983548066</v>
          </cell>
          <cell r="F86">
            <v>0.85551969016451934</v>
          </cell>
          <cell r="G86">
            <v>0</v>
          </cell>
          <cell r="H86">
            <v>1</v>
          </cell>
        </row>
        <row r="87">
          <cell r="B87" t="str">
            <v>201 2013 10 1212 00004</v>
          </cell>
          <cell r="C87">
            <v>2012013121200010</v>
          </cell>
          <cell r="D87">
            <v>7.2463768115942032E-2</v>
          </cell>
          <cell r="F87">
            <v>0.92753623188405798</v>
          </cell>
          <cell r="G87">
            <v>0</v>
          </cell>
          <cell r="H87">
            <v>1</v>
          </cell>
        </row>
        <row r="88">
          <cell r="B88" t="str">
            <v>201 2013 10 1212 00004</v>
          </cell>
          <cell r="C88">
            <v>2012013121200030</v>
          </cell>
          <cell r="D88">
            <v>7.2463768115942032E-2</v>
          </cell>
          <cell r="F88">
            <v>0.92753623188405798</v>
          </cell>
          <cell r="G88">
            <v>0</v>
          </cell>
          <cell r="H88">
            <v>1</v>
          </cell>
        </row>
        <row r="89">
          <cell r="B89" t="str">
            <v>203 2014 10 1211 00005</v>
          </cell>
          <cell r="C89">
            <v>2032014121100020</v>
          </cell>
          <cell r="D89">
            <v>5.4945054945054951E-2</v>
          </cell>
          <cell r="F89">
            <v>0.94505494505494503</v>
          </cell>
          <cell r="G89">
            <v>0</v>
          </cell>
          <cell r="H89">
            <v>1</v>
          </cell>
        </row>
        <row r="90">
          <cell r="B90" t="str">
            <v>201 2013 10 1211 00006</v>
          </cell>
          <cell r="C90">
            <v>2012013121100190</v>
          </cell>
          <cell r="D90">
            <v>5.8823529411764705E-2</v>
          </cell>
          <cell r="F90">
            <v>0.94117647058823528</v>
          </cell>
          <cell r="G90">
            <v>0</v>
          </cell>
          <cell r="H90">
            <v>1</v>
          </cell>
        </row>
        <row r="91">
          <cell r="B91" t="str">
            <v>201 2013 10 1211 00006</v>
          </cell>
          <cell r="C91">
            <v>2012013121100000</v>
          </cell>
          <cell r="D91">
            <v>5.8823529411764705E-2</v>
          </cell>
          <cell r="F91">
            <v>0.94117647058823528</v>
          </cell>
          <cell r="G91">
            <v>0</v>
          </cell>
          <cell r="H91">
            <v>1</v>
          </cell>
        </row>
        <row r="92">
          <cell r="B92" t="str">
            <v>201 2013 10 1211 00006</v>
          </cell>
          <cell r="C92">
            <v>2012013121100020</v>
          </cell>
          <cell r="D92">
            <v>5.8823529411764705E-2</v>
          </cell>
          <cell r="F92">
            <v>0.94117647058823528</v>
          </cell>
          <cell r="G92">
            <v>0</v>
          </cell>
          <cell r="H92">
            <v>1</v>
          </cell>
        </row>
        <row r="93">
          <cell r="B93" t="str">
            <v>201 2014 10 1211 00006</v>
          </cell>
          <cell r="C93">
            <v>2012014121100060</v>
          </cell>
          <cell r="D93">
            <v>5.4945054945054937E-2</v>
          </cell>
          <cell r="F93">
            <v>0.94505494505494503</v>
          </cell>
          <cell r="G93">
            <v>0</v>
          </cell>
          <cell r="H93">
            <v>1</v>
          </cell>
        </row>
        <row r="94">
          <cell r="B94" t="str">
            <v>201 2013 10 1211 00006</v>
          </cell>
          <cell r="C94">
            <v>2012013121100140</v>
          </cell>
          <cell r="D94">
            <v>5.8823529411764705E-2</v>
          </cell>
          <cell r="F94">
            <v>0.94117647058823528</v>
          </cell>
          <cell r="G94">
            <v>0</v>
          </cell>
          <cell r="H94">
            <v>1</v>
          </cell>
        </row>
        <row r="95">
          <cell r="B95" t="str">
            <v>201 2014 10 1211 00006</v>
          </cell>
          <cell r="C95">
            <v>2012014121100060</v>
          </cell>
          <cell r="D95">
            <v>5.4945054945054937E-2</v>
          </cell>
          <cell r="F95">
            <v>0.94505494505494503</v>
          </cell>
          <cell r="G95">
            <v>0</v>
          </cell>
          <cell r="H95">
            <v>1</v>
          </cell>
        </row>
        <row r="96">
          <cell r="B96" t="str">
            <v>201 2013 10 1211 00006</v>
          </cell>
          <cell r="C96">
            <v>2012013121100010</v>
          </cell>
          <cell r="D96">
            <v>5.8823529411764705E-2</v>
          </cell>
          <cell r="F96">
            <v>0.94117647058823528</v>
          </cell>
          <cell r="G96">
            <v>0</v>
          </cell>
          <cell r="H96">
            <v>1</v>
          </cell>
        </row>
        <row r="97">
          <cell r="B97" t="str">
            <v>201 2014 10 1211 00006</v>
          </cell>
          <cell r="C97">
            <v>2012014121100100</v>
          </cell>
          <cell r="D97">
            <v>5.4945054945054937E-2</v>
          </cell>
          <cell r="F97">
            <v>0.94505494505494503</v>
          </cell>
          <cell r="G97">
            <v>0</v>
          </cell>
          <cell r="H97">
            <v>1</v>
          </cell>
        </row>
        <row r="98">
          <cell r="B98" t="str">
            <v>201 2011 10 1222 00043</v>
          </cell>
          <cell r="C98">
            <v>2012012122200000</v>
          </cell>
          <cell r="D98">
            <v>1</v>
          </cell>
          <cell r="F98">
            <v>0</v>
          </cell>
          <cell r="G98">
            <v>0</v>
          </cell>
          <cell r="H98">
            <v>1</v>
          </cell>
        </row>
        <row r="99">
          <cell r="B99" t="str">
            <v>201 2013 10 1211 00006</v>
          </cell>
          <cell r="C99">
            <v>2012013121100110</v>
          </cell>
          <cell r="D99">
            <v>5.8823529411764705E-2</v>
          </cell>
          <cell r="F99">
            <v>0.94117647058823528</v>
          </cell>
          <cell r="G99">
            <v>0</v>
          </cell>
          <cell r="H99">
            <v>1</v>
          </cell>
        </row>
        <row r="100">
          <cell r="B100" t="str">
            <v>201 2013 10 1211 00006</v>
          </cell>
          <cell r="C100">
            <v>2012013121100150</v>
          </cell>
          <cell r="D100">
            <v>5.8823529411764705E-2</v>
          </cell>
          <cell r="F100">
            <v>0.94117647058823528</v>
          </cell>
          <cell r="G100">
            <v>0</v>
          </cell>
          <cell r="H100">
            <v>1</v>
          </cell>
        </row>
        <row r="101">
          <cell r="B101" t="str">
            <v>203 2014 10 1211 00004</v>
          </cell>
          <cell r="C101">
            <v>2032014121100000</v>
          </cell>
          <cell r="D101">
            <v>5.5426939491429725E-2</v>
          </cell>
          <cell r="F101">
            <v>0.94457306050857026</v>
          </cell>
          <cell r="G101">
            <v>0</v>
          </cell>
          <cell r="H101">
            <v>1</v>
          </cell>
        </row>
        <row r="102">
          <cell r="B102" t="str">
            <v>201 2013 10 1211 00006</v>
          </cell>
          <cell r="C102">
            <v>2012013121100060</v>
          </cell>
          <cell r="D102">
            <v>5.8823529411764705E-2</v>
          </cell>
          <cell r="F102">
            <v>0.94117647058823528</v>
          </cell>
          <cell r="G102">
            <v>0</v>
          </cell>
          <cell r="H102">
            <v>1</v>
          </cell>
        </row>
        <row r="103">
          <cell r="B103" t="str">
            <v>201 2014 10 1211 00006</v>
          </cell>
          <cell r="C103">
            <v>2012014121100100</v>
          </cell>
          <cell r="D103">
            <v>5.4945054945054937E-2</v>
          </cell>
          <cell r="F103">
            <v>0.94505494505494503</v>
          </cell>
          <cell r="G103">
            <v>0</v>
          </cell>
          <cell r="H103">
            <v>1</v>
          </cell>
        </row>
        <row r="104">
          <cell r="B104" t="str">
            <v>201 2013 10 1211 00006</v>
          </cell>
          <cell r="C104">
            <v>2012013121100190</v>
          </cell>
          <cell r="D104">
            <v>5.8823529411764705E-2</v>
          </cell>
          <cell r="F104">
            <v>0.94117647058823528</v>
          </cell>
          <cell r="G104">
            <v>0</v>
          </cell>
          <cell r="H104">
            <v>1</v>
          </cell>
        </row>
        <row r="105">
          <cell r="B105" t="str">
            <v>201 2013 10 1211 00006</v>
          </cell>
          <cell r="C105">
            <v>2012013121100030</v>
          </cell>
          <cell r="D105">
            <v>5.8823529411764705E-2</v>
          </cell>
          <cell r="F105">
            <v>0.94117647058823528</v>
          </cell>
          <cell r="G105">
            <v>0</v>
          </cell>
          <cell r="H105">
            <v>1</v>
          </cell>
        </row>
        <row r="106">
          <cell r="B106" t="str">
            <v>201 2012 10 1211 00006</v>
          </cell>
          <cell r="C106">
            <v>2012012121100000</v>
          </cell>
          <cell r="D106">
            <v>7.2738201232028885E-2</v>
          </cell>
          <cell r="F106">
            <v>0.9272617987679711</v>
          </cell>
          <cell r="G106">
            <v>0</v>
          </cell>
          <cell r="H106">
            <v>1</v>
          </cell>
        </row>
        <row r="107">
          <cell r="B107" t="str">
            <v>201 2014 10 1211 00006</v>
          </cell>
          <cell r="C107">
            <v>2012014121100090</v>
          </cell>
          <cell r="D107">
            <v>5.4945054945054937E-2</v>
          </cell>
          <cell r="F107">
            <v>0.94505494505494503</v>
          </cell>
          <cell r="G107">
            <v>0</v>
          </cell>
          <cell r="H107">
            <v>1</v>
          </cell>
        </row>
        <row r="108">
          <cell r="B108" t="str">
            <v>201 2013 10 1211 00006</v>
          </cell>
          <cell r="C108">
            <v>2012013121100180</v>
          </cell>
          <cell r="D108">
            <v>5.8823529411764705E-2</v>
          </cell>
          <cell r="F108">
            <v>0.94117647058823528</v>
          </cell>
          <cell r="G108">
            <v>0</v>
          </cell>
          <cell r="H108">
            <v>1</v>
          </cell>
        </row>
        <row r="109">
          <cell r="B109" t="str">
            <v>202 2012 10 1222 00004</v>
          </cell>
          <cell r="C109">
            <v>2022012122200000</v>
          </cell>
          <cell r="D109">
            <v>1</v>
          </cell>
          <cell r="F109">
            <v>0</v>
          </cell>
          <cell r="G109">
            <v>0</v>
          </cell>
          <cell r="H109">
            <v>1</v>
          </cell>
        </row>
        <row r="110">
          <cell r="B110" t="str">
            <v>201 2014 10 1222 00021</v>
          </cell>
          <cell r="C110">
            <v>2012014122200000</v>
          </cell>
          <cell r="D110">
            <v>1</v>
          </cell>
          <cell r="F110">
            <v>0</v>
          </cell>
          <cell r="G110">
            <v>0</v>
          </cell>
          <cell r="H110">
            <v>1</v>
          </cell>
        </row>
        <row r="111">
          <cell r="B111" t="str">
            <v>201 2014 10 1211 00006</v>
          </cell>
          <cell r="C111">
            <v>2012014121100030</v>
          </cell>
          <cell r="D111">
            <v>5.4945054945054937E-2</v>
          </cell>
          <cell r="F111">
            <v>0.94505494505494503</v>
          </cell>
          <cell r="G111">
            <v>0</v>
          </cell>
          <cell r="H111">
            <v>1</v>
          </cell>
        </row>
        <row r="112">
          <cell r="B112" t="str">
            <v>202 2012 60 1212 00006</v>
          </cell>
          <cell r="C112">
            <v>2022012121200000</v>
          </cell>
          <cell r="D112">
            <v>1</v>
          </cell>
          <cell r="F112">
            <v>0</v>
          </cell>
          <cell r="G112">
            <v>0</v>
          </cell>
          <cell r="H112">
            <v>1</v>
          </cell>
        </row>
        <row r="113">
          <cell r="B113" t="str">
            <v>201 2013 10 1211 00006</v>
          </cell>
          <cell r="C113">
            <v>2012013121100140</v>
          </cell>
          <cell r="D113">
            <v>5.8823529411764705E-2</v>
          </cell>
          <cell r="F113">
            <v>0.94117647058823528</v>
          </cell>
          <cell r="G113">
            <v>0</v>
          </cell>
          <cell r="H113">
            <v>1</v>
          </cell>
        </row>
        <row r="114">
          <cell r="B114" t="str">
            <v>202 2014 10 1212 00005</v>
          </cell>
          <cell r="C114">
            <v>2022014121200000</v>
          </cell>
          <cell r="D114">
            <v>0.75</v>
          </cell>
          <cell r="F114">
            <v>0.25</v>
          </cell>
          <cell r="G114">
            <v>0</v>
          </cell>
          <cell r="H114">
            <v>1</v>
          </cell>
        </row>
        <row r="115">
          <cell r="B115" t="str">
            <v>201 2013 10 1211 00006</v>
          </cell>
          <cell r="C115">
            <v>2012013121100200</v>
          </cell>
          <cell r="D115">
            <v>5.8823529411764705E-2</v>
          </cell>
          <cell r="F115">
            <v>0.94117647058823528</v>
          </cell>
          <cell r="G115">
            <v>0</v>
          </cell>
          <cell r="H115">
            <v>1</v>
          </cell>
        </row>
        <row r="116">
          <cell r="B116" t="str">
            <v>201 2014 10 1211 00006</v>
          </cell>
          <cell r="C116">
            <v>2012014121100100</v>
          </cell>
          <cell r="D116">
            <v>5.4945054945054937E-2</v>
          </cell>
          <cell r="F116">
            <v>0.94505494505494503</v>
          </cell>
          <cell r="G116">
            <v>0</v>
          </cell>
          <cell r="H116">
            <v>1</v>
          </cell>
        </row>
        <row r="117">
          <cell r="B117" t="str">
            <v>201 2014 10 1211 00006</v>
          </cell>
          <cell r="C117">
            <v>2012014121100020</v>
          </cell>
          <cell r="D117">
            <v>5.4945054945054937E-2</v>
          </cell>
          <cell r="F117">
            <v>0.94505494505494503</v>
          </cell>
          <cell r="G117">
            <v>0</v>
          </cell>
          <cell r="H117">
            <v>1</v>
          </cell>
        </row>
        <row r="118">
          <cell r="B118" t="str">
            <v>202 2012 10 1212 00008</v>
          </cell>
          <cell r="C118">
            <v>2022013121200000</v>
          </cell>
          <cell r="D118">
            <v>0.21459227467811159</v>
          </cell>
          <cell r="F118">
            <v>0.78540772532188841</v>
          </cell>
          <cell r="G118">
            <v>0</v>
          </cell>
          <cell r="H118">
            <v>1</v>
          </cell>
        </row>
        <row r="119">
          <cell r="B119" t="str">
            <v>203 2013 10 1212 00008</v>
          </cell>
          <cell r="C119">
            <v>2032013121200050</v>
          </cell>
          <cell r="D119">
            <v>0.10308008127617016</v>
          </cell>
          <cell r="F119">
            <v>0.89691991872382981</v>
          </cell>
          <cell r="G119">
            <v>0</v>
          </cell>
          <cell r="H119">
            <v>1</v>
          </cell>
        </row>
        <row r="120">
          <cell r="B120" t="str">
            <v>201 2012 10 1211 00006</v>
          </cell>
          <cell r="C120">
            <v>2012012121100010</v>
          </cell>
          <cell r="D120">
            <v>7.2738201232028885E-2</v>
          </cell>
          <cell r="F120">
            <v>0.9272617987679711</v>
          </cell>
          <cell r="G120">
            <v>0</v>
          </cell>
          <cell r="H120">
            <v>1</v>
          </cell>
        </row>
        <row r="121">
          <cell r="B121" t="str">
            <v>201 2006 10 1211 00004</v>
          </cell>
          <cell r="C121">
            <v>2012007121100000</v>
          </cell>
          <cell r="D121">
            <v>9.2200000000000004E-2</v>
          </cell>
          <cell r="E121">
            <v>9.0800000000000006E-2</v>
          </cell>
          <cell r="F121">
            <v>0.81699999999999995</v>
          </cell>
          <cell r="G121">
            <v>0</v>
          </cell>
          <cell r="H121">
            <v>1</v>
          </cell>
        </row>
        <row r="122">
          <cell r="B122" t="str">
            <v>201 2014 10 1211 00006</v>
          </cell>
          <cell r="C122">
            <v>2012014121100130</v>
          </cell>
          <cell r="D122">
            <v>5.4945054945054937E-2</v>
          </cell>
          <cell r="F122">
            <v>0.94505494505494503</v>
          </cell>
          <cell r="G122">
            <v>0</v>
          </cell>
          <cell r="H122">
            <v>1</v>
          </cell>
        </row>
        <row r="123">
          <cell r="B123" t="str">
            <v>201 2012 10 1211 00006</v>
          </cell>
          <cell r="C123">
            <v>2012012121100010</v>
          </cell>
          <cell r="D123">
            <v>7.2738201232028885E-2</v>
          </cell>
          <cell r="F123">
            <v>0.9272617987679711</v>
          </cell>
          <cell r="G123">
            <v>0</v>
          </cell>
          <cell r="H123">
            <v>1</v>
          </cell>
        </row>
        <row r="124">
          <cell r="B124" t="str">
            <v>202 2014 10 1212 00005</v>
          </cell>
          <cell r="C124">
            <v>2022014121200000</v>
          </cell>
          <cell r="D124">
            <v>0.75</v>
          </cell>
          <cell r="F124">
            <v>0.25</v>
          </cell>
          <cell r="G124">
            <v>0</v>
          </cell>
          <cell r="H124">
            <v>1</v>
          </cell>
        </row>
        <row r="125">
          <cell r="B125" t="str">
            <v>203 2014 10 1211 00005</v>
          </cell>
          <cell r="C125">
            <v>2032014121100000</v>
          </cell>
          <cell r="D125">
            <v>5.4945054945054951E-2</v>
          </cell>
          <cell r="F125">
            <v>0.94505494505494503</v>
          </cell>
          <cell r="G125">
            <v>0</v>
          </cell>
          <cell r="H125">
            <v>1</v>
          </cell>
        </row>
        <row r="126">
          <cell r="B126" t="str">
            <v>201 2013 10 1211 00006</v>
          </cell>
          <cell r="C126">
            <v>2012013121100070</v>
          </cell>
          <cell r="D126">
            <v>5.8823529411764705E-2</v>
          </cell>
          <cell r="F126">
            <v>0.94117647058823528</v>
          </cell>
          <cell r="G126">
            <v>0</v>
          </cell>
          <cell r="H126">
            <v>1</v>
          </cell>
        </row>
        <row r="127">
          <cell r="B127" t="str">
            <v>201 2013 10 1211 00006</v>
          </cell>
          <cell r="C127">
            <v>2012013121100200</v>
          </cell>
          <cell r="D127">
            <v>5.8823529411764705E-2</v>
          </cell>
          <cell r="F127">
            <v>0.94117647058823528</v>
          </cell>
          <cell r="G127">
            <v>0</v>
          </cell>
          <cell r="H127">
            <v>1</v>
          </cell>
        </row>
        <row r="128">
          <cell r="B128" t="str">
            <v>115 2013 10 1211 00003</v>
          </cell>
          <cell r="C128">
            <v>1152013121100000</v>
          </cell>
          <cell r="D128">
            <v>0.41666666666666669</v>
          </cell>
          <cell r="F128">
            <v>0.58333333333333326</v>
          </cell>
          <cell r="G128">
            <v>0</v>
          </cell>
          <cell r="H128">
            <v>1</v>
          </cell>
        </row>
        <row r="129">
          <cell r="B129" t="str">
            <v>201 2013 10 1222 00064</v>
          </cell>
          <cell r="C129">
            <v>2012013122200010</v>
          </cell>
          <cell r="D129">
            <v>1</v>
          </cell>
          <cell r="F129">
            <v>0</v>
          </cell>
          <cell r="G129">
            <v>0</v>
          </cell>
          <cell r="H129">
            <v>1</v>
          </cell>
        </row>
        <row r="130">
          <cell r="B130" t="str">
            <v>201 2013 10 1211 00006</v>
          </cell>
          <cell r="C130">
            <v>2012013121100050</v>
          </cell>
          <cell r="D130">
            <v>5.8823529411764705E-2</v>
          </cell>
          <cell r="F130">
            <v>0.94117647058823528</v>
          </cell>
          <cell r="G130">
            <v>0</v>
          </cell>
          <cell r="H130">
            <v>1</v>
          </cell>
        </row>
        <row r="131">
          <cell r="B131" t="str">
            <v>201 2014 10 1211 00006</v>
          </cell>
          <cell r="C131">
            <v>2012014121100140</v>
          </cell>
          <cell r="D131">
            <v>5.4945054945054937E-2</v>
          </cell>
          <cell r="F131">
            <v>0.94505494505494503</v>
          </cell>
          <cell r="G131">
            <v>0</v>
          </cell>
          <cell r="H131">
            <v>1</v>
          </cell>
        </row>
        <row r="132">
          <cell r="B132" t="str">
            <v>201 2014 10 1211 00006</v>
          </cell>
          <cell r="C132">
            <v>2012014121100030</v>
          </cell>
          <cell r="D132">
            <v>5.4945054945054937E-2</v>
          </cell>
          <cell r="F132">
            <v>0.94505494505494503</v>
          </cell>
          <cell r="G132">
            <v>0</v>
          </cell>
          <cell r="H132">
            <v>1</v>
          </cell>
        </row>
        <row r="133">
          <cell r="B133" t="str">
            <v>202 2013 61 1212 00015</v>
          </cell>
          <cell r="C133">
            <v>2022013121200000</v>
          </cell>
          <cell r="D133">
            <v>7.386615452799529E-2</v>
          </cell>
          <cell r="F133">
            <v>0.92613384547200472</v>
          </cell>
          <cell r="G133">
            <v>0</v>
          </cell>
          <cell r="H133">
            <v>1</v>
          </cell>
        </row>
        <row r="134">
          <cell r="B134" t="str">
            <v>203 2013 10 1212 00005</v>
          </cell>
          <cell r="C134">
            <v>2032013121200000</v>
          </cell>
          <cell r="D134">
            <v>6.3007606812346864E-2</v>
          </cell>
          <cell r="F134">
            <v>0.80649736719803999</v>
          </cell>
          <cell r="G134">
            <v>0.13049502598961316</v>
          </cell>
          <cell r="H134">
            <v>1</v>
          </cell>
        </row>
        <row r="135">
          <cell r="B135" t="str">
            <v>115 2013 10 1211 00002</v>
          </cell>
          <cell r="C135">
            <v>1152013121100000</v>
          </cell>
          <cell r="D135">
            <v>1</v>
          </cell>
          <cell r="F135">
            <v>0</v>
          </cell>
          <cell r="G135">
            <v>0</v>
          </cell>
          <cell r="H135">
            <v>1</v>
          </cell>
        </row>
        <row r="136">
          <cell r="B136" t="str">
            <v>115 2013 10 1211 00002</v>
          </cell>
          <cell r="C136">
            <v>1152013121100000</v>
          </cell>
          <cell r="D136">
            <v>1</v>
          </cell>
          <cell r="F136">
            <v>0</v>
          </cell>
          <cell r="G136">
            <v>0</v>
          </cell>
          <cell r="H136">
            <v>1</v>
          </cell>
        </row>
        <row r="137">
          <cell r="B137" t="str">
            <v>201 2014 10 1211 00006</v>
          </cell>
          <cell r="C137">
            <v>2012014121100000</v>
          </cell>
          <cell r="D137">
            <v>5.4945054945054937E-2</v>
          </cell>
          <cell r="F137">
            <v>0.94505494505494503</v>
          </cell>
          <cell r="G137">
            <v>0</v>
          </cell>
          <cell r="H137">
            <v>1</v>
          </cell>
        </row>
        <row r="138">
          <cell r="B138" t="str">
            <v>201 2014 10 1212 00010</v>
          </cell>
          <cell r="C138">
            <v>2012014121200010</v>
          </cell>
          <cell r="D138">
            <v>0.11718494688808323</v>
          </cell>
          <cell r="F138">
            <v>0.88281505311191677</v>
          </cell>
          <cell r="G138">
            <v>0</v>
          </cell>
          <cell r="H138">
            <v>1</v>
          </cell>
        </row>
        <row r="139">
          <cell r="B139" t="str">
            <v>201 2014 10 1211 00006</v>
          </cell>
          <cell r="C139">
            <v>2012014121100100</v>
          </cell>
          <cell r="D139">
            <v>5.4945054945054937E-2</v>
          </cell>
          <cell r="F139">
            <v>0.94505494505494503</v>
          </cell>
          <cell r="G139">
            <v>0</v>
          </cell>
          <cell r="H139">
            <v>1</v>
          </cell>
        </row>
        <row r="140">
          <cell r="B140" t="str">
            <v>201 2014 10 1211 00006</v>
          </cell>
          <cell r="C140">
            <v>2012014121100090</v>
          </cell>
          <cell r="D140">
            <v>5.4945054945054937E-2</v>
          </cell>
          <cell r="F140">
            <v>0.94505494505494503</v>
          </cell>
          <cell r="G140">
            <v>0</v>
          </cell>
          <cell r="H140">
            <v>1</v>
          </cell>
        </row>
        <row r="141">
          <cell r="B141" t="str">
            <v>203 2014 10 1212 00003</v>
          </cell>
          <cell r="C141">
            <v>2032014121200010</v>
          </cell>
          <cell r="D141">
            <v>2.3934698565896376E-2</v>
          </cell>
          <cell r="F141">
            <v>0.41167681533341766</v>
          </cell>
          <cell r="G141">
            <v>0.56438848610068604</v>
          </cell>
          <cell r="H141">
            <v>1</v>
          </cell>
        </row>
        <row r="142">
          <cell r="B142" t="str">
            <v>201 2014 10 1211 00006</v>
          </cell>
          <cell r="C142">
            <v>2012014121100060</v>
          </cell>
          <cell r="D142">
            <v>5.4945054945054937E-2</v>
          </cell>
          <cell r="F142">
            <v>0.94505494505494503</v>
          </cell>
          <cell r="G142">
            <v>0</v>
          </cell>
          <cell r="H142">
            <v>1</v>
          </cell>
        </row>
        <row r="143">
          <cell r="B143" t="str">
            <v>201 2013 10 1212 00004</v>
          </cell>
          <cell r="C143">
            <v>2012013121200010</v>
          </cell>
          <cell r="D143">
            <v>7.2463768115942032E-2</v>
          </cell>
          <cell r="F143">
            <v>0.92753623188405798</v>
          </cell>
          <cell r="G143">
            <v>0</v>
          </cell>
          <cell r="H143">
            <v>1</v>
          </cell>
        </row>
        <row r="144">
          <cell r="B144" t="str">
            <v>201 2014 10 1211 00006</v>
          </cell>
          <cell r="C144">
            <v>2012014121100030</v>
          </cell>
          <cell r="D144">
            <v>5.4945054945054937E-2</v>
          </cell>
          <cell r="F144">
            <v>0.94505494505494503</v>
          </cell>
          <cell r="G144">
            <v>0</v>
          </cell>
          <cell r="H144">
            <v>1</v>
          </cell>
        </row>
        <row r="145">
          <cell r="B145" t="str">
            <v>201 2013 10 1211 00006</v>
          </cell>
          <cell r="C145">
            <v>2012013121100150</v>
          </cell>
          <cell r="D145">
            <v>5.8823529411764705E-2</v>
          </cell>
          <cell r="F145">
            <v>0.94117647058823528</v>
          </cell>
          <cell r="G145">
            <v>0</v>
          </cell>
          <cell r="H145">
            <v>1</v>
          </cell>
        </row>
        <row r="146">
          <cell r="B146" t="str">
            <v>202 2014 64 1212 00013</v>
          </cell>
          <cell r="C146">
            <v>2022014121200000</v>
          </cell>
          <cell r="D146">
            <v>0.75</v>
          </cell>
          <cell r="F146">
            <v>0.25</v>
          </cell>
          <cell r="G146">
            <v>0</v>
          </cell>
          <cell r="H146">
            <v>1</v>
          </cell>
        </row>
        <row r="147">
          <cell r="B147" t="str">
            <v>201 2014 10 1211 00006</v>
          </cell>
          <cell r="C147">
            <v>2012014121100060</v>
          </cell>
          <cell r="D147">
            <v>5.4945054945054937E-2</v>
          </cell>
          <cell r="F147">
            <v>0.94505494505494503</v>
          </cell>
          <cell r="G147">
            <v>0</v>
          </cell>
          <cell r="H147">
            <v>1</v>
          </cell>
        </row>
        <row r="148">
          <cell r="B148" t="str">
            <v>201 2013 10 1211 00006</v>
          </cell>
          <cell r="C148">
            <v>2012013121100140</v>
          </cell>
          <cell r="D148">
            <v>5.8823529411764705E-2</v>
          </cell>
          <cell r="F148">
            <v>0.94117647058823528</v>
          </cell>
          <cell r="G148">
            <v>0</v>
          </cell>
          <cell r="H148">
            <v>1</v>
          </cell>
        </row>
        <row r="149">
          <cell r="B149" t="str">
            <v>201 2014 10 1211 00006</v>
          </cell>
          <cell r="C149">
            <v>2012014121100040</v>
          </cell>
          <cell r="D149">
            <v>5.4945054945054937E-2</v>
          </cell>
          <cell r="F149">
            <v>0.94505494505494503</v>
          </cell>
          <cell r="G149">
            <v>0</v>
          </cell>
          <cell r="H149">
            <v>1</v>
          </cell>
        </row>
        <row r="150">
          <cell r="B150" t="str">
            <v>201 2013 10 1211 00006</v>
          </cell>
          <cell r="C150">
            <v>2012013121100210</v>
          </cell>
          <cell r="D150">
            <v>5.8823529411764705E-2</v>
          </cell>
          <cell r="F150">
            <v>0.94117647058823528</v>
          </cell>
          <cell r="G150">
            <v>0</v>
          </cell>
          <cell r="H150">
            <v>1</v>
          </cell>
        </row>
        <row r="151">
          <cell r="B151" t="str">
            <v>203 2013 10 1211 00009</v>
          </cell>
          <cell r="C151">
            <v>2032013121100070</v>
          </cell>
          <cell r="D151">
            <v>5.8823529411764712E-2</v>
          </cell>
          <cell r="F151">
            <v>0.94117647058823528</v>
          </cell>
          <cell r="G151">
            <v>0</v>
          </cell>
          <cell r="H151">
            <v>1</v>
          </cell>
        </row>
        <row r="152">
          <cell r="B152" t="str">
            <v>201 2014 10 1212 00006</v>
          </cell>
          <cell r="C152">
            <v>2012014121200000</v>
          </cell>
          <cell r="D152">
            <v>6.6666666666666666E-2</v>
          </cell>
          <cell r="F152">
            <v>0.93333333333333335</v>
          </cell>
          <cell r="G152">
            <v>0</v>
          </cell>
          <cell r="H152">
            <v>1</v>
          </cell>
        </row>
        <row r="153">
          <cell r="B153" t="str">
            <v>201 2014 10 1211 00006</v>
          </cell>
          <cell r="C153">
            <v>2012014121100070</v>
          </cell>
          <cell r="D153">
            <v>5.4945054945054937E-2</v>
          </cell>
          <cell r="F153">
            <v>0.94505494505494503</v>
          </cell>
          <cell r="G153">
            <v>0</v>
          </cell>
          <cell r="H153">
            <v>1</v>
          </cell>
        </row>
        <row r="154">
          <cell r="B154" t="str">
            <v>201 2013 10 1211 00006</v>
          </cell>
          <cell r="C154">
            <v>2012013121100150</v>
          </cell>
          <cell r="D154">
            <v>5.8823529411764705E-2</v>
          </cell>
          <cell r="F154">
            <v>0.94117647058823528</v>
          </cell>
          <cell r="G154">
            <v>0</v>
          </cell>
          <cell r="H154">
            <v>1</v>
          </cell>
        </row>
        <row r="155">
          <cell r="B155" t="str">
            <v>202 2012 10 1212 00002</v>
          </cell>
          <cell r="C155">
            <v>2022012121200000</v>
          </cell>
          <cell r="D155">
            <v>7.386615452799529E-2</v>
          </cell>
          <cell r="F155">
            <v>0.92613384547200472</v>
          </cell>
          <cell r="G155">
            <v>0</v>
          </cell>
          <cell r="H155">
            <v>1</v>
          </cell>
        </row>
        <row r="156">
          <cell r="B156" t="str">
            <v>202 2007 60 1211   00008</v>
          </cell>
          <cell r="C156">
            <v>2022008121100000</v>
          </cell>
          <cell r="D156">
            <v>0.19704327961932908</v>
          </cell>
          <cell r="E156">
            <v>4.0147836019033545E-2</v>
          </cell>
          <cell r="F156">
            <v>0.76280888436163741</v>
          </cell>
          <cell r="G156">
            <v>0</v>
          </cell>
          <cell r="H156">
            <v>1</v>
          </cell>
        </row>
        <row r="157">
          <cell r="B157" t="str">
            <v>201 2013 10 1212 00015</v>
          </cell>
          <cell r="C157">
            <v>2012013121200030</v>
          </cell>
          <cell r="D157">
            <v>0.15175409523601405</v>
          </cell>
          <cell r="F157">
            <v>0.84824590476398598</v>
          </cell>
          <cell r="G157">
            <v>0</v>
          </cell>
          <cell r="H157">
            <v>1</v>
          </cell>
        </row>
        <row r="158">
          <cell r="B158" t="str">
            <v>201 2013 10 1211 00006</v>
          </cell>
          <cell r="C158">
            <v>2012013121100150</v>
          </cell>
          <cell r="D158">
            <v>5.8823529411764705E-2</v>
          </cell>
          <cell r="F158">
            <v>0.94117647058823528</v>
          </cell>
          <cell r="G158">
            <v>0</v>
          </cell>
          <cell r="H158">
            <v>1</v>
          </cell>
        </row>
        <row r="159">
          <cell r="B159" t="str">
            <v>203 2012 10 1212 00010</v>
          </cell>
          <cell r="C159">
            <v>2032012121200030</v>
          </cell>
          <cell r="D159">
            <v>0.48078258912855332</v>
          </cell>
          <cell r="F159">
            <v>0.51921741087144668</v>
          </cell>
          <cell r="G159">
            <v>0</v>
          </cell>
          <cell r="H159">
            <v>1</v>
          </cell>
        </row>
        <row r="160">
          <cell r="B160" t="str">
            <v>201 2006 10 1211 00004</v>
          </cell>
          <cell r="C160">
            <v>2012007121100030</v>
          </cell>
          <cell r="D160">
            <v>9.2200000000000004E-2</v>
          </cell>
          <cell r="E160">
            <v>9.0800000000000006E-2</v>
          </cell>
          <cell r="F160">
            <v>0.81699999999999995</v>
          </cell>
          <cell r="G160">
            <v>0</v>
          </cell>
          <cell r="H160">
            <v>1</v>
          </cell>
        </row>
        <row r="161">
          <cell r="B161" t="str">
            <v>201 2013 10 1211 00006</v>
          </cell>
          <cell r="C161">
            <v>2012013121100060</v>
          </cell>
          <cell r="D161">
            <v>5.8823529411764705E-2</v>
          </cell>
          <cell r="F161">
            <v>0.94117647058823528</v>
          </cell>
          <cell r="G161">
            <v>0</v>
          </cell>
          <cell r="H161">
            <v>1</v>
          </cell>
        </row>
        <row r="162">
          <cell r="B162" t="str">
            <v>202 2012 10 1212 00009</v>
          </cell>
          <cell r="C162">
            <v>2022013121200000</v>
          </cell>
          <cell r="D162">
            <v>0.61274509803921573</v>
          </cell>
          <cell r="F162">
            <v>0.38725490196078427</v>
          </cell>
          <cell r="G162">
            <v>0</v>
          </cell>
          <cell r="H162">
            <v>1</v>
          </cell>
        </row>
        <row r="163">
          <cell r="B163" t="str">
            <v>201 2013 10 1211 00006</v>
          </cell>
          <cell r="C163">
            <v>2012013121100060</v>
          </cell>
          <cell r="D163">
            <v>5.8823529411764705E-2</v>
          </cell>
          <cell r="F163">
            <v>0.94117647058823528</v>
          </cell>
          <cell r="G163">
            <v>0</v>
          </cell>
          <cell r="H163">
            <v>1</v>
          </cell>
        </row>
        <row r="164">
          <cell r="B164" t="str">
            <v>201 2013 10 1211 00006</v>
          </cell>
          <cell r="C164">
            <v>2012013121100100</v>
          </cell>
          <cell r="D164">
            <v>5.8823529411764705E-2</v>
          </cell>
          <cell r="F164">
            <v>0.94117647058823528</v>
          </cell>
          <cell r="G164">
            <v>0</v>
          </cell>
          <cell r="H164">
            <v>1</v>
          </cell>
        </row>
        <row r="165">
          <cell r="B165" t="str">
            <v>201 2013 10 1211 00006</v>
          </cell>
          <cell r="C165">
            <v>2012013121100190</v>
          </cell>
          <cell r="D165">
            <v>5.8823529411764705E-2</v>
          </cell>
          <cell r="F165">
            <v>0.94117647058823528</v>
          </cell>
          <cell r="G165">
            <v>0</v>
          </cell>
          <cell r="H165">
            <v>1</v>
          </cell>
        </row>
        <row r="166">
          <cell r="B166" t="str">
            <v>201 2013 10 1211 00006</v>
          </cell>
          <cell r="C166">
            <v>2012013121100020</v>
          </cell>
          <cell r="D166">
            <v>5.8823529411764705E-2</v>
          </cell>
          <cell r="F166">
            <v>0.94117647058823528</v>
          </cell>
          <cell r="G166">
            <v>0</v>
          </cell>
          <cell r="H166">
            <v>1</v>
          </cell>
        </row>
        <row r="167">
          <cell r="B167" t="str">
            <v>201 2013 10 1211 00006</v>
          </cell>
          <cell r="C167">
            <v>2012013121100140</v>
          </cell>
          <cell r="D167">
            <v>5.8823529411764705E-2</v>
          </cell>
          <cell r="F167">
            <v>0.94117647058823528</v>
          </cell>
          <cell r="G167">
            <v>0</v>
          </cell>
          <cell r="H167">
            <v>1</v>
          </cell>
        </row>
        <row r="168">
          <cell r="B168" t="str">
            <v>203 2014 10 1211 00005</v>
          </cell>
          <cell r="C168">
            <v>2032014121100020</v>
          </cell>
          <cell r="D168">
            <v>5.4945054945054951E-2</v>
          </cell>
          <cell r="F168">
            <v>0.94505494505494503</v>
          </cell>
          <cell r="G168">
            <v>0</v>
          </cell>
          <cell r="H168">
            <v>1</v>
          </cell>
        </row>
        <row r="169">
          <cell r="B169" t="str">
            <v>201 2014 10 1211 00006</v>
          </cell>
          <cell r="C169">
            <v>2012014121100030</v>
          </cell>
          <cell r="D169">
            <v>5.4945054945054937E-2</v>
          </cell>
          <cell r="F169">
            <v>0.94505494505494503</v>
          </cell>
          <cell r="G169">
            <v>0</v>
          </cell>
          <cell r="H169">
            <v>1</v>
          </cell>
        </row>
        <row r="170">
          <cell r="B170" t="str">
            <v>201 2013 10 1211 00006</v>
          </cell>
          <cell r="C170">
            <v>2012013121100060</v>
          </cell>
          <cell r="D170">
            <v>5.8823529411764705E-2</v>
          </cell>
          <cell r="F170">
            <v>0.94117647058823528</v>
          </cell>
          <cell r="G170">
            <v>0</v>
          </cell>
          <cell r="H170">
            <v>1</v>
          </cell>
        </row>
        <row r="171">
          <cell r="B171" t="str">
            <v>201 2013 10 1222 00073</v>
          </cell>
          <cell r="C171">
            <v>2012013122200000</v>
          </cell>
          <cell r="D171">
            <v>1</v>
          </cell>
          <cell r="F171">
            <v>0</v>
          </cell>
          <cell r="G171">
            <v>0</v>
          </cell>
          <cell r="H171">
            <v>1</v>
          </cell>
        </row>
        <row r="172">
          <cell r="B172" t="str">
            <v>201 2013 10 1211 00006</v>
          </cell>
          <cell r="C172">
            <v>2012013121100130</v>
          </cell>
          <cell r="D172">
            <v>5.8823529411764705E-2</v>
          </cell>
          <cell r="F172">
            <v>0.94117647058823528</v>
          </cell>
          <cell r="G172">
            <v>0</v>
          </cell>
          <cell r="H172">
            <v>1</v>
          </cell>
        </row>
        <row r="173">
          <cell r="B173" t="str">
            <v>203 2014 10 1212 00003</v>
          </cell>
          <cell r="C173">
            <v>2032014121200040</v>
          </cell>
          <cell r="D173">
            <v>2.3934698565896376E-2</v>
          </cell>
          <cell r="F173">
            <v>0.41167681533341766</v>
          </cell>
          <cell r="G173">
            <v>0.56438848610068604</v>
          </cell>
          <cell r="H173">
            <v>1</v>
          </cell>
        </row>
        <row r="174">
          <cell r="B174" t="str">
            <v>203 2014 10 1211 00005</v>
          </cell>
          <cell r="C174">
            <v>2032014121100090</v>
          </cell>
          <cell r="D174">
            <v>5.4945054945054951E-2</v>
          </cell>
          <cell r="F174">
            <v>0.94505494505494503</v>
          </cell>
          <cell r="G174">
            <v>0</v>
          </cell>
          <cell r="H174">
            <v>1</v>
          </cell>
        </row>
        <row r="175">
          <cell r="B175" t="str">
            <v>201 2013 10 1212 00004</v>
          </cell>
          <cell r="C175">
            <v>2012013121200020</v>
          </cell>
          <cell r="D175">
            <v>7.2463768115942032E-2</v>
          </cell>
          <cell r="F175">
            <v>0.92753623188405798</v>
          </cell>
          <cell r="G175">
            <v>0</v>
          </cell>
          <cell r="H175">
            <v>1</v>
          </cell>
        </row>
        <row r="176">
          <cell r="B176" t="str">
            <v>203 2013 10 1212 00002</v>
          </cell>
          <cell r="C176">
            <v>2032013121200040</v>
          </cell>
          <cell r="D176">
            <v>1</v>
          </cell>
          <cell r="F176">
            <v>0</v>
          </cell>
          <cell r="G176">
            <v>0</v>
          </cell>
          <cell r="H176">
            <v>1</v>
          </cell>
        </row>
        <row r="177">
          <cell r="B177" t="str">
            <v>201 2014 10 1221 00001</v>
          </cell>
          <cell r="C177">
            <v>2012014122100000</v>
          </cell>
          <cell r="D177">
            <v>0.23126734505087881</v>
          </cell>
          <cell r="F177">
            <v>0.76873265494912113</v>
          </cell>
          <cell r="G177">
            <v>0</v>
          </cell>
          <cell r="H177">
            <v>1</v>
          </cell>
        </row>
        <row r="178">
          <cell r="B178" t="str">
            <v>201 2014 10 1211 00006</v>
          </cell>
          <cell r="C178">
            <v>2012014121100130</v>
          </cell>
          <cell r="D178">
            <v>5.4945054945054937E-2</v>
          </cell>
          <cell r="F178">
            <v>0.94505494505494503</v>
          </cell>
          <cell r="G178">
            <v>0</v>
          </cell>
          <cell r="H178">
            <v>1</v>
          </cell>
        </row>
        <row r="179">
          <cell r="B179" t="str">
            <v>203 2013 10 1211 00003</v>
          </cell>
          <cell r="C179">
            <v>2032013121100000</v>
          </cell>
          <cell r="D179">
            <v>0.28239389219784183</v>
          </cell>
          <cell r="F179">
            <v>0.71760610780215817</v>
          </cell>
          <cell r="G179">
            <v>0</v>
          </cell>
          <cell r="H179">
            <v>1</v>
          </cell>
        </row>
        <row r="180">
          <cell r="B180" t="str">
            <v>203 2012 10 1211 00009</v>
          </cell>
          <cell r="C180">
            <v>2032012121100020</v>
          </cell>
          <cell r="D180">
            <v>9.8039613804000364E-2</v>
          </cell>
          <cell r="F180">
            <v>0.90196038619599961</v>
          </cell>
          <cell r="G180">
            <v>0</v>
          </cell>
          <cell r="H180">
            <v>1</v>
          </cell>
        </row>
        <row r="181">
          <cell r="B181" t="str">
            <v>203 2013 10 1212 00008</v>
          </cell>
          <cell r="C181">
            <v>2032013121200050</v>
          </cell>
          <cell r="D181">
            <v>0.10308008127617016</v>
          </cell>
          <cell r="F181">
            <v>0.89691991872382981</v>
          </cell>
          <cell r="G181">
            <v>0</v>
          </cell>
          <cell r="H181">
            <v>1</v>
          </cell>
        </row>
        <row r="182">
          <cell r="B182" t="str">
            <v>201 2013 10 1211 00006</v>
          </cell>
          <cell r="C182">
            <v>2012013121100170</v>
          </cell>
          <cell r="D182">
            <v>5.8823529411764705E-2</v>
          </cell>
          <cell r="F182">
            <v>0.94117647058823528</v>
          </cell>
          <cell r="G182">
            <v>0</v>
          </cell>
          <cell r="H182">
            <v>1</v>
          </cell>
        </row>
        <row r="183">
          <cell r="B183" t="str">
            <v>203 2014 10 1211 00005</v>
          </cell>
          <cell r="C183">
            <v>2032014121100040</v>
          </cell>
          <cell r="D183">
            <v>5.4945054945054951E-2</v>
          </cell>
          <cell r="F183">
            <v>0.94505494505494503</v>
          </cell>
          <cell r="G183">
            <v>0</v>
          </cell>
          <cell r="H183">
            <v>1</v>
          </cell>
        </row>
        <row r="184">
          <cell r="B184" t="str">
            <v>203 2014 10 1212 00009</v>
          </cell>
          <cell r="C184">
            <v>2032014121200090</v>
          </cell>
          <cell r="D184">
            <v>5.9565902215354273E-2</v>
          </cell>
          <cell r="F184">
            <v>0.83392263101495978</v>
          </cell>
          <cell r="G184">
            <v>0.10651146676968593</v>
          </cell>
          <cell r="H184">
            <v>1</v>
          </cell>
        </row>
        <row r="185">
          <cell r="B185" t="str">
            <v>201 2014 10 1211 00006</v>
          </cell>
          <cell r="C185">
            <v>2012014121100040</v>
          </cell>
          <cell r="D185">
            <v>5.4945054945054937E-2</v>
          </cell>
          <cell r="F185">
            <v>0.94505494505494503</v>
          </cell>
          <cell r="G185">
            <v>0</v>
          </cell>
          <cell r="H185">
            <v>1</v>
          </cell>
        </row>
        <row r="186">
          <cell r="B186" t="str">
            <v>203 2014 10 1212 00003</v>
          </cell>
          <cell r="C186">
            <v>2032014121200080</v>
          </cell>
          <cell r="D186">
            <v>2.3934698565896376E-2</v>
          </cell>
          <cell r="F186">
            <v>0.41167681533341766</v>
          </cell>
          <cell r="G186">
            <v>0.56438848610068604</v>
          </cell>
          <cell r="H186">
            <v>1</v>
          </cell>
        </row>
        <row r="187">
          <cell r="B187" t="str">
            <v>201 2013 10 1211 00003</v>
          </cell>
          <cell r="C187">
            <v>2012013121100160</v>
          </cell>
          <cell r="D187">
            <v>1</v>
          </cell>
          <cell r="F187">
            <v>0</v>
          </cell>
          <cell r="G187">
            <v>0</v>
          </cell>
          <cell r="H187">
            <v>1</v>
          </cell>
        </row>
        <row r="188">
          <cell r="B188" t="str">
            <v>203 2013 10 1222 00009</v>
          </cell>
          <cell r="C188">
            <v>2032013122200000</v>
          </cell>
          <cell r="D188">
            <v>1</v>
          </cell>
          <cell r="F188">
            <v>0</v>
          </cell>
          <cell r="G188">
            <v>0</v>
          </cell>
          <cell r="H188">
            <v>1</v>
          </cell>
        </row>
        <row r="189">
          <cell r="B189" t="str">
            <v>203 2014 10 1211 00005</v>
          </cell>
          <cell r="C189">
            <v>2032014121100050</v>
          </cell>
          <cell r="D189">
            <v>5.4945054945054951E-2</v>
          </cell>
          <cell r="F189">
            <v>0.94505494505494503</v>
          </cell>
          <cell r="G189">
            <v>0</v>
          </cell>
          <cell r="H189">
            <v>1</v>
          </cell>
        </row>
        <row r="190">
          <cell r="B190" t="str">
            <v>115 2013 10 1211 00003</v>
          </cell>
          <cell r="C190">
            <v>1152013121100010</v>
          </cell>
          <cell r="D190">
            <v>0.41666666666666669</v>
          </cell>
          <cell r="F190">
            <v>0.58333333333333326</v>
          </cell>
          <cell r="G190">
            <v>0</v>
          </cell>
          <cell r="H190">
            <v>1</v>
          </cell>
        </row>
        <row r="191">
          <cell r="B191" t="str">
            <v>201 2013 10 1212 00004</v>
          </cell>
          <cell r="C191">
            <v>2012013121200010</v>
          </cell>
          <cell r="D191">
            <v>7.2463768115942032E-2</v>
          </cell>
          <cell r="F191">
            <v>0.92753623188405798</v>
          </cell>
          <cell r="G191">
            <v>0</v>
          </cell>
          <cell r="H191">
            <v>1</v>
          </cell>
        </row>
        <row r="192">
          <cell r="B192" t="str">
            <v>201 2013 10 1212 00007</v>
          </cell>
          <cell r="C192">
            <v>2012013121200020</v>
          </cell>
          <cell r="D192">
            <v>0.28996487511877078</v>
          </cell>
          <cell r="F192">
            <v>0.71003512488122922</v>
          </cell>
          <cell r="G192">
            <v>0</v>
          </cell>
          <cell r="H192">
            <v>1</v>
          </cell>
        </row>
        <row r="193">
          <cell r="B193" t="str">
            <v>201 2014 10 1211 00006</v>
          </cell>
          <cell r="C193">
            <v>2012014121100090</v>
          </cell>
          <cell r="D193">
            <v>5.4945054945054937E-2</v>
          </cell>
          <cell r="F193">
            <v>0.94505494505494503</v>
          </cell>
          <cell r="G193">
            <v>0</v>
          </cell>
          <cell r="H193">
            <v>1</v>
          </cell>
        </row>
        <row r="194">
          <cell r="B194" t="str">
            <v>201 2014 10 1211 00006</v>
          </cell>
          <cell r="C194">
            <v>2012014121100110</v>
          </cell>
          <cell r="D194">
            <v>5.4945054945054937E-2</v>
          </cell>
          <cell r="F194">
            <v>0.94505494505494503</v>
          </cell>
          <cell r="G194">
            <v>0</v>
          </cell>
          <cell r="H194">
            <v>1</v>
          </cell>
        </row>
        <row r="195">
          <cell r="B195" t="str">
            <v>203 2014 10 1212 00003</v>
          </cell>
          <cell r="C195">
            <v>2032014121200020</v>
          </cell>
          <cell r="D195">
            <v>2.3934698565896376E-2</v>
          </cell>
          <cell r="F195">
            <v>0.41167681533341766</v>
          </cell>
          <cell r="G195">
            <v>0.56438848610068604</v>
          </cell>
          <cell r="H195">
            <v>1</v>
          </cell>
        </row>
        <row r="196">
          <cell r="B196" t="str">
            <v>201 2012 10 1222 00022</v>
          </cell>
          <cell r="C196">
            <v>2012012122200000</v>
          </cell>
          <cell r="D196">
            <v>1</v>
          </cell>
          <cell r="F196">
            <v>0</v>
          </cell>
          <cell r="G196">
            <v>0</v>
          </cell>
          <cell r="H196">
            <v>1</v>
          </cell>
        </row>
        <row r="197">
          <cell r="B197" t="str">
            <v>201 2013 10 1211 00006</v>
          </cell>
          <cell r="C197">
            <v>2012013121100190</v>
          </cell>
          <cell r="D197">
            <v>5.8823529411764705E-2</v>
          </cell>
          <cell r="F197">
            <v>0.94117647058823528</v>
          </cell>
          <cell r="G197">
            <v>0</v>
          </cell>
          <cell r="H197">
            <v>1</v>
          </cell>
        </row>
        <row r="198">
          <cell r="B198" t="str">
            <v>203 2013 10 1211 00009</v>
          </cell>
          <cell r="C198">
            <v>2032013121100120</v>
          </cell>
          <cell r="D198">
            <v>5.8823529411764712E-2</v>
          </cell>
          <cell r="F198">
            <v>0.94117647058823528</v>
          </cell>
          <cell r="G198">
            <v>0</v>
          </cell>
          <cell r="H198">
            <v>1</v>
          </cell>
        </row>
        <row r="199">
          <cell r="B199" t="str">
            <v>201 2013 10 1211 00006</v>
          </cell>
          <cell r="C199">
            <v>2012013121100010</v>
          </cell>
          <cell r="D199">
            <v>5.8823529411764705E-2</v>
          </cell>
          <cell r="F199">
            <v>0.94117647058823528</v>
          </cell>
          <cell r="G199">
            <v>0</v>
          </cell>
          <cell r="H199">
            <v>1</v>
          </cell>
        </row>
        <row r="200">
          <cell r="B200" t="str">
            <v>203 2013 10 1211 00009</v>
          </cell>
          <cell r="C200">
            <v>2032013121100030</v>
          </cell>
          <cell r="D200">
            <v>5.8823529411764712E-2</v>
          </cell>
          <cell r="F200">
            <v>0.94117647058823528</v>
          </cell>
          <cell r="G200">
            <v>0</v>
          </cell>
          <cell r="H200">
            <v>1</v>
          </cell>
        </row>
        <row r="201">
          <cell r="B201" t="str">
            <v>201 2012 10 1211 00006</v>
          </cell>
          <cell r="C201">
            <v>2012012121100020</v>
          </cell>
          <cell r="D201">
            <v>7.2738201232028885E-2</v>
          </cell>
          <cell r="F201">
            <v>0.9272617987679711</v>
          </cell>
          <cell r="G201">
            <v>0</v>
          </cell>
          <cell r="H201">
            <v>1</v>
          </cell>
        </row>
        <row r="202">
          <cell r="B202" t="str">
            <v>203 2014 10 1212 00003</v>
          </cell>
          <cell r="C202">
            <v>2032014121200070</v>
          </cell>
          <cell r="D202">
            <v>2.3934698565896376E-2</v>
          </cell>
          <cell r="F202">
            <v>0.41167681533341766</v>
          </cell>
          <cell r="G202">
            <v>0.56438848610068604</v>
          </cell>
          <cell r="H202">
            <v>1</v>
          </cell>
        </row>
        <row r="203">
          <cell r="B203" t="str">
            <v>201 2013 10 1211 00006</v>
          </cell>
          <cell r="C203">
            <v>2012013121100040</v>
          </cell>
          <cell r="D203">
            <v>5.8823529411764705E-2</v>
          </cell>
          <cell r="F203">
            <v>0.94117647058823528</v>
          </cell>
          <cell r="G203">
            <v>0</v>
          </cell>
          <cell r="H203">
            <v>1</v>
          </cell>
        </row>
        <row r="204">
          <cell r="B204" t="str">
            <v>201 2014 10 1211 00006</v>
          </cell>
          <cell r="C204">
            <v>2012014121100090</v>
          </cell>
          <cell r="D204">
            <v>5.4945054945054937E-2</v>
          </cell>
          <cell r="F204">
            <v>0.94505494505494503</v>
          </cell>
          <cell r="G204">
            <v>0</v>
          </cell>
          <cell r="H204">
            <v>1</v>
          </cell>
        </row>
        <row r="205">
          <cell r="B205" t="str">
            <v>201 2013 10 1211 00006</v>
          </cell>
          <cell r="C205">
            <v>2012013121100180</v>
          </cell>
          <cell r="D205">
            <v>5.8823529411764705E-2</v>
          </cell>
          <cell r="F205">
            <v>0.94117647058823528</v>
          </cell>
          <cell r="G205">
            <v>0</v>
          </cell>
          <cell r="H205">
            <v>1</v>
          </cell>
        </row>
        <row r="206">
          <cell r="B206" t="str">
            <v>203 2014 10 1211 00005</v>
          </cell>
          <cell r="C206">
            <v>2032014121100010</v>
          </cell>
          <cell r="D206">
            <v>5.4945054945054951E-2</v>
          </cell>
          <cell r="F206">
            <v>0.94505494505494503</v>
          </cell>
          <cell r="G206">
            <v>0</v>
          </cell>
          <cell r="H206">
            <v>1</v>
          </cell>
        </row>
        <row r="207">
          <cell r="B207" t="str">
            <v>201 2013 10 1211 00006</v>
          </cell>
          <cell r="C207">
            <v>2012013121100200</v>
          </cell>
          <cell r="D207">
            <v>5.8823529411764705E-2</v>
          </cell>
          <cell r="F207">
            <v>0.94117647058823528</v>
          </cell>
          <cell r="G207">
            <v>0</v>
          </cell>
          <cell r="H207">
            <v>1</v>
          </cell>
        </row>
        <row r="208">
          <cell r="B208" t="str">
            <v>203 2014 10 1212 00009</v>
          </cell>
          <cell r="C208">
            <v>2032014121200020</v>
          </cell>
          <cell r="D208">
            <v>5.9565902215354273E-2</v>
          </cell>
          <cell r="F208">
            <v>0.83392263101495978</v>
          </cell>
          <cell r="G208">
            <v>0.10651146676968593</v>
          </cell>
          <cell r="H208">
            <v>1</v>
          </cell>
        </row>
        <row r="209">
          <cell r="B209" t="str">
            <v>201 2014 10 1211 00006</v>
          </cell>
          <cell r="C209">
            <v>2012014121100020</v>
          </cell>
          <cell r="D209">
            <v>5.4945054945054937E-2</v>
          </cell>
          <cell r="F209">
            <v>0.94505494505494503</v>
          </cell>
          <cell r="G209">
            <v>0</v>
          </cell>
          <cell r="H209">
            <v>1</v>
          </cell>
        </row>
        <row r="210">
          <cell r="B210" t="str">
            <v>201 2014 10 1211 00006</v>
          </cell>
          <cell r="C210">
            <v>2012014121100050</v>
          </cell>
          <cell r="D210">
            <v>5.4945054945054937E-2</v>
          </cell>
          <cell r="F210">
            <v>0.94505494505494503</v>
          </cell>
          <cell r="G210">
            <v>0</v>
          </cell>
          <cell r="H210">
            <v>1</v>
          </cell>
        </row>
        <row r="211">
          <cell r="B211" t="str">
            <v>201 2013 10 1211 00006</v>
          </cell>
          <cell r="C211">
            <v>2012013121100130</v>
          </cell>
          <cell r="D211">
            <v>5.8823529411764705E-2</v>
          </cell>
          <cell r="F211">
            <v>0.94117647058823528</v>
          </cell>
          <cell r="G211">
            <v>0</v>
          </cell>
          <cell r="H211">
            <v>1</v>
          </cell>
        </row>
        <row r="212">
          <cell r="B212" t="str">
            <v>202 2012 60 1212 00006</v>
          </cell>
          <cell r="C212">
            <v>2022012121200000</v>
          </cell>
          <cell r="D212">
            <v>1</v>
          </cell>
          <cell r="F212">
            <v>0</v>
          </cell>
          <cell r="G212">
            <v>0</v>
          </cell>
          <cell r="H212">
            <v>1</v>
          </cell>
        </row>
        <row r="213">
          <cell r="B213" t="str">
            <v>201 2013 10 1211 00006</v>
          </cell>
          <cell r="C213">
            <v>2012013121100010</v>
          </cell>
          <cell r="D213">
            <v>5.8823529411764705E-2</v>
          </cell>
          <cell r="F213">
            <v>0.94117647058823528</v>
          </cell>
          <cell r="G213">
            <v>0</v>
          </cell>
          <cell r="H213">
            <v>1</v>
          </cell>
        </row>
        <row r="214">
          <cell r="B214" t="str">
            <v>201 2014 10 1211 00006</v>
          </cell>
          <cell r="C214">
            <v>2012014121100030</v>
          </cell>
          <cell r="D214">
            <v>5.4945054945054937E-2</v>
          </cell>
          <cell r="F214">
            <v>0.94505494505494503</v>
          </cell>
          <cell r="G214">
            <v>0</v>
          </cell>
          <cell r="H214">
            <v>1</v>
          </cell>
        </row>
        <row r="215">
          <cell r="B215" t="str">
            <v>201 2013 10 1211 00006</v>
          </cell>
          <cell r="C215">
            <v>2012013121100140</v>
          </cell>
          <cell r="D215">
            <v>5.8823529411764705E-2</v>
          </cell>
          <cell r="F215">
            <v>0.94117647058823528</v>
          </cell>
          <cell r="G215">
            <v>0</v>
          </cell>
          <cell r="H215">
            <v>1</v>
          </cell>
        </row>
        <row r="216">
          <cell r="B216" t="str">
            <v>203 2014 10 1211 00005</v>
          </cell>
          <cell r="C216">
            <v>2032014121100060</v>
          </cell>
          <cell r="D216">
            <v>5.4945054945054951E-2</v>
          </cell>
          <cell r="F216">
            <v>0.94505494505494503</v>
          </cell>
          <cell r="G216">
            <v>0</v>
          </cell>
          <cell r="H216">
            <v>1</v>
          </cell>
        </row>
        <row r="217">
          <cell r="B217" t="str">
            <v>115 2013 10 1211 00003</v>
          </cell>
          <cell r="C217">
            <v>1152014121100000</v>
          </cell>
          <cell r="D217">
            <v>0.41666666666666669</v>
          </cell>
          <cell r="F217">
            <v>0.58333333333333326</v>
          </cell>
          <cell r="G217">
            <v>0</v>
          </cell>
          <cell r="H217">
            <v>1</v>
          </cell>
        </row>
        <row r="218">
          <cell r="B218" t="str">
            <v>201 2014 10 1211 00006</v>
          </cell>
          <cell r="C218">
            <v>2012014121100090</v>
          </cell>
          <cell r="D218">
            <v>5.4945054945054937E-2</v>
          </cell>
          <cell r="F218">
            <v>0.94505494505494503</v>
          </cell>
          <cell r="G218">
            <v>0</v>
          </cell>
          <cell r="H218">
            <v>1</v>
          </cell>
        </row>
        <row r="219">
          <cell r="B219" t="str">
            <v>203 2013 10 1211 00009</v>
          </cell>
          <cell r="C219">
            <v>2032013121100010</v>
          </cell>
          <cell r="D219">
            <v>5.8823529411764712E-2</v>
          </cell>
          <cell r="F219">
            <v>0.94117647058823528</v>
          </cell>
          <cell r="G219">
            <v>0</v>
          </cell>
          <cell r="H219">
            <v>1</v>
          </cell>
        </row>
        <row r="220">
          <cell r="B220" t="str">
            <v>115 2013 10 1211 00001</v>
          </cell>
          <cell r="C220">
            <v>1152013121100000</v>
          </cell>
          <cell r="D220">
            <v>0.53776586864907761</v>
          </cell>
          <cell r="F220">
            <v>0.46223413135092239</v>
          </cell>
          <cell r="G220">
            <v>0</v>
          </cell>
          <cell r="H220">
            <v>1</v>
          </cell>
        </row>
        <row r="221">
          <cell r="B221" t="str">
            <v>201 2012 10 1211 00006</v>
          </cell>
          <cell r="C221">
            <v>2012012121100000</v>
          </cell>
          <cell r="D221">
            <v>7.2738201232028885E-2</v>
          </cell>
          <cell r="F221">
            <v>0.9272617987679711</v>
          </cell>
          <cell r="G221">
            <v>0</v>
          </cell>
          <cell r="H221">
            <v>1</v>
          </cell>
        </row>
        <row r="222">
          <cell r="B222" t="str">
            <v>201 2012 10 1212 00019</v>
          </cell>
          <cell r="C222">
            <v>2012012121200020</v>
          </cell>
          <cell r="D222">
            <v>0.34130538663927729</v>
          </cell>
          <cell r="F222">
            <v>0.65869461336072277</v>
          </cell>
          <cell r="G222">
            <v>0</v>
          </cell>
          <cell r="H222">
            <v>1</v>
          </cell>
        </row>
        <row r="223">
          <cell r="B223" t="str">
            <v>201 2014 10 1211 00006</v>
          </cell>
          <cell r="C223">
            <v>2012014121100050</v>
          </cell>
          <cell r="D223">
            <v>5.4945054945054937E-2</v>
          </cell>
          <cell r="F223">
            <v>0.94505494505494503</v>
          </cell>
          <cell r="G223">
            <v>0</v>
          </cell>
          <cell r="H223">
            <v>1</v>
          </cell>
        </row>
        <row r="224">
          <cell r="B224" t="str">
            <v>201 2014 10 1211 00006</v>
          </cell>
          <cell r="C224">
            <v>2012014121100130</v>
          </cell>
          <cell r="D224">
            <v>5.4945054945054937E-2</v>
          </cell>
          <cell r="F224">
            <v>0.94505494505494503</v>
          </cell>
          <cell r="G224">
            <v>0</v>
          </cell>
          <cell r="H224">
            <v>1</v>
          </cell>
        </row>
        <row r="225">
          <cell r="B225" t="str">
            <v>201 2013 10 1211 00006</v>
          </cell>
          <cell r="C225">
            <v>2012013121100180</v>
          </cell>
          <cell r="D225">
            <v>5.8823529411764705E-2</v>
          </cell>
          <cell r="F225">
            <v>0.94117647058823528</v>
          </cell>
          <cell r="G225">
            <v>0</v>
          </cell>
          <cell r="H225">
            <v>1</v>
          </cell>
        </row>
        <row r="226">
          <cell r="B226" t="str">
            <v>203 2013 10 1222 00003</v>
          </cell>
          <cell r="C226">
            <v>2032013122200000</v>
          </cell>
          <cell r="D226">
            <v>1</v>
          </cell>
          <cell r="F226">
            <v>0</v>
          </cell>
          <cell r="G226">
            <v>0</v>
          </cell>
          <cell r="H226">
            <v>1</v>
          </cell>
        </row>
        <row r="227">
          <cell r="B227" t="str">
            <v>201 2014 10 1212 00005</v>
          </cell>
          <cell r="C227">
            <v>2012014121200000</v>
          </cell>
          <cell r="D227">
            <v>0.15650289709462167</v>
          </cell>
          <cell r="F227">
            <v>0.84349710290537838</v>
          </cell>
          <cell r="G227">
            <v>0</v>
          </cell>
          <cell r="H227">
            <v>1</v>
          </cell>
        </row>
        <row r="228">
          <cell r="B228" t="str">
            <v>201 2013 10 1211 00006</v>
          </cell>
          <cell r="C228">
            <v>2012013121100050</v>
          </cell>
          <cell r="D228">
            <v>5.8823529411764705E-2</v>
          </cell>
          <cell r="F228">
            <v>0.94117647058823528</v>
          </cell>
          <cell r="G228">
            <v>0</v>
          </cell>
          <cell r="H228">
            <v>1</v>
          </cell>
        </row>
        <row r="229">
          <cell r="B229" t="str">
            <v>107 2005 10 1223 00017</v>
          </cell>
          <cell r="C229">
            <v>1072005122300000</v>
          </cell>
          <cell r="D229">
            <v>1</v>
          </cell>
          <cell r="F229">
            <v>0</v>
          </cell>
          <cell r="G229">
            <v>0</v>
          </cell>
          <cell r="H229">
            <v>1</v>
          </cell>
        </row>
        <row r="230">
          <cell r="B230" t="str">
            <v>201 2012 10 1211 00006</v>
          </cell>
          <cell r="C230">
            <v>2012012121100010</v>
          </cell>
          <cell r="D230">
            <v>7.2738201232028885E-2</v>
          </cell>
          <cell r="F230">
            <v>0.9272617987679711</v>
          </cell>
          <cell r="G230">
            <v>0</v>
          </cell>
          <cell r="H230">
            <v>1</v>
          </cell>
        </row>
        <row r="231">
          <cell r="B231" t="str">
            <v>201 2014 10 1211 00006</v>
          </cell>
          <cell r="C231">
            <v>2012014121100100</v>
          </cell>
          <cell r="D231">
            <v>5.4945054945054937E-2</v>
          </cell>
          <cell r="F231">
            <v>0.94505494505494503</v>
          </cell>
          <cell r="G231">
            <v>0</v>
          </cell>
          <cell r="H231">
            <v>1</v>
          </cell>
        </row>
        <row r="232">
          <cell r="B232" t="str">
            <v>201 2013 10 1211 00006</v>
          </cell>
          <cell r="C232">
            <v>2012013121100190</v>
          </cell>
          <cell r="D232">
            <v>5.8823529411764705E-2</v>
          </cell>
          <cell r="F232">
            <v>0.94117647058823528</v>
          </cell>
          <cell r="G232">
            <v>0</v>
          </cell>
          <cell r="H232">
            <v>1</v>
          </cell>
        </row>
        <row r="233">
          <cell r="B233" t="str">
            <v>203 2013 10 1212 00005</v>
          </cell>
          <cell r="C233">
            <v>2032013121200000</v>
          </cell>
          <cell r="D233">
            <v>6.3007606812346864E-2</v>
          </cell>
          <cell r="F233">
            <v>0.80649736719803988</v>
          </cell>
          <cell r="G233">
            <v>0.13049502598961327</v>
          </cell>
          <cell r="H233">
            <v>1</v>
          </cell>
        </row>
        <row r="234">
          <cell r="B234" t="str">
            <v>201 2014 10 1211 00006</v>
          </cell>
          <cell r="C234">
            <v>2012014121100060</v>
          </cell>
          <cell r="D234">
            <v>5.4945054945054937E-2</v>
          </cell>
          <cell r="F234">
            <v>0.94505494505494503</v>
          </cell>
          <cell r="G234">
            <v>0</v>
          </cell>
          <cell r="H234">
            <v>1</v>
          </cell>
        </row>
        <row r="235">
          <cell r="B235" t="str">
            <v>201 2013 10 1211 00006</v>
          </cell>
          <cell r="C235">
            <v>2012013121100180</v>
          </cell>
          <cell r="D235">
            <v>5.8823529411764705E-2</v>
          </cell>
          <cell r="F235">
            <v>0.94117647058823528</v>
          </cell>
          <cell r="G235">
            <v>0</v>
          </cell>
          <cell r="H235">
            <v>1</v>
          </cell>
        </row>
        <row r="236">
          <cell r="B236" t="str">
            <v>203 2013 10 1211 00009</v>
          </cell>
          <cell r="C236">
            <v>2032013121100050</v>
          </cell>
          <cell r="D236">
            <v>5.8823529411764712E-2</v>
          </cell>
          <cell r="F236">
            <v>0.94117647058823528</v>
          </cell>
          <cell r="G236">
            <v>0</v>
          </cell>
          <cell r="H236">
            <v>1</v>
          </cell>
        </row>
        <row r="237">
          <cell r="B237" t="str">
            <v>201 2013 10 1211 00006</v>
          </cell>
          <cell r="C237">
            <v>2012013121100040</v>
          </cell>
          <cell r="D237">
            <v>5.8823529411764705E-2</v>
          </cell>
          <cell r="F237">
            <v>0.94117647058823528</v>
          </cell>
          <cell r="G237">
            <v>0</v>
          </cell>
          <cell r="H237">
            <v>1</v>
          </cell>
        </row>
        <row r="238">
          <cell r="B238" t="str">
            <v>203 2014 10 1212 00003</v>
          </cell>
          <cell r="C238">
            <v>2032014121200030</v>
          </cell>
          <cell r="D238">
            <v>2.3934698565896376E-2</v>
          </cell>
          <cell r="F238">
            <v>0.41167681533341766</v>
          </cell>
          <cell r="G238">
            <v>0.56438848610068604</v>
          </cell>
          <cell r="H238">
            <v>1</v>
          </cell>
        </row>
        <row r="239">
          <cell r="B239" t="str">
            <v>201 2013 10 1211 00006</v>
          </cell>
          <cell r="C239">
            <v>2012013121100000</v>
          </cell>
          <cell r="D239">
            <v>5.8823529411764705E-2</v>
          </cell>
          <cell r="F239">
            <v>0.94117647058823528</v>
          </cell>
          <cell r="G239">
            <v>0</v>
          </cell>
          <cell r="H239">
            <v>1</v>
          </cell>
        </row>
        <row r="240">
          <cell r="B240" t="str">
            <v>203 2011 10 1212 00002</v>
          </cell>
          <cell r="C240">
            <v>2032011121200000</v>
          </cell>
          <cell r="D240">
            <v>0.29682374946065454</v>
          </cell>
          <cell r="F240">
            <v>0.70317625053934552</v>
          </cell>
          <cell r="G240">
            <v>0</v>
          </cell>
          <cell r="H240">
            <v>1</v>
          </cell>
        </row>
        <row r="241">
          <cell r="B241" t="str">
            <v>203 2012 10 1211 00009</v>
          </cell>
          <cell r="C241">
            <v>2032012121100040</v>
          </cell>
          <cell r="D241">
            <v>9.8039613804000364E-2</v>
          </cell>
          <cell r="F241">
            <v>0.90196038619599961</v>
          </cell>
          <cell r="G241">
            <v>0</v>
          </cell>
          <cell r="H241">
            <v>1</v>
          </cell>
        </row>
        <row r="242">
          <cell r="B242" t="str">
            <v>201 2013 10 1211 00006</v>
          </cell>
          <cell r="C242">
            <v>2012013121100110</v>
          </cell>
          <cell r="D242">
            <v>5.8823529411764705E-2</v>
          </cell>
          <cell r="F242">
            <v>0.94117647058823528</v>
          </cell>
          <cell r="G242">
            <v>0</v>
          </cell>
          <cell r="H242">
            <v>1</v>
          </cell>
        </row>
        <row r="243">
          <cell r="B243" t="str">
            <v>203 2013 10 1212 00004</v>
          </cell>
          <cell r="C243">
            <v>2032013121200020</v>
          </cell>
          <cell r="D243">
            <v>2.0206579462029521E-2</v>
          </cell>
          <cell r="F243">
            <v>0.32330527139247234</v>
          </cell>
          <cell r="G243">
            <v>0.65648814914549813</v>
          </cell>
          <cell r="H243">
            <v>1</v>
          </cell>
        </row>
        <row r="244">
          <cell r="B244" t="str">
            <v>203 2014 10 1212 00009</v>
          </cell>
          <cell r="C244">
            <v>2032014121200070</v>
          </cell>
          <cell r="D244">
            <v>5.9565902215354273E-2</v>
          </cell>
          <cell r="F244">
            <v>0.83392263101495978</v>
          </cell>
          <cell r="G244">
            <v>0.10651146676968593</v>
          </cell>
          <cell r="H244">
            <v>1</v>
          </cell>
        </row>
        <row r="245">
          <cell r="B245" t="str">
            <v>201 2014 10 1212 00006</v>
          </cell>
          <cell r="C245">
            <v>2012014121200000</v>
          </cell>
          <cell r="D245">
            <v>6.6666666666666666E-2</v>
          </cell>
          <cell r="F245">
            <v>0.93333333333333335</v>
          </cell>
          <cell r="G245">
            <v>0</v>
          </cell>
          <cell r="H245">
            <v>1</v>
          </cell>
        </row>
        <row r="246">
          <cell r="B246" t="str">
            <v>203 2014 10 1212 00003</v>
          </cell>
          <cell r="C246">
            <v>2032014121200000</v>
          </cell>
          <cell r="D246">
            <v>2.3934698565896376E-2</v>
          </cell>
          <cell r="F246">
            <v>0.41167681533341766</v>
          </cell>
          <cell r="G246">
            <v>0.56438848610068604</v>
          </cell>
          <cell r="H246">
            <v>1</v>
          </cell>
        </row>
        <row r="247">
          <cell r="B247" t="str">
            <v>115 2013 10 1211 00001</v>
          </cell>
          <cell r="C247">
            <v>1152013121100000</v>
          </cell>
          <cell r="D247">
            <v>0.53776586864907761</v>
          </cell>
          <cell r="F247">
            <v>0.46223413135092239</v>
          </cell>
          <cell r="G247">
            <v>0</v>
          </cell>
          <cell r="H247">
            <v>1</v>
          </cell>
        </row>
        <row r="248">
          <cell r="B248" t="str">
            <v>201 2013 10 1211 00006</v>
          </cell>
          <cell r="C248">
            <v>2012013121100050</v>
          </cell>
          <cell r="D248">
            <v>5.8823529411764705E-2</v>
          </cell>
          <cell r="F248">
            <v>0.94117647058823528</v>
          </cell>
          <cell r="G248">
            <v>0</v>
          </cell>
          <cell r="H248">
            <v>1</v>
          </cell>
        </row>
        <row r="249">
          <cell r="B249" t="str">
            <v>201 2013 10 1211 00006</v>
          </cell>
          <cell r="C249">
            <v>2012013121100180</v>
          </cell>
          <cell r="D249">
            <v>5.8823529411764705E-2</v>
          </cell>
          <cell r="F249">
            <v>0.94117647058823528</v>
          </cell>
          <cell r="G249">
            <v>0</v>
          </cell>
          <cell r="H249">
            <v>1</v>
          </cell>
        </row>
        <row r="250">
          <cell r="B250" t="str">
            <v>203 2014 10 1212 00003</v>
          </cell>
          <cell r="C250">
            <v>2032014121200010</v>
          </cell>
          <cell r="D250">
            <v>2.3934698565896376E-2</v>
          </cell>
          <cell r="F250">
            <v>0.41167681533341766</v>
          </cell>
          <cell r="G250">
            <v>0.56438848610068604</v>
          </cell>
          <cell r="H250">
            <v>1</v>
          </cell>
        </row>
        <row r="251">
          <cell r="B251" t="str">
            <v>201 2013 10 1211 00006</v>
          </cell>
          <cell r="C251">
            <v>2012013121100150</v>
          </cell>
          <cell r="D251">
            <v>5.8823529411764705E-2</v>
          </cell>
          <cell r="F251">
            <v>0.94117647058823528</v>
          </cell>
          <cell r="G251">
            <v>0</v>
          </cell>
          <cell r="H251">
            <v>1</v>
          </cell>
        </row>
        <row r="252">
          <cell r="B252" t="str">
            <v>201 2014 10 1211 00006</v>
          </cell>
          <cell r="C252">
            <v>2012014121100130</v>
          </cell>
          <cell r="D252">
            <v>5.4945054945054937E-2</v>
          </cell>
          <cell r="F252">
            <v>0.94505494505494503</v>
          </cell>
          <cell r="G252">
            <v>0</v>
          </cell>
          <cell r="H252">
            <v>1</v>
          </cell>
        </row>
        <row r="253">
          <cell r="B253" t="str">
            <v>203 2013 10 1211 00009</v>
          </cell>
          <cell r="C253">
            <v>2032013121100010</v>
          </cell>
          <cell r="D253">
            <v>5.8823529411764712E-2</v>
          </cell>
          <cell r="F253">
            <v>0.94117647058823528</v>
          </cell>
          <cell r="G253">
            <v>0</v>
          </cell>
          <cell r="H253">
            <v>1</v>
          </cell>
        </row>
        <row r="254">
          <cell r="B254" t="str">
            <v>203 2014 10 1211 00005</v>
          </cell>
          <cell r="C254">
            <v>2032014121100050</v>
          </cell>
          <cell r="D254">
            <v>5.4945054945054951E-2</v>
          </cell>
          <cell r="F254">
            <v>0.94505494505494503</v>
          </cell>
          <cell r="G254">
            <v>0</v>
          </cell>
          <cell r="H254">
            <v>1</v>
          </cell>
        </row>
        <row r="255">
          <cell r="B255" t="str">
            <v>201 2012 10 1222 00037</v>
          </cell>
          <cell r="C255">
            <v>2012013122200000</v>
          </cell>
          <cell r="D255">
            <v>1</v>
          </cell>
          <cell r="F255">
            <v>0</v>
          </cell>
          <cell r="G255">
            <v>0</v>
          </cell>
          <cell r="H255">
            <v>1</v>
          </cell>
        </row>
        <row r="256">
          <cell r="B256" t="str">
            <v>201 2013 10 1211 00006</v>
          </cell>
          <cell r="C256">
            <v>2012013121100090</v>
          </cell>
          <cell r="D256">
            <v>5.8823529411764705E-2</v>
          </cell>
          <cell r="F256">
            <v>0.94117647058823528</v>
          </cell>
          <cell r="G256">
            <v>0</v>
          </cell>
          <cell r="H256">
            <v>1</v>
          </cell>
        </row>
        <row r="257">
          <cell r="B257" t="str">
            <v>203 2013 10 1212 00002</v>
          </cell>
          <cell r="C257">
            <v>2032013121200050</v>
          </cell>
          <cell r="D257">
            <v>1</v>
          </cell>
          <cell r="F257">
            <v>0</v>
          </cell>
          <cell r="G257">
            <v>0</v>
          </cell>
          <cell r="H257">
            <v>1</v>
          </cell>
        </row>
        <row r="258">
          <cell r="B258" t="str">
            <v>203 2013 10 1211 00009</v>
          </cell>
          <cell r="C258">
            <v>2032013121100100</v>
          </cell>
          <cell r="D258">
            <v>5.8823529411764712E-2</v>
          </cell>
          <cell r="F258">
            <v>0.94117647058823528</v>
          </cell>
          <cell r="G258">
            <v>0</v>
          </cell>
          <cell r="H258">
            <v>1</v>
          </cell>
        </row>
        <row r="259">
          <cell r="B259" t="str">
            <v>201 2014 10 1211 00006</v>
          </cell>
          <cell r="C259">
            <v>2012014121100080</v>
          </cell>
          <cell r="D259">
            <v>5.4945054945054937E-2</v>
          </cell>
          <cell r="F259">
            <v>0.94505494505494503</v>
          </cell>
          <cell r="G259">
            <v>0</v>
          </cell>
          <cell r="H259">
            <v>1</v>
          </cell>
        </row>
        <row r="260">
          <cell r="B260" t="str">
            <v>201 2013 10 1211 00006</v>
          </cell>
          <cell r="C260">
            <v>2012013121100160</v>
          </cell>
          <cell r="D260">
            <v>5.8823529411764705E-2</v>
          </cell>
          <cell r="F260">
            <v>0.94117647058823528</v>
          </cell>
          <cell r="G260">
            <v>0</v>
          </cell>
          <cell r="H260">
            <v>1</v>
          </cell>
        </row>
        <row r="261">
          <cell r="B261" t="str">
            <v>201 2013 10 1211 00006</v>
          </cell>
          <cell r="C261">
            <v>2012013121100030</v>
          </cell>
          <cell r="D261">
            <v>5.8823529411764705E-2</v>
          </cell>
          <cell r="F261">
            <v>0.94117647058823528</v>
          </cell>
          <cell r="G261">
            <v>0</v>
          </cell>
          <cell r="H261">
            <v>1</v>
          </cell>
        </row>
        <row r="262">
          <cell r="B262" t="str">
            <v>201 2013 10 1211 00006</v>
          </cell>
          <cell r="C262">
            <v>2012013121100120</v>
          </cell>
          <cell r="D262">
            <v>5.8823529411764705E-2</v>
          </cell>
          <cell r="F262">
            <v>0.94117647058823528</v>
          </cell>
          <cell r="G262">
            <v>0</v>
          </cell>
          <cell r="H262">
            <v>1</v>
          </cell>
        </row>
        <row r="263">
          <cell r="B263" t="str">
            <v>203 2014 10 1211 00005</v>
          </cell>
          <cell r="C263">
            <v>2032014121100030</v>
          </cell>
          <cell r="D263">
            <v>5.4945054945054951E-2</v>
          </cell>
          <cell r="F263">
            <v>0.94505494505494503</v>
          </cell>
          <cell r="G263">
            <v>0</v>
          </cell>
          <cell r="H263">
            <v>1</v>
          </cell>
        </row>
        <row r="264">
          <cell r="B264" t="str">
            <v>203 2014 10 1212 00009</v>
          </cell>
          <cell r="C264">
            <v>2032014121200070</v>
          </cell>
          <cell r="D264">
            <v>5.9565902215354273E-2</v>
          </cell>
          <cell r="F264">
            <v>0.83392263101495978</v>
          </cell>
          <cell r="G264">
            <v>0.10651146676968593</v>
          </cell>
          <cell r="H264">
            <v>1</v>
          </cell>
        </row>
        <row r="265">
          <cell r="B265" t="str">
            <v>201 2014 10 1211 00006</v>
          </cell>
          <cell r="C265">
            <v>2012014121100000</v>
          </cell>
          <cell r="D265">
            <v>5.4945054945054937E-2</v>
          </cell>
          <cell r="F265">
            <v>0.94505494505494503</v>
          </cell>
          <cell r="G265">
            <v>0</v>
          </cell>
          <cell r="H265">
            <v>1</v>
          </cell>
        </row>
        <row r="266">
          <cell r="B266" t="str">
            <v>201 2014 10 1212 00010</v>
          </cell>
          <cell r="C266">
            <v>2012014121200010</v>
          </cell>
          <cell r="D266">
            <v>0.11718494688808323</v>
          </cell>
          <cell r="F266">
            <v>0.88281505311191677</v>
          </cell>
          <cell r="G266">
            <v>0</v>
          </cell>
          <cell r="H266">
            <v>1</v>
          </cell>
        </row>
        <row r="267">
          <cell r="B267" t="str">
            <v>201 2013 10 1211 00006</v>
          </cell>
          <cell r="C267">
            <v>2012013121100150</v>
          </cell>
          <cell r="D267">
            <v>5.8823529411764705E-2</v>
          </cell>
          <cell r="F267">
            <v>0.94117647058823528</v>
          </cell>
          <cell r="G267">
            <v>0</v>
          </cell>
          <cell r="H267">
            <v>1</v>
          </cell>
        </row>
        <row r="268">
          <cell r="B268" t="str">
            <v>201 2013 10 1211 00006</v>
          </cell>
          <cell r="C268">
            <v>2012013121100200</v>
          </cell>
          <cell r="D268">
            <v>5.8823529411764705E-2</v>
          </cell>
          <cell r="F268">
            <v>0.94117647058823528</v>
          </cell>
          <cell r="G268">
            <v>0</v>
          </cell>
          <cell r="H268">
            <v>1</v>
          </cell>
        </row>
        <row r="269">
          <cell r="B269" t="str">
            <v>202 2012 10 1212 00007</v>
          </cell>
          <cell r="C269">
            <v>2022013121200000</v>
          </cell>
          <cell r="D269">
            <v>0.82781456953642385</v>
          </cell>
          <cell r="F269">
            <v>0.17218543046357615</v>
          </cell>
          <cell r="G269">
            <v>0</v>
          </cell>
          <cell r="H269">
            <v>1</v>
          </cell>
        </row>
        <row r="270">
          <cell r="B270" t="str">
            <v>203 2013 10 1211 00009</v>
          </cell>
          <cell r="C270">
            <v>2032013121100120</v>
          </cell>
          <cell r="D270">
            <v>5.8823529411764712E-2</v>
          </cell>
          <cell r="F270">
            <v>0.94117647058823528</v>
          </cell>
          <cell r="G270">
            <v>0</v>
          </cell>
          <cell r="H270">
            <v>1</v>
          </cell>
        </row>
        <row r="271">
          <cell r="B271" t="str">
            <v>201 2014 10 1211 00006</v>
          </cell>
          <cell r="C271">
            <v>2012014121100010</v>
          </cell>
          <cell r="D271">
            <v>5.4945054945054937E-2</v>
          </cell>
          <cell r="F271">
            <v>0.94505494505494503</v>
          </cell>
          <cell r="G271">
            <v>0</v>
          </cell>
          <cell r="H271">
            <v>1</v>
          </cell>
        </row>
        <row r="272">
          <cell r="B272" t="str">
            <v>201 2013 10 1211 00006</v>
          </cell>
          <cell r="C272">
            <v>2012013121100080</v>
          </cell>
          <cell r="D272">
            <v>5.8823529411764705E-2</v>
          </cell>
          <cell r="F272">
            <v>0.94117647058823528</v>
          </cell>
          <cell r="G272">
            <v>0</v>
          </cell>
          <cell r="H272">
            <v>1</v>
          </cell>
        </row>
        <row r="273">
          <cell r="B273" t="str">
            <v>203 2013 10 1212 00002</v>
          </cell>
          <cell r="C273">
            <v>2032013121200000</v>
          </cell>
          <cell r="D273">
            <v>1</v>
          </cell>
          <cell r="F273">
            <v>0</v>
          </cell>
          <cell r="G273">
            <v>0</v>
          </cell>
          <cell r="H273">
            <v>1</v>
          </cell>
        </row>
        <row r="274">
          <cell r="B274" t="str">
            <v>203 2013 10 1211 00009</v>
          </cell>
          <cell r="C274">
            <v>2032013121100040</v>
          </cell>
          <cell r="D274">
            <v>5.8823529411764712E-2</v>
          </cell>
          <cell r="F274">
            <v>0.94117647058823528</v>
          </cell>
          <cell r="G274">
            <v>0</v>
          </cell>
          <cell r="H274">
            <v>1</v>
          </cell>
        </row>
        <row r="275">
          <cell r="B275" t="str">
            <v>203 2014 10 1211 00005</v>
          </cell>
          <cell r="C275">
            <v>2032014121100080</v>
          </cell>
          <cell r="D275">
            <v>5.4945054945054951E-2</v>
          </cell>
          <cell r="F275">
            <v>0.94505494505494503</v>
          </cell>
          <cell r="G275">
            <v>0</v>
          </cell>
          <cell r="H275">
            <v>1</v>
          </cell>
        </row>
        <row r="276">
          <cell r="B276" t="str">
            <v>203 2014 10 1212 00011</v>
          </cell>
          <cell r="C276">
            <v>2032014121200030</v>
          </cell>
          <cell r="D276">
            <v>0.2155046172804585</v>
          </cell>
          <cell r="F276">
            <v>0.78449538271954156</v>
          </cell>
          <cell r="G276">
            <v>0</v>
          </cell>
          <cell r="H276">
            <v>1</v>
          </cell>
        </row>
        <row r="277">
          <cell r="B277" t="str">
            <v>201 2013 10 1212 00004</v>
          </cell>
          <cell r="C277">
            <v>2012013121200010</v>
          </cell>
          <cell r="D277">
            <v>7.2463768115942032E-2</v>
          </cell>
          <cell r="F277">
            <v>0.92753623188405798</v>
          </cell>
          <cell r="G277">
            <v>0</v>
          </cell>
          <cell r="H277">
            <v>1</v>
          </cell>
        </row>
        <row r="278">
          <cell r="B278" t="str">
            <v>203 2014 10 1211 00005</v>
          </cell>
          <cell r="C278">
            <v>2032014121100040</v>
          </cell>
          <cell r="D278">
            <v>5.4945054945054951E-2</v>
          </cell>
          <cell r="F278">
            <v>0.94505494505494503</v>
          </cell>
          <cell r="G278">
            <v>0</v>
          </cell>
          <cell r="H278">
            <v>1</v>
          </cell>
        </row>
        <row r="279">
          <cell r="B279" t="str">
            <v>203 2014 10 1212 00003</v>
          </cell>
          <cell r="C279">
            <v>2032014121200080</v>
          </cell>
          <cell r="D279">
            <v>2.3934698565896376E-2</v>
          </cell>
          <cell r="F279">
            <v>0.41167681533341766</v>
          </cell>
          <cell r="G279">
            <v>0.56438848610068604</v>
          </cell>
          <cell r="H279">
            <v>1</v>
          </cell>
        </row>
        <row r="280">
          <cell r="B280" t="str">
            <v>201 2013 10 1211 00006</v>
          </cell>
          <cell r="C280">
            <v>2012013121100210</v>
          </cell>
          <cell r="D280">
            <v>5.8823529411764705E-2</v>
          </cell>
          <cell r="F280">
            <v>0.94117647058823528</v>
          </cell>
          <cell r="G280">
            <v>0</v>
          </cell>
          <cell r="H280">
            <v>1</v>
          </cell>
        </row>
        <row r="281">
          <cell r="B281" t="str">
            <v>201 2012 10 1211 00006</v>
          </cell>
          <cell r="C281">
            <v>2012012121100020</v>
          </cell>
          <cell r="D281">
            <v>7.2738201232028885E-2</v>
          </cell>
          <cell r="F281">
            <v>0.9272617987679711</v>
          </cell>
          <cell r="G281">
            <v>0</v>
          </cell>
          <cell r="H281">
            <v>1</v>
          </cell>
        </row>
        <row r="282">
          <cell r="B282" t="str">
            <v>203 2013 10 1211 00009</v>
          </cell>
          <cell r="C282">
            <v>2032013121100040</v>
          </cell>
          <cell r="D282">
            <v>5.8823529411764712E-2</v>
          </cell>
          <cell r="F282">
            <v>0.94117647058823528</v>
          </cell>
          <cell r="G282">
            <v>0</v>
          </cell>
          <cell r="H282">
            <v>1</v>
          </cell>
        </row>
        <row r="283">
          <cell r="B283" t="str">
            <v>203 2014 10 1211 00005</v>
          </cell>
          <cell r="C283">
            <v>2032014121100090</v>
          </cell>
          <cell r="D283">
            <v>5.4945054945054951E-2</v>
          </cell>
          <cell r="F283">
            <v>0.94505494505494503</v>
          </cell>
          <cell r="G283">
            <v>0</v>
          </cell>
          <cell r="H283">
            <v>1</v>
          </cell>
        </row>
        <row r="284">
          <cell r="B284" t="str">
            <v>201 2014 10 1211 00006</v>
          </cell>
          <cell r="C284">
            <v>2012014121100010</v>
          </cell>
          <cell r="D284">
            <v>5.4945054945054937E-2</v>
          </cell>
          <cell r="F284">
            <v>0.94505494505494503</v>
          </cell>
          <cell r="G284">
            <v>0</v>
          </cell>
          <cell r="H284">
            <v>1</v>
          </cell>
        </row>
        <row r="285">
          <cell r="B285" t="str">
            <v>201 2013 10 1211 00006</v>
          </cell>
          <cell r="C285">
            <v>2012013121100070</v>
          </cell>
          <cell r="D285">
            <v>5.8823529411764705E-2</v>
          </cell>
          <cell r="F285">
            <v>0.94117647058823528</v>
          </cell>
          <cell r="G285">
            <v>0</v>
          </cell>
          <cell r="H285">
            <v>1</v>
          </cell>
        </row>
        <row r="286">
          <cell r="B286" t="str">
            <v>201 2014 10 1211 00006</v>
          </cell>
          <cell r="C286">
            <v>2012014121100080</v>
          </cell>
          <cell r="D286">
            <v>5.4945054945054937E-2</v>
          </cell>
          <cell r="F286">
            <v>0.94505494505494503</v>
          </cell>
          <cell r="G286">
            <v>0</v>
          </cell>
          <cell r="H286">
            <v>1</v>
          </cell>
        </row>
        <row r="287">
          <cell r="B287" t="str">
            <v>203 2014 10 1211 00005</v>
          </cell>
          <cell r="C287">
            <v>2032014121100010</v>
          </cell>
          <cell r="D287">
            <v>5.4945054945054951E-2</v>
          </cell>
          <cell r="F287">
            <v>0.94505494505494503</v>
          </cell>
          <cell r="G287">
            <v>0</v>
          </cell>
          <cell r="H287">
            <v>1</v>
          </cell>
        </row>
        <row r="288">
          <cell r="B288" t="str">
            <v>200 2004 10 1211   00001</v>
          </cell>
          <cell r="C288">
            <v>2032011121100000</v>
          </cell>
          <cell r="D288">
            <v>0.589449</v>
          </cell>
          <cell r="E288">
            <v>0</v>
          </cell>
          <cell r="F288">
            <v>0.41055100000000005</v>
          </cell>
          <cell r="G288">
            <v>0</v>
          </cell>
          <cell r="H288">
            <v>1</v>
          </cell>
        </row>
        <row r="289">
          <cell r="B289" t="str">
            <v>203 2014 10 1212 00010</v>
          </cell>
          <cell r="C289">
            <v>2032014121200050</v>
          </cell>
          <cell r="D289">
            <v>7.1108383038868087E-2</v>
          </cell>
          <cell r="F289">
            <v>0.92889161696113187</v>
          </cell>
          <cell r="G289">
            <v>0</v>
          </cell>
          <cell r="H289">
            <v>1</v>
          </cell>
        </row>
        <row r="290">
          <cell r="B290" t="str">
            <v>202 2013 61 1212 00015</v>
          </cell>
          <cell r="C290">
            <v>2022013121200000</v>
          </cell>
          <cell r="D290">
            <v>7.386615452799529E-2</v>
          </cell>
          <cell r="F290">
            <v>0.92613384547200472</v>
          </cell>
          <cell r="G290">
            <v>0</v>
          </cell>
          <cell r="H290">
            <v>1</v>
          </cell>
        </row>
        <row r="291">
          <cell r="B291" t="str">
            <v>203 2014 10 1212 00010</v>
          </cell>
          <cell r="C291">
            <v>2032014121200060</v>
          </cell>
          <cell r="D291">
            <v>7.1108383038868087E-2</v>
          </cell>
          <cell r="F291">
            <v>0.92889161696113187</v>
          </cell>
          <cell r="G291">
            <v>0</v>
          </cell>
          <cell r="H291">
            <v>1</v>
          </cell>
        </row>
        <row r="292">
          <cell r="B292" t="str">
            <v>203 2013 10 1211 00003</v>
          </cell>
          <cell r="C292">
            <v>2032013121100000</v>
          </cell>
          <cell r="D292">
            <v>0.28239389219784183</v>
          </cell>
          <cell r="F292">
            <v>0.71760610780215817</v>
          </cell>
          <cell r="G292">
            <v>0</v>
          </cell>
          <cell r="H292">
            <v>1</v>
          </cell>
        </row>
        <row r="293">
          <cell r="B293" t="str">
            <v>201 2013 10 1222 00076</v>
          </cell>
          <cell r="C293">
            <v>2012013122200000</v>
          </cell>
          <cell r="D293">
            <v>1</v>
          </cell>
          <cell r="F293">
            <v>0</v>
          </cell>
          <cell r="G293">
            <v>0</v>
          </cell>
          <cell r="H293">
            <v>1</v>
          </cell>
        </row>
        <row r="294">
          <cell r="B294" t="str">
            <v>201 2014 10 1211 00006</v>
          </cell>
          <cell r="C294">
            <v>2012014121100020</v>
          </cell>
          <cell r="D294">
            <v>5.4945054945054937E-2</v>
          </cell>
          <cell r="F294">
            <v>0.94505494505494503</v>
          </cell>
          <cell r="G294">
            <v>0</v>
          </cell>
          <cell r="H294">
            <v>1</v>
          </cell>
        </row>
        <row r="295">
          <cell r="B295" t="str">
            <v>201 2014 10 1211 00006</v>
          </cell>
          <cell r="C295">
            <v>2012014121100090</v>
          </cell>
          <cell r="D295">
            <v>5.4945054945054937E-2</v>
          </cell>
          <cell r="F295">
            <v>0.94505494505494503</v>
          </cell>
          <cell r="G295">
            <v>0</v>
          </cell>
          <cell r="H295">
            <v>1</v>
          </cell>
        </row>
        <row r="296">
          <cell r="B296" t="str">
            <v>203 2014 10 1212 00009</v>
          </cell>
          <cell r="C296">
            <v>2032014121200090</v>
          </cell>
          <cell r="D296">
            <v>5.9565902215354273E-2</v>
          </cell>
          <cell r="F296">
            <v>0.83392263101495978</v>
          </cell>
          <cell r="G296">
            <v>0.10651146676968593</v>
          </cell>
          <cell r="H296">
            <v>1</v>
          </cell>
        </row>
        <row r="297">
          <cell r="B297" t="str">
            <v>201 2012 10 1211 00006</v>
          </cell>
          <cell r="C297">
            <v>2012012121100010</v>
          </cell>
          <cell r="D297">
            <v>7.2738201232028885E-2</v>
          </cell>
          <cell r="F297">
            <v>0.9272617987679711</v>
          </cell>
          <cell r="G297">
            <v>0</v>
          </cell>
          <cell r="H297">
            <v>1</v>
          </cell>
        </row>
        <row r="298">
          <cell r="B298" t="str">
            <v>202 2010 60 1211   00012</v>
          </cell>
          <cell r="C298">
            <v>2022010121100000</v>
          </cell>
          <cell r="D298">
            <v>0.15465926721054996</v>
          </cell>
          <cell r="E298">
            <v>4.2267036639472504E-2</v>
          </cell>
          <cell r="F298">
            <v>0.80307369614997748</v>
          </cell>
          <cell r="G298">
            <v>0</v>
          </cell>
          <cell r="H298">
            <v>1</v>
          </cell>
        </row>
        <row r="299">
          <cell r="B299" t="str">
            <v>203 2014 10 1212 00003</v>
          </cell>
          <cell r="C299">
            <v>2032014121200000</v>
          </cell>
          <cell r="D299">
            <v>2.3934698565896376E-2</v>
          </cell>
          <cell r="F299">
            <v>0.41167681533341766</v>
          </cell>
          <cell r="G299">
            <v>0.56438848610068604</v>
          </cell>
          <cell r="H299">
            <v>1</v>
          </cell>
        </row>
        <row r="300">
          <cell r="B300" t="str">
            <v>201 2013 10 1211 00006</v>
          </cell>
          <cell r="C300">
            <v>2012013121100100</v>
          </cell>
          <cell r="D300">
            <v>5.8823529411764705E-2</v>
          </cell>
          <cell r="F300">
            <v>0.94117647058823528</v>
          </cell>
          <cell r="G300">
            <v>0</v>
          </cell>
          <cell r="H300">
            <v>1</v>
          </cell>
        </row>
        <row r="301">
          <cell r="B301" t="str">
            <v>115 2013 10 1211 00003</v>
          </cell>
          <cell r="C301">
            <v>1152013121100000</v>
          </cell>
          <cell r="D301">
            <v>0.41666666666666669</v>
          </cell>
          <cell r="F301">
            <v>0.58333333333333326</v>
          </cell>
          <cell r="G301">
            <v>0</v>
          </cell>
          <cell r="H301">
            <v>1</v>
          </cell>
        </row>
        <row r="302">
          <cell r="B302" t="str">
            <v>201 2014 10 1211 00006</v>
          </cell>
          <cell r="C302">
            <v>2012014121100010</v>
          </cell>
          <cell r="D302">
            <v>5.4945054945054937E-2</v>
          </cell>
          <cell r="F302">
            <v>0.94505494505494503</v>
          </cell>
          <cell r="G302">
            <v>0</v>
          </cell>
          <cell r="H302">
            <v>1</v>
          </cell>
        </row>
        <row r="303">
          <cell r="B303" t="str">
            <v>201 2014 10 1211 00006</v>
          </cell>
          <cell r="C303">
            <v>2012014121100050</v>
          </cell>
          <cell r="D303">
            <v>5.4945054945054937E-2</v>
          </cell>
          <cell r="F303">
            <v>0.94505494505494503</v>
          </cell>
          <cell r="G303">
            <v>0</v>
          </cell>
          <cell r="H303">
            <v>1</v>
          </cell>
        </row>
        <row r="304">
          <cell r="B304" t="str">
            <v>201 2014 10 1211 00006</v>
          </cell>
          <cell r="C304">
            <v>2012014121100090</v>
          </cell>
          <cell r="D304">
            <v>5.4945054945054937E-2</v>
          </cell>
          <cell r="F304">
            <v>0.94505494505494503</v>
          </cell>
          <cell r="G304">
            <v>0</v>
          </cell>
          <cell r="H304">
            <v>1</v>
          </cell>
        </row>
        <row r="305">
          <cell r="B305" t="str">
            <v>203 2012 10 1212 00004</v>
          </cell>
          <cell r="C305">
            <v>2032012121200030</v>
          </cell>
          <cell r="D305">
            <v>0.10190846484248681</v>
          </cell>
          <cell r="F305">
            <v>0.89809153515751317</v>
          </cell>
          <cell r="G305">
            <v>0</v>
          </cell>
          <cell r="H305">
            <v>1</v>
          </cell>
        </row>
        <row r="306">
          <cell r="B306" t="str">
            <v>203 2014 10 1211 00005</v>
          </cell>
          <cell r="C306">
            <v>2032014121100000</v>
          </cell>
          <cell r="D306">
            <v>5.4945054945054951E-2</v>
          </cell>
          <cell r="F306">
            <v>0.94505494505494503</v>
          </cell>
          <cell r="G306">
            <v>0</v>
          </cell>
          <cell r="H306">
            <v>1</v>
          </cell>
        </row>
        <row r="307">
          <cell r="B307" t="str">
            <v>203 2013 10 1211 00009</v>
          </cell>
          <cell r="C307">
            <v>2032013121100060</v>
          </cell>
          <cell r="D307">
            <v>5.8823529411764712E-2</v>
          </cell>
          <cell r="F307">
            <v>0.94117647058823528</v>
          </cell>
          <cell r="G307">
            <v>0</v>
          </cell>
          <cell r="H307">
            <v>1</v>
          </cell>
        </row>
        <row r="308">
          <cell r="B308" t="str">
            <v>203 2013 10 1211 00009</v>
          </cell>
          <cell r="C308">
            <v>2032013121100120</v>
          </cell>
          <cell r="D308">
            <v>5.8823529411764712E-2</v>
          </cell>
          <cell r="F308">
            <v>0.94117647058823528</v>
          </cell>
          <cell r="G308">
            <v>0</v>
          </cell>
          <cell r="H308">
            <v>1</v>
          </cell>
        </row>
        <row r="309">
          <cell r="B309" t="str">
            <v>201 2013 10 1211 00006</v>
          </cell>
          <cell r="C309">
            <v>2012013121100070</v>
          </cell>
          <cell r="D309">
            <v>5.8823529411764705E-2</v>
          </cell>
          <cell r="F309">
            <v>0.94117647058823528</v>
          </cell>
          <cell r="G309">
            <v>0</v>
          </cell>
          <cell r="H309">
            <v>1</v>
          </cell>
        </row>
        <row r="310">
          <cell r="B310" t="str">
            <v>203 2014 10 1211 00005</v>
          </cell>
          <cell r="C310">
            <v>2032014121100030</v>
          </cell>
          <cell r="D310">
            <v>5.4945054945054951E-2</v>
          </cell>
          <cell r="F310">
            <v>0.94505494505494503</v>
          </cell>
          <cell r="G310">
            <v>0</v>
          </cell>
          <cell r="H310">
            <v>1</v>
          </cell>
        </row>
        <row r="311">
          <cell r="B311" t="str">
            <v>203 2013 10 1212 00005</v>
          </cell>
          <cell r="C311">
            <v>2032013121200010</v>
          </cell>
          <cell r="D311">
            <v>6.3007606812346864E-2</v>
          </cell>
          <cell r="F311">
            <v>0.80649736719803988</v>
          </cell>
          <cell r="G311">
            <v>0.13049502598961327</v>
          </cell>
          <cell r="H311">
            <v>1</v>
          </cell>
        </row>
        <row r="312">
          <cell r="B312" t="str">
            <v>201 2014 10 1211 00006</v>
          </cell>
          <cell r="C312">
            <v>2012014121100130</v>
          </cell>
          <cell r="D312">
            <v>5.4945054945054937E-2</v>
          </cell>
          <cell r="F312">
            <v>0.94505494505494503</v>
          </cell>
          <cell r="G312">
            <v>0</v>
          </cell>
          <cell r="H312">
            <v>1</v>
          </cell>
        </row>
        <row r="313">
          <cell r="B313" t="str">
            <v>203 2014 10 1212 00009</v>
          </cell>
          <cell r="C313">
            <v>2032014121200090</v>
          </cell>
          <cell r="D313">
            <v>5.9565902215354273E-2</v>
          </cell>
          <cell r="F313">
            <v>0.83392263101495978</v>
          </cell>
          <cell r="G313">
            <v>0.10651146676968593</v>
          </cell>
          <cell r="H313">
            <v>1</v>
          </cell>
        </row>
        <row r="314">
          <cell r="B314" t="str">
            <v>201 2012 10 1212 00004</v>
          </cell>
          <cell r="C314">
            <v>2012012121200000</v>
          </cell>
          <cell r="D314">
            <v>0.10605654604331205</v>
          </cell>
          <cell r="F314">
            <v>0.89394345395668795</v>
          </cell>
          <cell r="G314">
            <v>0</v>
          </cell>
          <cell r="H314">
            <v>1</v>
          </cell>
        </row>
        <row r="315">
          <cell r="B315" t="str">
            <v>201 2014 10 1211 00006</v>
          </cell>
          <cell r="C315">
            <v>2012014121100120</v>
          </cell>
          <cell r="D315">
            <v>5.4945054945054937E-2</v>
          </cell>
          <cell r="F315">
            <v>0.94505494505494503</v>
          </cell>
          <cell r="G315">
            <v>0</v>
          </cell>
          <cell r="H315">
            <v>1</v>
          </cell>
        </row>
        <row r="316">
          <cell r="B316" t="str">
            <v>203 2013 10 1212 00006</v>
          </cell>
          <cell r="C316">
            <v>2032013121200010</v>
          </cell>
          <cell r="D316">
            <v>1</v>
          </cell>
          <cell r="F316">
            <v>0</v>
          </cell>
          <cell r="G316">
            <v>0</v>
          </cell>
          <cell r="H316">
            <v>1</v>
          </cell>
        </row>
        <row r="317">
          <cell r="B317" t="str">
            <v>201 2013 10 1212 00007</v>
          </cell>
          <cell r="C317">
            <v>2012013121200020</v>
          </cell>
          <cell r="D317">
            <v>0.28996487511877078</v>
          </cell>
          <cell r="F317">
            <v>0.71003512488122922</v>
          </cell>
          <cell r="G317">
            <v>0</v>
          </cell>
          <cell r="H317">
            <v>1</v>
          </cell>
        </row>
        <row r="318">
          <cell r="B318" t="str">
            <v>203 2013 10 1211 00009</v>
          </cell>
          <cell r="C318">
            <v>2032013121100050</v>
          </cell>
          <cell r="D318">
            <v>5.8823529411764712E-2</v>
          </cell>
          <cell r="F318">
            <v>0.94117647058823528</v>
          </cell>
          <cell r="G318">
            <v>0</v>
          </cell>
          <cell r="H318">
            <v>1</v>
          </cell>
        </row>
        <row r="319">
          <cell r="B319" t="str">
            <v>201 2012 10 1211 00006</v>
          </cell>
          <cell r="C319">
            <v>2012012121100010</v>
          </cell>
          <cell r="D319">
            <v>7.2738201232028885E-2</v>
          </cell>
          <cell r="F319">
            <v>0.9272617987679711</v>
          </cell>
          <cell r="G319">
            <v>0</v>
          </cell>
          <cell r="H319">
            <v>1</v>
          </cell>
        </row>
        <row r="320">
          <cell r="B320" t="str">
            <v>201 2014 10 1211 00006</v>
          </cell>
          <cell r="C320">
            <v>2012014121100030</v>
          </cell>
          <cell r="D320">
            <v>5.4945054945054937E-2</v>
          </cell>
          <cell r="F320">
            <v>0.94505494505494503</v>
          </cell>
          <cell r="G320">
            <v>0</v>
          </cell>
          <cell r="H320">
            <v>1</v>
          </cell>
        </row>
        <row r="321">
          <cell r="B321" t="str">
            <v>202 2013 60 1212 00011</v>
          </cell>
          <cell r="C321">
            <v>2022013121200000</v>
          </cell>
          <cell r="D321">
            <v>0.13375397424521215</v>
          </cell>
          <cell r="F321">
            <v>0.86624602575478782</v>
          </cell>
          <cell r="G321">
            <v>0</v>
          </cell>
          <cell r="H321">
            <v>1</v>
          </cell>
        </row>
        <row r="322">
          <cell r="B322" t="str">
            <v>203 2014 10 1212 00009</v>
          </cell>
          <cell r="C322">
            <v>2032014121200020</v>
          </cell>
          <cell r="D322">
            <v>5.9565902215354273E-2</v>
          </cell>
          <cell r="F322">
            <v>0.83392263101495978</v>
          </cell>
          <cell r="G322">
            <v>0.10651146676968593</v>
          </cell>
          <cell r="H322">
            <v>1</v>
          </cell>
        </row>
        <row r="323">
          <cell r="B323" t="str">
            <v>203 2013 10 1212 00005</v>
          </cell>
          <cell r="C323">
            <v>2032013121200050</v>
          </cell>
          <cell r="D323">
            <v>6.3007606812346864E-2</v>
          </cell>
          <cell r="F323">
            <v>0.80649736719803988</v>
          </cell>
          <cell r="G323">
            <v>0.13049502598961327</v>
          </cell>
          <cell r="H323">
            <v>1</v>
          </cell>
        </row>
        <row r="324">
          <cell r="B324" t="str">
            <v>203 2013 10 1211 00009</v>
          </cell>
          <cell r="C324">
            <v>2032013121100110</v>
          </cell>
          <cell r="D324">
            <v>5.8823529411764712E-2</v>
          </cell>
          <cell r="F324">
            <v>0.94117647058823528</v>
          </cell>
          <cell r="G324">
            <v>0</v>
          </cell>
          <cell r="H324">
            <v>1</v>
          </cell>
        </row>
        <row r="325">
          <cell r="B325" t="str">
            <v>201 2014 10 1211 00006</v>
          </cell>
          <cell r="C325">
            <v>2012014121100000</v>
          </cell>
          <cell r="D325">
            <v>5.4945054945054937E-2</v>
          </cell>
          <cell r="F325">
            <v>0.94505494505494503</v>
          </cell>
          <cell r="G325">
            <v>0</v>
          </cell>
          <cell r="H325">
            <v>1</v>
          </cell>
        </row>
        <row r="326">
          <cell r="B326" t="str">
            <v>201 2013 10 1212 00004</v>
          </cell>
          <cell r="C326">
            <v>2012013121200030</v>
          </cell>
          <cell r="D326">
            <v>7.2463768115942032E-2</v>
          </cell>
          <cell r="F326">
            <v>0.92753623188405798</v>
          </cell>
          <cell r="G326">
            <v>0</v>
          </cell>
          <cell r="H326">
            <v>1</v>
          </cell>
        </row>
        <row r="327">
          <cell r="B327" t="str">
            <v>201 2014 10 1211 00006</v>
          </cell>
          <cell r="C327">
            <v>2012014121100070</v>
          </cell>
          <cell r="D327">
            <v>5.4945054945054937E-2</v>
          </cell>
          <cell r="F327">
            <v>0.94505494505494503</v>
          </cell>
          <cell r="G327">
            <v>0</v>
          </cell>
          <cell r="H327">
            <v>1</v>
          </cell>
        </row>
        <row r="328">
          <cell r="B328" t="str">
            <v>201 2013 10 1211 00006</v>
          </cell>
          <cell r="C328">
            <v>2012013121100160</v>
          </cell>
          <cell r="D328">
            <v>5.8823529411764705E-2</v>
          </cell>
          <cell r="F328">
            <v>0.94117647058823528</v>
          </cell>
          <cell r="G328">
            <v>0</v>
          </cell>
          <cell r="H328">
            <v>1</v>
          </cell>
        </row>
        <row r="329">
          <cell r="B329" t="str">
            <v>201 2013 10 1211 00006</v>
          </cell>
          <cell r="C329">
            <v>2012013121100210</v>
          </cell>
          <cell r="D329">
            <v>5.8823529411764705E-2</v>
          </cell>
          <cell r="F329">
            <v>0.94117647058823528</v>
          </cell>
          <cell r="G329">
            <v>0</v>
          </cell>
          <cell r="H329">
            <v>1</v>
          </cell>
        </row>
        <row r="330">
          <cell r="B330" t="str">
            <v>203 2013 10 1211 00003</v>
          </cell>
          <cell r="C330">
            <v>2032013121100000</v>
          </cell>
          <cell r="D330">
            <v>0.28239389219784183</v>
          </cell>
          <cell r="F330">
            <v>0.71760610780215817</v>
          </cell>
          <cell r="G330">
            <v>0</v>
          </cell>
          <cell r="H330">
            <v>1</v>
          </cell>
        </row>
        <row r="331">
          <cell r="B331" t="str">
            <v>203 2014 10 1211 00005</v>
          </cell>
          <cell r="C331">
            <v>2032014121100010</v>
          </cell>
          <cell r="D331">
            <v>5.4945054945054951E-2</v>
          </cell>
          <cell r="F331">
            <v>0.94505494505494503</v>
          </cell>
          <cell r="G331">
            <v>0</v>
          </cell>
          <cell r="H331">
            <v>1</v>
          </cell>
        </row>
        <row r="332">
          <cell r="B332" t="str">
            <v>115 2014 60 1211 00005</v>
          </cell>
          <cell r="C332">
            <v>1152014121100000</v>
          </cell>
          <cell r="D332">
            <v>0.5494505494505495</v>
          </cell>
          <cell r="F332">
            <v>0.4505494505494505</v>
          </cell>
          <cell r="G332">
            <v>0</v>
          </cell>
          <cell r="H332">
            <v>1</v>
          </cell>
        </row>
        <row r="333">
          <cell r="B333" t="str">
            <v>201 2013 10 1211 00006</v>
          </cell>
          <cell r="C333">
            <v>2012013121100000</v>
          </cell>
          <cell r="D333">
            <v>5.8823529411764705E-2</v>
          </cell>
          <cell r="F333">
            <v>0.94117647058823528</v>
          </cell>
          <cell r="G333">
            <v>0</v>
          </cell>
          <cell r="H333">
            <v>1</v>
          </cell>
        </row>
        <row r="334">
          <cell r="B334" t="str">
            <v>203 2013 10 1212 00004</v>
          </cell>
          <cell r="C334">
            <v>2032013121200050</v>
          </cell>
          <cell r="D334">
            <v>2.0206579462029521E-2</v>
          </cell>
          <cell r="F334">
            <v>0.32330527139247234</v>
          </cell>
          <cell r="G334">
            <v>0.65648814914549813</v>
          </cell>
          <cell r="H334">
            <v>1</v>
          </cell>
        </row>
        <row r="335">
          <cell r="B335" t="str">
            <v>203 2014 10 1211 00006</v>
          </cell>
          <cell r="C335">
            <v>2032014121100090</v>
          </cell>
          <cell r="D335">
            <v>0.28239389219784183</v>
          </cell>
          <cell r="F335">
            <v>0.71760610780215817</v>
          </cell>
          <cell r="G335">
            <v>0</v>
          </cell>
          <cell r="H335">
            <v>1</v>
          </cell>
        </row>
        <row r="336">
          <cell r="B336" t="str">
            <v>201 2013 10 1211 00006</v>
          </cell>
          <cell r="C336">
            <v>2012013121100150</v>
          </cell>
          <cell r="D336">
            <v>5.8823529411764705E-2</v>
          </cell>
          <cell r="F336">
            <v>0.94117647058823528</v>
          </cell>
          <cell r="G336">
            <v>0</v>
          </cell>
          <cell r="H336">
            <v>1</v>
          </cell>
        </row>
        <row r="337">
          <cell r="B337" t="str">
            <v>201 2013 10 1211 00006</v>
          </cell>
          <cell r="C337">
            <v>2012013121100200</v>
          </cell>
          <cell r="D337">
            <v>5.8823529411764705E-2</v>
          </cell>
          <cell r="F337">
            <v>0.94117647058823528</v>
          </cell>
          <cell r="G337">
            <v>0</v>
          </cell>
          <cell r="H337">
            <v>1</v>
          </cell>
        </row>
        <row r="338">
          <cell r="B338" t="str">
            <v>203 2014 10 1211 00005</v>
          </cell>
          <cell r="C338">
            <v>2032014121100030</v>
          </cell>
          <cell r="D338">
            <v>5.4945054945054951E-2</v>
          </cell>
          <cell r="F338">
            <v>0.94505494505494503</v>
          </cell>
          <cell r="G338">
            <v>0</v>
          </cell>
          <cell r="H338">
            <v>1</v>
          </cell>
        </row>
        <row r="339">
          <cell r="B339" t="str">
            <v>201 2010 10 1222 00012</v>
          </cell>
          <cell r="C339">
            <v>2012010122200000</v>
          </cell>
          <cell r="D339">
            <v>1</v>
          </cell>
          <cell r="F339">
            <v>0</v>
          </cell>
          <cell r="G339">
            <v>0</v>
          </cell>
          <cell r="H339">
            <v>1</v>
          </cell>
        </row>
        <row r="340">
          <cell r="B340" t="str">
            <v>201 2014 10 1212 00001</v>
          </cell>
          <cell r="C340">
            <v>2012014121200020</v>
          </cell>
          <cell r="D340">
            <v>0.10469937364651317</v>
          </cell>
          <cell r="F340">
            <v>0.89530062635348684</v>
          </cell>
          <cell r="G340">
            <v>0</v>
          </cell>
          <cell r="H340">
            <v>1</v>
          </cell>
        </row>
        <row r="341">
          <cell r="B341" t="str">
            <v>201 2013 10 1211 00006</v>
          </cell>
          <cell r="C341">
            <v>2012013121100130</v>
          </cell>
          <cell r="D341">
            <v>5.8823529411764705E-2</v>
          </cell>
          <cell r="F341">
            <v>0.94117647058823528</v>
          </cell>
          <cell r="G341">
            <v>0</v>
          </cell>
          <cell r="H341">
            <v>1</v>
          </cell>
        </row>
        <row r="342">
          <cell r="B342" t="str">
            <v>201 2013 10 1211 00006</v>
          </cell>
          <cell r="C342">
            <v>2012013121100180</v>
          </cell>
          <cell r="D342">
            <v>5.8823529411764705E-2</v>
          </cell>
          <cell r="F342">
            <v>0.94117647058823528</v>
          </cell>
          <cell r="G342">
            <v>0</v>
          </cell>
          <cell r="H342">
            <v>1</v>
          </cell>
        </row>
        <row r="343">
          <cell r="B343" t="str">
            <v>203 2013 10 1211 00009</v>
          </cell>
          <cell r="C343">
            <v>2032013121100050</v>
          </cell>
          <cell r="D343">
            <v>5.8823529411764712E-2</v>
          </cell>
          <cell r="F343">
            <v>0.94117647058823528</v>
          </cell>
          <cell r="G343">
            <v>0</v>
          </cell>
          <cell r="H343">
            <v>1</v>
          </cell>
        </row>
        <row r="344">
          <cell r="B344" t="str">
            <v>203 2011 10 1212 00002</v>
          </cell>
          <cell r="C344">
            <v>2032011121200000</v>
          </cell>
          <cell r="D344">
            <v>0.29682374946065454</v>
          </cell>
          <cell r="F344">
            <v>0.70317625053934552</v>
          </cell>
          <cell r="G344">
            <v>0</v>
          </cell>
          <cell r="H344">
            <v>1</v>
          </cell>
        </row>
        <row r="345">
          <cell r="B345" t="str">
            <v>203 2014 10 1211 00005</v>
          </cell>
          <cell r="C345">
            <v>2032014121100060</v>
          </cell>
          <cell r="D345">
            <v>5.4945054945054951E-2</v>
          </cell>
          <cell r="F345">
            <v>0.94505494505494503</v>
          </cell>
          <cell r="G345">
            <v>0</v>
          </cell>
          <cell r="H345">
            <v>1</v>
          </cell>
        </row>
        <row r="346">
          <cell r="B346" t="str">
            <v>201 2014 10 1211 00006</v>
          </cell>
          <cell r="C346">
            <v>2012014121100110</v>
          </cell>
          <cell r="D346">
            <v>5.4945054945054937E-2</v>
          </cell>
          <cell r="F346">
            <v>0.94505494505494503</v>
          </cell>
          <cell r="G346">
            <v>0</v>
          </cell>
          <cell r="H346">
            <v>1</v>
          </cell>
        </row>
        <row r="347">
          <cell r="B347" t="str">
            <v>201 2012 10 1222 00027</v>
          </cell>
          <cell r="C347">
            <v>2012012122200000</v>
          </cell>
          <cell r="D347">
            <v>1</v>
          </cell>
          <cell r="F347">
            <v>0</v>
          </cell>
          <cell r="G347">
            <v>0</v>
          </cell>
          <cell r="H347">
            <v>1</v>
          </cell>
        </row>
        <row r="348">
          <cell r="B348" t="str">
            <v>201 2014 10 1211 00006</v>
          </cell>
          <cell r="C348">
            <v>2012014121100030</v>
          </cell>
          <cell r="D348">
            <v>5.4945054945054937E-2</v>
          </cell>
          <cell r="F348">
            <v>0.94505494505494503</v>
          </cell>
          <cell r="G348">
            <v>0</v>
          </cell>
          <cell r="H348">
            <v>1</v>
          </cell>
        </row>
        <row r="349">
          <cell r="B349" t="str">
            <v>201 2014 10 1211 00006</v>
          </cell>
          <cell r="C349">
            <v>2012014121100120</v>
          </cell>
          <cell r="D349">
            <v>5.4945054945054937E-2</v>
          </cell>
          <cell r="F349">
            <v>0.94505494505494503</v>
          </cell>
          <cell r="G349">
            <v>0</v>
          </cell>
          <cell r="H349">
            <v>1</v>
          </cell>
        </row>
        <row r="350">
          <cell r="B350" t="str">
            <v>203 2012 10 1211 00010</v>
          </cell>
          <cell r="C350">
            <v>2032012121100030</v>
          </cell>
          <cell r="D350">
            <v>5.8823999999999994E-2</v>
          </cell>
          <cell r="F350">
            <v>0.94117600000000001</v>
          </cell>
          <cell r="G350">
            <v>0</v>
          </cell>
          <cell r="H350">
            <v>1</v>
          </cell>
        </row>
        <row r="351">
          <cell r="B351" t="str">
            <v>203 2014 10 1212 00003</v>
          </cell>
          <cell r="C351">
            <v>2032014121200010</v>
          </cell>
          <cell r="D351">
            <v>2.3934698565896376E-2</v>
          </cell>
          <cell r="F351">
            <v>0.41167681533341766</v>
          </cell>
          <cell r="G351">
            <v>0.56438848610068604</v>
          </cell>
          <cell r="H351">
            <v>1</v>
          </cell>
        </row>
        <row r="352">
          <cell r="B352" t="str">
            <v>203 2014 10 1211 00005</v>
          </cell>
          <cell r="C352">
            <v>2032014121100040</v>
          </cell>
          <cell r="D352">
            <v>5.4945054945054951E-2</v>
          </cell>
          <cell r="F352">
            <v>0.94505494505494503</v>
          </cell>
          <cell r="G352">
            <v>0</v>
          </cell>
          <cell r="H352">
            <v>1</v>
          </cell>
        </row>
        <row r="353">
          <cell r="B353" t="str">
            <v>201 2013 10 1212 00007</v>
          </cell>
          <cell r="C353">
            <v>2012013121200030</v>
          </cell>
          <cell r="D353">
            <v>0.28996487511877078</v>
          </cell>
          <cell r="F353">
            <v>0.71003512488122922</v>
          </cell>
          <cell r="G353">
            <v>0</v>
          </cell>
          <cell r="H353">
            <v>1</v>
          </cell>
        </row>
        <row r="354">
          <cell r="B354" t="str">
            <v>203 2008 10 1211 00005</v>
          </cell>
          <cell r="C354">
            <v>2032009121100000</v>
          </cell>
          <cell r="D354">
            <v>7.4214000000000002E-2</v>
          </cell>
          <cell r="E354">
            <v>9.2600000000000002E-2</v>
          </cell>
          <cell r="F354">
            <v>0.83318599999999998</v>
          </cell>
          <cell r="G354">
            <v>0</v>
          </cell>
          <cell r="H354">
            <v>1</v>
          </cell>
        </row>
        <row r="355">
          <cell r="B355" t="str">
            <v>203 2013 10 1212 00004</v>
          </cell>
          <cell r="C355">
            <v>2032013121200030</v>
          </cell>
          <cell r="D355">
            <v>2.0206579462029521E-2</v>
          </cell>
          <cell r="F355">
            <v>0.32330527139247234</v>
          </cell>
          <cell r="G355">
            <v>0.65648814914549813</v>
          </cell>
          <cell r="H355">
            <v>1</v>
          </cell>
        </row>
        <row r="356">
          <cell r="B356" t="str">
            <v>201 2013 10 1211 00006</v>
          </cell>
          <cell r="C356">
            <v>2012013121100130</v>
          </cell>
          <cell r="D356">
            <v>5.8823529411764705E-2</v>
          </cell>
          <cell r="F356">
            <v>0.94117647058823528</v>
          </cell>
          <cell r="G356">
            <v>0</v>
          </cell>
          <cell r="H356">
            <v>1</v>
          </cell>
        </row>
        <row r="357">
          <cell r="B357" t="str">
            <v>201 2012 10 1212 00004</v>
          </cell>
          <cell r="C357">
            <v>2012012121200010</v>
          </cell>
          <cell r="D357">
            <v>0.10605654604331205</v>
          </cell>
          <cell r="F357">
            <v>0.89394345395668795</v>
          </cell>
          <cell r="G357">
            <v>0</v>
          </cell>
          <cell r="H357">
            <v>1</v>
          </cell>
        </row>
        <row r="358">
          <cell r="B358" t="str">
            <v>201 2013 10 1211 00006</v>
          </cell>
          <cell r="C358">
            <v>2012013121100100</v>
          </cell>
          <cell r="D358">
            <v>5.8823529411764705E-2</v>
          </cell>
          <cell r="F358">
            <v>0.94117647058823528</v>
          </cell>
          <cell r="G358">
            <v>0</v>
          </cell>
          <cell r="H358">
            <v>1</v>
          </cell>
        </row>
        <row r="359">
          <cell r="B359" t="str">
            <v>201 2013 10 1211 00006</v>
          </cell>
          <cell r="C359">
            <v>2012013121100150</v>
          </cell>
          <cell r="D359">
            <v>5.8823529411764705E-2</v>
          </cell>
          <cell r="F359">
            <v>0.94117647058823528</v>
          </cell>
          <cell r="G359">
            <v>0</v>
          </cell>
          <cell r="H359">
            <v>1</v>
          </cell>
        </row>
        <row r="360">
          <cell r="B360" t="str">
            <v>202 2013 60 1211 00002</v>
          </cell>
          <cell r="C360">
            <v>2022013121100000</v>
          </cell>
          <cell r="D360">
            <v>1</v>
          </cell>
          <cell r="F360">
            <v>0</v>
          </cell>
          <cell r="G360">
            <v>0</v>
          </cell>
          <cell r="H360">
            <v>1</v>
          </cell>
        </row>
        <row r="361">
          <cell r="B361" t="str">
            <v>203 2014 10 1211 00005</v>
          </cell>
          <cell r="C361">
            <v>2032014121100050</v>
          </cell>
          <cell r="D361">
            <v>5.4945054945054951E-2</v>
          </cell>
          <cell r="F361">
            <v>0.94505494505494503</v>
          </cell>
          <cell r="G361">
            <v>0</v>
          </cell>
          <cell r="H361">
            <v>1</v>
          </cell>
        </row>
        <row r="362">
          <cell r="B362" t="str">
            <v>202 2012 10 1222 00009</v>
          </cell>
          <cell r="C362">
            <v>2022013122200000</v>
          </cell>
          <cell r="D362">
            <v>1</v>
          </cell>
          <cell r="F362">
            <v>0</v>
          </cell>
          <cell r="G362">
            <v>0</v>
          </cell>
          <cell r="H362">
            <v>1</v>
          </cell>
        </row>
        <row r="363">
          <cell r="B363" t="str">
            <v>203 2014 10 1211 00005</v>
          </cell>
          <cell r="C363">
            <v>2032014121100050</v>
          </cell>
          <cell r="D363">
            <v>5.4945054945054951E-2</v>
          </cell>
          <cell r="F363">
            <v>0.94505494505494503</v>
          </cell>
          <cell r="G363">
            <v>0</v>
          </cell>
          <cell r="H363">
            <v>1</v>
          </cell>
        </row>
        <row r="364">
          <cell r="B364" t="str">
            <v>115 2013 10 1211 00003</v>
          </cell>
          <cell r="C364">
            <v>1152013121100000</v>
          </cell>
          <cell r="D364">
            <v>0.41666666666666669</v>
          </cell>
          <cell r="F364">
            <v>0.58333333333333326</v>
          </cell>
          <cell r="G364">
            <v>0</v>
          </cell>
          <cell r="H364">
            <v>1</v>
          </cell>
        </row>
        <row r="365">
          <cell r="B365" t="str">
            <v>201 2014 10 1211 00006</v>
          </cell>
          <cell r="C365">
            <v>2012014121100000</v>
          </cell>
          <cell r="D365">
            <v>5.4945054945054937E-2</v>
          </cell>
          <cell r="F365">
            <v>0.94505494505494503</v>
          </cell>
          <cell r="G365">
            <v>0</v>
          </cell>
          <cell r="H365">
            <v>1</v>
          </cell>
        </row>
        <row r="366">
          <cell r="B366" t="str">
            <v>201 2014 10 1212 00001</v>
          </cell>
          <cell r="C366">
            <v>2012014121200010</v>
          </cell>
          <cell r="D366">
            <v>0.10469937364651317</v>
          </cell>
          <cell r="F366">
            <v>0.89530062635348684</v>
          </cell>
          <cell r="G366">
            <v>0</v>
          </cell>
          <cell r="H366">
            <v>1</v>
          </cell>
        </row>
        <row r="367">
          <cell r="B367" t="str">
            <v>201 2014 10 1211 00006</v>
          </cell>
          <cell r="C367">
            <v>2012014121100000</v>
          </cell>
          <cell r="D367">
            <v>5.4945054945054937E-2</v>
          </cell>
          <cell r="F367">
            <v>0.94505494505494503</v>
          </cell>
          <cell r="G367">
            <v>0</v>
          </cell>
          <cell r="H367">
            <v>1</v>
          </cell>
        </row>
        <row r="368">
          <cell r="B368" t="str">
            <v>201 2013 10 1211 00006</v>
          </cell>
          <cell r="C368">
            <v>2012013121100040</v>
          </cell>
          <cell r="D368">
            <v>5.8823529411764705E-2</v>
          </cell>
          <cell r="F368">
            <v>0.94117647058823528</v>
          </cell>
          <cell r="G368">
            <v>0</v>
          </cell>
          <cell r="H368">
            <v>1</v>
          </cell>
        </row>
        <row r="369">
          <cell r="B369" t="str">
            <v>201 2013 10 1211 00006</v>
          </cell>
          <cell r="C369">
            <v>2012013121100110</v>
          </cell>
          <cell r="D369">
            <v>5.8823529411764705E-2</v>
          </cell>
          <cell r="F369">
            <v>0.94117647058823528</v>
          </cell>
          <cell r="G369">
            <v>0</v>
          </cell>
          <cell r="H369">
            <v>1</v>
          </cell>
        </row>
        <row r="370">
          <cell r="B370" t="str">
            <v>203 2013 10 1224 00002</v>
          </cell>
          <cell r="C370">
            <v>2032013122400000</v>
          </cell>
          <cell r="D370">
            <v>1</v>
          </cell>
          <cell r="F370">
            <v>0</v>
          </cell>
          <cell r="G370">
            <v>0</v>
          </cell>
          <cell r="H370">
            <v>1</v>
          </cell>
        </row>
        <row r="371">
          <cell r="B371" t="str">
            <v>203 2014 10 1212 00003</v>
          </cell>
          <cell r="C371">
            <v>2032014121200010</v>
          </cell>
          <cell r="D371">
            <v>2.3934698565896376E-2</v>
          </cell>
          <cell r="F371">
            <v>0.41167681533341766</v>
          </cell>
          <cell r="G371">
            <v>0.56438848610068604</v>
          </cell>
          <cell r="H371">
            <v>1</v>
          </cell>
        </row>
        <row r="372">
          <cell r="B372" t="str">
            <v>203 2014 10 1212 00009</v>
          </cell>
          <cell r="C372">
            <v>2032014121200070</v>
          </cell>
          <cell r="D372">
            <v>5.9565902215354273E-2</v>
          </cell>
          <cell r="F372">
            <v>0.83392263101495978</v>
          </cell>
          <cell r="G372">
            <v>0.10651146676968593</v>
          </cell>
          <cell r="H372">
            <v>1</v>
          </cell>
        </row>
        <row r="373">
          <cell r="B373" t="str">
            <v>203 2014 10 1212 00009</v>
          </cell>
          <cell r="C373">
            <v>2032014121200030</v>
          </cell>
          <cell r="D373">
            <v>5.9565902215354273E-2</v>
          </cell>
          <cell r="F373">
            <v>0.83392263101495978</v>
          </cell>
          <cell r="G373">
            <v>0.10651146676968593</v>
          </cell>
          <cell r="H373">
            <v>1</v>
          </cell>
        </row>
        <row r="374">
          <cell r="B374" t="str">
            <v>203 2008 10 1211 00005</v>
          </cell>
          <cell r="C374">
            <v>2032008121100070</v>
          </cell>
          <cell r="D374">
            <v>7.5208000000000011E-2</v>
          </cell>
          <cell r="E374">
            <v>9.2478999999999992E-2</v>
          </cell>
          <cell r="F374">
            <v>0.83231299999999997</v>
          </cell>
          <cell r="G374">
            <v>0</v>
          </cell>
          <cell r="H374">
            <v>1</v>
          </cell>
        </row>
        <row r="375">
          <cell r="B375" t="str">
            <v>203 2013 10 1211 00006</v>
          </cell>
          <cell r="C375">
            <v>2032013121100000</v>
          </cell>
          <cell r="D375">
            <v>0.2098339255043955</v>
          </cell>
          <cell r="F375">
            <v>0.7901660744956045</v>
          </cell>
          <cell r="G375">
            <v>0</v>
          </cell>
          <cell r="H375">
            <v>1</v>
          </cell>
        </row>
        <row r="376">
          <cell r="B376" t="str">
            <v>203 2013 10 1211 00009</v>
          </cell>
          <cell r="C376">
            <v>2032013121100070</v>
          </cell>
          <cell r="D376">
            <v>5.8823529411764712E-2</v>
          </cell>
          <cell r="F376">
            <v>0.94117647058823528</v>
          </cell>
          <cell r="G376">
            <v>0</v>
          </cell>
          <cell r="H376">
            <v>1</v>
          </cell>
        </row>
        <row r="377">
          <cell r="B377" t="str">
            <v>203 2013 10 1211 00009</v>
          </cell>
          <cell r="C377">
            <v>2032013121100130</v>
          </cell>
          <cell r="D377">
            <v>5.8823529411764712E-2</v>
          </cell>
          <cell r="F377">
            <v>0.94117647058823528</v>
          </cell>
          <cell r="G377">
            <v>0</v>
          </cell>
          <cell r="H377">
            <v>1</v>
          </cell>
        </row>
        <row r="378">
          <cell r="B378" t="str">
            <v>201 2013 10 1222 00071</v>
          </cell>
          <cell r="C378">
            <v>2012014122200000</v>
          </cell>
          <cell r="D378">
            <v>1</v>
          </cell>
          <cell r="F378">
            <v>0</v>
          </cell>
          <cell r="G378">
            <v>0</v>
          </cell>
          <cell r="H378">
            <v>1</v>
          </cell>
        </row>
        <row r="379">
          <cell r="B379" t="str">
            <v>201 2014 10 1211 00006</v>
          </cell>
          <cell r="C379">
            <v>2012014121100040</v>
          </cell>
          <cell r="D379">
            <v>5.4945054945054937E-2</v>
          </cell>
          <cell r="F379">
            <v>0.94505494505494503</v>
          </cell>
          <cell r="G379">
            <v>0</v>
          </cell>
          <cell r="H379">
            <v>1</v>
          </cell>
        </row>
        <row r="380">
          <cell r="B380" t="str">
            <v>201 2014 10 1211 00006</v>
          </cell>
          <cell r="C380">
            <v>2012014121100110</v>
          </cell>
          <cell r="D380">
            <v>5.4945054945054937E-2</v>
          </cell>
          <cell r="F380">
            <v>0.94505494505494503</v>
          </cell>
          <cell r="G380">
            <v>0</v>
          </cell>
          <cell r="H380">
            <v>1</v>
          </cell>
        </row>
        <row r="381">
          <cell r="B381" t="str">
            <v>201 2014 10 1224 00011</v>
          </cell>
          <cell r="C381">
            <v>2012014122400000</v>
          </cell>
          <cell r="D381">
            <v>1</v>
          </cell>
          <cell r="F381">
            <v>0</v>
          </cell>
          <cell r="G381">
            <v>0</v>
          </cell>
          <cell r="H381">
            <v>1</v>
          </cell>
        </row>
        <row r="382">
          <cell r="B382" t="str">
            <v>203 2013 10 1212 00001</v>
          </cell>
          <cell r="C382">
            <v>2032013121200040</v>
          </cell>
          <cell r="D382">
            <v>0.46548974499959167</v>
          </cell>
          <cell r="F382">
            <v>0.53451025500040839</v>
          </cell>
          <cell r="G382">
            <v>0</v>
          </cell>
          <cell r="H382">
            <v>1</v>
          </cell>
        </row>
        <row r="383">
          <cell r="B383" t="str">
            <v>203 2014 10 1211 00005</v>
          </cell>
          <cell r="C383">
            <v>2032014121100080</v>
          </cell>
          <cell r="D383">
            <v>5.4945054945054951E-2</v>
          </cell>
          <cell r="F383">
            <v>0.94505494505494503</v>
          </cell>
          <cell r="G383">
            <v>0</v>
          </cell>
          <cell r="H383">
            <v>1</v>
          </cell>
        </row>
        <row r="384">
          <cell r="B384" t="str">
            <v>201 2014 10 1211 00006</v>
          </cell>
          <cell r="C384">
            <v>2012014121100130</v>
          </cell>
          <cell r="D384">
            <v>5.4945054945054937E-2</v>
          </cell>
          <cell r="F384">
            <v>0.94505494505494503</v>
          </cell>
          <cell r="G384">
            <v>0</v>
          </cell>
          <cell r="H384">
            <v>1</v>
          </cell>
        </row>
        <row r="385">
          <cell r="B385" t="str">
            <v>202 2013 10 1221 00002</v>
          </cell>
          <cell r="C385">
            <v>2022013122100000</v>
          </cell>
          <cell r="D385">
            <v>0.3104433130510369</v>
          </cell>
          <cell r="F385">
            <v>0.6895566869489631</v>
          </cell>
          <cell r="G385">
            <v>0</v>
          </cell>
          <cell r="H385">
            <v>1</v>
          </cell>
        </row>
        <row r="386">
          <cell r="B386" t="str">
            <v>201 2011 10 1222 00005</v>
          </cell>
          <cell r="C386">
            <v>2012011122200000</v>
          </cell>
          <cell r="D386">
            <v>1</v>
          </cell>
          <cell r="F386">
            <v>0</v>
          </cell>
          <cell r="G386">
            <v>0</v>
          </cell>
          <cell r="H386">
            <v>1</v>
          </cell>
        </row>
        <row r="387">
          <cell r="B387" t="str">
            <v>201 2012 10 1212 00004</v>
          </cell>
          <cell r="C387">
            <v>2012012121200010</v>
          </cell>
          <cell r="D387">
            <v>0.10605654604331205</v>
          </cell>
          <cell r="F387">
            <v>0.89394345395668795</v>
          </cell>
          <cell r="G387">
            <v>0</v>
          </cell>
          <cell r="H387">
            <v>1</v>
          </cell>
        </row>
        <row r="388">
          <cell r="B388" t="str">
            <v>201 2013 10 1211 00006</v>
          </cell>
          <cell r="C388">
            <v>2012013121100070</v>
          </cell>
          <cell r="D388">
            <v>5.8823529411764705E-2</v>
          </cell>
          <cell r="F388">
            <v>0.94117647058823528</v>
          </cell>
          <cell r="G388">
            <v>0</v>
          </cell>
          <cell r="H388">
            <v>1</v>
          </cell>
        </row>
        <row r="389">
          <cell r="B389" t="str">
            <v>201 2013 10 1222 00070</v>
          </cell>
          <cell r="C389">
            <v>2012014122200000</v>
          </cell>
          <cell r="D389">
            <v>1</v>
          </cell>
          <cell r="F389">
            <v>0</v>
          </cell>
          <cell r="G389">
            <v>0</v>
          </cell>
          <cell r="H389">
            <v>1</v>
          </cell>
        </row>
        <row r="390">
          <cell r="B390" t="str">
            <v>201 2013 10 1211 00006</v>
          </cell>
          <cell r="C390">
            <v>2012013121100080</v>
          </cell>
          <cell r="D390">
            <v>5.8823529411764705E-2</v>
          </cell>
          <cell r="F390">
            <v>0.94117647058823528</v>
          </cell>
          <cell r="G390">
            <v>0</v>
          </cell>
          <cell r="H390">
            <v>1</v>
          </cell>
        </row>
        <row r="391">
          <cell r="B391" t="str">
            <v>201 2013 10 1211 00006</v>
          </cell>
          <cell r="C391">
            <v>2012013121100120</v>
          </cell>
          <cell r="D391">
            <v>5.8823529411764705E-2</v>
          </cell>
          <cell r="F391">
            <v>0.94117647058823528</v>
          </cell>
          <cell r="G391">
            <v>0</v>
          </cell>
          <cell r="H391">
            <v>1</v>
          </cell>
        </row>
        <row r="392">
          <cell r="B392" t="str">
            <v>202 2013 10 1224 00018</v>
          </cell>
          <cell r="C392">
            <v>2022014122400000</v>
          </cell>
          <cell r="D392">
            <v>1</v>
          </cell>
          <cell r="F392">
            <v>0</v>
          </cell>
          <cell r="G392">
            <v>0</v>
          </cell>
          <cell r="H392">
            <v>1</v>
          </cell>
        </row>
        <row r="393">
          <cell r="B393" t="str">
            <v>203 2013 10 1211 00009</v>
          </cell>
          <cell r="C393">
            <v>2032013121100010</v>
          </cell>
          <cell r="D393">
            <v>5.8823529411764712E-2</v>
          </cell>
          <cell r="F393">
            <v>0.94117647058823528</v>
          </cell>
          <cell r="G393">
            <v>0</v>
          </cell>
          <cell r="H393">
            <v>1</v>
          </cell>
        </row>
        <row r="394">
          <cell r="B394" t="str">
            <v>203 2013 10 1212 00005</v>
          </cell>
          <cell r="C394">
            <v>2032013121200060</v>
          </cell>
          <cell r="D394">
            <v>6.3007606812346864E-2</v>
          </cell>
          <cell r="F394">
            <v>0.80649736719803988</v>
          </cell>
          <cell r="G394">
            <v>0.13049502598961327</v>
          </cell>
          <cell r="H394">
            <v>1</v>
          </cell>
        </row>
        <row r="395">
          <cell r="B395" t="str">
            <v>203 2014 10 1212 00003</v>
          </cell>
          <cell r="C395">
            <v>2032014121200030</v>
          </cell>
          <cell r="D395">
            <v>2.3934698565896376E-2</v>
          </cell>
          <cell r="F395">
            <v>0.41167681533341766</v>
          </cell>
          <cell r="G395">
            <v>0.56438848610068604</v>
          </cell>
          <cell r="H395">
            <v>1</v>
          </cell>
        </row>
        <row r="396">
          <cell r="B396" t="str">
            <v>203 2014 10 1211 00005</v>
          </cell>
          <cell r="C396">
            <v>2032014121100070</v>
          </cell>
          <cell r="D396">
            <v>5.4945054945054951E-2</v>
          </cell>
          <cell r="F396">
            <v>0.94505494505494503</v>
          </cell>
          <cell r="G396">
            <v>0</v>
          </cell>
          <cell r="H396">
            <v>1</v>
          </cell>
        </row>
        <row r="397">
          <cell r="B397" t="str">
            <v>201 2014 10 1211 00006</v>
          </cell>
          <cell r="C397">
            <v>2012014121100040</v>
          </cell>
          <cell r="D397">
            <v>5.4945054945054937E-2</v>
          </cell>
          <cell r="F397">
            <v>0.94505494505494503</v>
          </cell>
          <cell r="G397">
            <v>0</v>
          </cell>
          <cell r="H397">
            <v>1</v>
          </cell>
        </row>
        <row r="398">
          <cell r="B398" t="str">
            <v>201 2013 10 1212 00008</v>
          </cell>
          <cell r="C398">
            <v>2012013121200040</v>
          </cell>
          <cell r="D398">
            <v>0.14448030983548066</v>
          </cell>
          <cell r="F398">
            <v>0.85551969016451934</v>
          </cell>
          <cell r="G398">
            <v>0</v>
          </cell>
          <cell r="H398">
            <v>1</v>
          </cell>
        </row>
        <row r="399">
          <cell r="B399" t="str">
            <v>201 2014 10 1211 00006</v>
          </cell>
          <cell r="C399">
            <v>2012014121100070</v>
          </cell>
          <cell r="D399">
            <v>5.4945054945054937E-2</v>
          </cell>
          <cell r="F399">
            <v>0.94505494505494503</v>
          </cell>
          <cell r="G399">
            <v>0</v>
          </cell>
          <cell r="H399">
            <v>1</v>
          </cell>
        </row>
        <row r="400">
          <cell r="B400" t="str">
            <v>203 2013 10 1211 00009</v>
          </cell>
          <cell r="C400">
            <v>2032013121100070</v>
          </cell>
          <cell r="D400">
            <v>5.8823529411764712E-2</v>
          </cell>
          <cell r="F400">
            <v>0.94117647058823528</v>
          </cell>
          <cell r="G400">
            <v>0</v>
          </cell>
          <cell r="H400">
            <v>1</v>
          </cell>
        </row>
        <row r="401">
          <cell r="B401" t="str">
            <v>203 2013 10 1211 00009</v>
          </cell>
          <cell r="C401">
            <v>2032013121100050</v>
          </cell>
          <cell r="D401">
            <v>5.8823529411764712E-2</v>
          </cell>
          <cell r="F401">
            <v>0.94117647058823528</v>
          </cell>
          <cell r="G401">
            <v>0</v>
          </cell>
          <cell r="H401">
            <v>1</v>
          </cell>
        </row>
        <row r="402">
          <cell r="B402" t="str">
            <v>201 2011 10 1222 00038</v>
          </cell>
          <cell r="C402">
            <v>2012011122200000</v>
          </cell>
          <cell r="D402">
            <v>1</v>
          </cell>
          <cell r="F402">
            <v>0</v>
          </cell>
          <cell r="G402">
            <v>0</v>
          </cell>
          <cell r="H402">
            <v>1</v>
          </cell>
        </row>
        <row r="403">
          <cell r="B403" t="str">
            <v>201 2013 10 1211 00006</v>
          </cell>
          <cell r="C403">
            <v>2012013121100060</v>
          </cell>
          <cell r="D403">
            <v>5.8823529411764705E-2</v>
          </cell>
          <cell r="F403">
            <v>0.94117647058823528</v>
          </cell>
          <cell r="G403">
            <v>0</v>
          </cell>
          <cell r="H403">
            <v>1</v>
          </cell>
        </row>
        <row r="404">
          <cell r="B404" t="str">
            <v>201 2014 10 1211 00006</v>
          </cell>
          <cell r="C404">
            <v>2012014121100130</v>
          </cell>
          <cell r="D404">
            <v>5.4945054945054937E-2</v>
          </cell>
          <cell r="F404">
            <v>0.94505494505494503</v>
          </cell>
          <cell r="G404">
            <v>0</v>
          </cell>
          <cell r="H404">
            <v>1</v>
          </cell>
        </row>
        <row r="405">
          <cell r="B405" t="str">
            <v>203 2012 10 1211 00009</v>
          </cell>
          <cell r="C405">
            <v>2032012121100010</v>
          </cell>
          <cell r="D405">
            <v>9.8039613804000364E-2</v>
          </cell>
          <cell r="F405">
            <v>0.90196038619599961</v>
          </cell>
          <cell r="G405">
            <v>0</v>
          </cell>
          <cell r="H405">
            <v>1</v>
          </cell>
        </row>
        <row r="406">
          <cell r="B406" t="str">
            <v>203 2013 10 1211 00009</v>
          </cell>
          <cell r="C406">
            <v>2032013121100090</v>
          </cell>
          <cell r="D406">
            <v>5.8823529411764712E-2</v>
          </cell>
          <cell r="F406">
            <v>0.94117647058823528</v>
          </cell>
          <cell r="G406">
            <v>0</v>
          </cell>
          <cell r="H406">
            <v>1</v>
          </cell>
        </row>
        <row r="407">
          <cell r="B407" t="str">
            <v>201 2014 10 1212 00004</v>
          </cell>
          <cell r="C407">
            <v>2012014121200000</v>
          </cell>
          <cell r="D407">
            <v>0.11839683618058792</v>
          </cell>
          <cell r="F407">
            <v>0.88160316381941206</v>
          </cell>
          <cell r="G407">
            <v>0</v>
          </cell>
          <cell r="H407">
            <v>1</v>
          </cell>
        </row>
        <row r="408">
          <cell r="B408" t="str">
            <v>201 2014 10 1211 00006</v>
          </cell>
          <cell r="C408">
            <v>2012014121100050</v>
          </cell>
          <cell r="D408">
            <v>5.4945054945054937E-2</v>
          </cell>
          <cell r="F408">
            <v>0.94505494505494503</v>
          </cell>
          <cell r="G408">
            <v>0</v>
          </cell>
          <cell r="H408">
            <v>1</v>
          </cell>
        </row>
        <row r="409">
          <cell r="B409" t="str">
            <v>201 2014 10 1211 00006</v>
          </cell>
          <cell r="C409">
            <v>2012014121100090</v>
          </cell>
          <cell r="D409">
            <v>5.4945054945054937E-2</v>
          </cell>
          <cell r="F409">
            <v>0.94505494505494503</v>
          </cell>
          <cell r="G409">
            <v>0</v>
          </cell>
          <cell r="H409">
            <v>1</v>
          </cell>
        </row>
        <row r="410">
          <cell r="B410" t="str">
            <v>203 2014 10 1212 00009</v>
          </cell>
          <cell r="C410">
            <v>2032014121200010</v>
          </cell>
          <cell r="D410">
            <v>5.9565902215354273E-2</v>
          </cell>
          <cell r="F410">
            <v>0.83392263101495978</v>
          </cell>
          <cell r="G410">
            <v>0.10651146676968593</v>
          </cell>
          <cell r="H410">
            <v>1</v>
          </cell>
        </row>
        <row r="411">
          <cell r="B411" t="str">
            <v>203 2012 10 1211 00009</v>
          </cell>
          <cell r="C411">
            <v>2032012121100050</v>
          </cell>
          <cell r="D411">
            <v>9.8039613804000364E-2</v>
          </cell>
          <cell r="F411">
            <v>0.90196038619599961</v>
          </cell>
          <cell r="G411">
            <v>0</v>
          </cell>
          <cell r="H411">
            <v>1</v>
          </cell>
        </row>
        <row r="412">
          <cell r="B412" t="str">
            <v>203 2014 10 1211 00006</v>
          </cell>
          <cell r="C412">
            <v>2032014121100090</v>
          </cell>
          <cell r="D412">
            <v>0.28239389219784183</v>
          </cell>
          <cell r="F412">
            <v>0.71760610780215817</v>
          </cell>
          <cell r="G412">
            <v>0</v>
          </cell>
          <cell r="H412">
            <v>1</v>
          </cell>
        </row>
        <row r="413">
          <cell r="B413" t="str">
            <v>203 2014 10 1211 00005</v>
          </cell>
          <cell r="C413">
            <v>2032014121100050</v>
          </cell>
          <cell r="D413">
            <v>5.4945054945054951E-2</v>
          </cell>
          <cell r="F413">
            <v>0.94505494505494503</v>
          </cell>
          <cell r="G413">
            <v>0</v>
          </cell>
          <cell r="H413">
            <v>1</v>
          </cell>
        </row>
        <row r="414">
          <cell r="B414" t="str">
            <v>203 2014 10 1211 00006</v>
          </cell>
          <cell r="C414">
            <v>2032014121100100</v>
          </cell>
          <cell r="D414">
            <v>0.28239389219784183</v>
          </cell>
          <cell r="F414">
            <v>0.71760610780215817</v>
          </cell>
          <cell r="G414">
            <v>0</v>
          </cell>
          <cell r="H414">
            <v>1</v>
          </cell>
        </row>
        <row r="415">
          <cell r="B415" t="str">
            <v>201 2014 10 1211 00006</v>
          </cell>
          <cell r="C415">
            <v>2012014121100080</v>
          </cell>
          <cell r="D415">
            <v>5.4945054945054937E-2</v>
          </cell>
          <cell r="F415">
            <v>0.94505494505494503</v>
          </cell>
          <cell r="G415">
            <v>0</v>
          </cell>
          <cell r="H415">
            <v>1</v>
          </cell>
        </row>
        <row r="416">
          <cell r="B416" t="str">
            <v>201 2013 10 1211 00006</v>
          </cell>
          <cell r="C416">
            <v>2012013121100160</v>
          </cell>
          <cell r="D416">
            <v>5.8823529411764705E-2</v>
          </cell>
          <cell r="F416">
            <v>0.94117647058823528</v>
          </cell>
          <cell r="G416">
            <v>0</v>
          </cell>
          <cell r="H416">
            <v>1</v>
          </cell>
        </row>
        <row r="417">
          <cell r="B417" t="str">
            <v>201 2013 10 1221 00002</v>
          </cell>
          <cell r="C417">
            <v>2012013122100000</v>
          </cell>
          <cell r="D417">
            <v>0.29675703907696693</v>
          </cell>
          <cell r="F417">
            <v>0.70324296092303307</v>
          </cell>
          <cell r="G417">
            <v>0</v>
          </cell>
          <cell r="H417">
            <v>1</v>
          </cell>
        </row>
        <row r="418">
          <cell r="B418" t="str">
            <v>201 2014 10 1211 00006</v>
          </cell>
          <cell r="C418">
            <v>2012014121100060</v>
          </cell>
          <cell r="D418">
            <v>5.4945054945054937E-2</v>
          </cell>
          <cell r="F418">
            <v>0.94505494505494503</v>
          </cell>
          <cell r="G418">
            <v>0</v>
          </cell>
          <cell r="H418">
            <v>1</v>
          </cell>
        </row>
        <row r="419">
          <cell r="B419" t="str">
            <v>201 2014 10 1211 00006</v>
          </cell>
          <cell r="C419">
            <v>2012014121100110</v>
          </cell>
          <cell r="D419">
            <v>5.4945054945054937E-2</v>
          </cell>
          <cell r="F419">
            <v>0.94505494505494503</v>
          </cell>
          <cell r="G419">
            <v>0</v>
          </cell>
          <cell r="H419">
            <v>1</v>
          </cell>
        </row>
        <row r="420">
          <cell r="B420" t="str">
            <v>201 2014 10 1211 00006</v>
          </cell>
          <cell r="C420">
            <v>2012014121100130</v>
          </cell>
          <cell r="D420">
            <v>5.4945054945054937E-2</v>
          </cell>
          <cell r="F420">
            <v>0.94505494505494503</v>
          </cell>
          <cell r="G420">
            <v>0</v>
          </cell>
          <cell r="H420">
            <v>1</v>
          </cell>
        </row>
        <row r="421">
          <cell r="B421" t="str">
            <v>201 2014 10 1211 00006</v>
          </cell>
          <cell r="C421">
            <v>2012014121100110</v>
          </cell>
          <cell r="D421">
            <v>5.4945054945054937E-2</v>
          </cell>
          <cell r="F421">
            <v>0.94505494505494503</v>
          </cell>
          <cell r="G421">
            <v>0</v>
          </cell>
          <cell r="H421">
            <v>1</v>
          </cell>
        </row>
        <row r="422">
          <cell r="B422" t="str">
            <v>203 2014 10 1211 00005</v>
          </cell>
          <cell r="C422">
            <v>2032014121100020</v>
          </cell>
          <cell r="D422">
            <v>5.4945054945054951E-2</v>
          </cell>
          <cell r="F422">
            <v>0.94505494505494503</v>
          </cell>
          <cell r="G422">
            <v>0</v>
          </cell>
          <cell r="H422">
            <v>1</v>
          </cell>
        </row>
        <row r="423">
          <cell r="B423" t="str">
            <v>201 2013 10 1211 00006</v>
          </cell>
          <cell r="C423">
            <v>2012013121100210</v>
          </cell>
          <cell r="D423">
            <v>5.8823529411764705E-2</v>
          </cell>
          <cell r="F423">
            <v>0.94117647058823528</v>
          </cell>
          <cell r="G423">
            <v>0</v>
          </cell>
          <cell r="H423">
            <v>1</v>
          </cell>
        </row>
        <row r="424">
          <cell r="B424" t="str">
            <v>203 2014 10 1212 00003</v>
          </cell>
          <cell r="C424">
            <v>2032014121200020</v>
          </cell>
          <cell r="D424">
            <v>2.3934698565896376E-2</v>
          </cell>
          <cell r="F424">
            <v>0.41167681533341766</v>
          </cell>
          <cell r="G424">
            <v>0.56438848610068604</v>
          </cell>
          <cell r="H424">
            <v>1</v>
          </cell>
        </row>
        <row r="425">
          <cell r="B425" t="str">
            <v>203 2014 10 1211 00005</v>
          </cell>
          <cell r="C425">
            <v>2032014121100070</v>
          </cell>
          <cell r="D425">
            <v>5.4945054945054951E-2</v>
          </cell>
          <cell r="F425">
            <v>0.94505494505494503</v>
          </cell>
          <cell r="G425">
            <v>0</v>
          </cell>
          <cell r="H425">
            <v>1</v>
          </cell>
        </row>
        <row r="426">
          <cell r="B426" t="str">
            <v>201 2014 10 1212 00006</v>
          </cell>
          <cell r="C426">
            <v>2012014121200000</v>
          </cell>
          <cell r="D426">
            <v>6.6666666666666666E-2</v>
          </cell>
          <cell r="F426">
            <v>0.93333333333333335</v>
          </cell>
          <cell r="G426">
            <v>0</v>
          </cell>
          <cell r="H426">
            <v>1</v>
          </cell>
        </row>
        <row r="427">
          <cell r="B427" t="str">
            <v>201 2014 10 1212 00001</v>
          </cell>
          <cell r="C427">
            <v>2012014121200020</v>
          </cell>
          <cell r="D427">
            <v>0.10469937364651317</v>
          </cell>
          <cell r="F427">
            <v>0.89530062635348684</v>
          </cell>
          <cell r="G427">
            <v>0</v>
          </cell>
          <cell r="H427">
            <v>1</v>
          </cell>
        </row>
        <row r="428">
          <cell r="B428" t="str">
            <v>201 2013 10 1211 00006</v>
          </cell>
          <cell r="C428">
            <v>2012013121100080</v>
          </cell>
          <cell r="D428">
            <v>5.8823529411764705E-2</v>
          </cell>
          <cell r="F428">
            <v>0.94117647058823528</v>
          </cell>
          <cell r="G428">
            <v>0</v>
          </cell>
          <cell r="H428">
            <v>1</v>
          </cell>
        </row>
        <row r="429">
          <cell r="B429" t="str">
            <v>201 2014 10 1211 00006</v>
          </cell>
          <cell r="C429">
            <v>2012014121100120</v>
          </cell>
          <cell r="D429">
            <v>5.4945054945054937E-2</v>
          </cell>
          <cell r="F429">
            <v>0.94505494505494503</v>
          </cell>
          <cell r="G429">
            <v>0</v>
          </cell>
          <cell r="H429">
            <v>1</v>
          </cell>
        </row>
        <row r="430">
          <cell r="B430" t="str">
            <v>203 2014 10 1211 00005</v>
          </cell>
          <cell r="C430">
            <v>2032014121100040</v>
          </cell>
          <cell r="D430">
            <v>5.4945054945054951E-2</v>
          </cell>
          <cell r="F430">
            <v>0.94505494505494503</v>
          </cell>
          <cell r="G430">
            <v>0</v>
          </cell>
          <cell r="H430">
            <v>1</v>
          </cell>
        </row>
        <row r="431">
          <cell r="B431" t="str">
            <v>203 2014 10 1212 00002</v>
          </cell>
          <cell r="C431">
            <v>2032014121200090</v>
          </cell>
          <cell r="D431">
            <v>6.9160007392485526E-2</v>
          </cell>
          <cell r="F431">
            <v>0.93083999260751449</v>
          </cell>
          <cell r="G431">
            <v>0</v>
          </cell>
          <cell r="H431">
            <v>1</v>
          </cell>
        </row>
        <row r="432">
          <cell r="B432" t="str">
            <v>201 2014 10 1211 00006</v>
          </cell>
          <cell r="C432">
            <v>2012014121100010</v>
          </cell>
          <cell r="D432">
            <v>5.4945054945054937E-2</v>
          </cell>
          <cell r="F432">
            <v>0.94505494505494503</v>
          </cell>
          <cell r="G432">
            <v>0</v>
          </cell>
          <cell r="H432">
            <v>1</v>
          </cell>
        </row>
        <row r="433">
          <cell r="B433" t="str">
            <v>201 2013 10 1211 00006</v>
          </cell>
          <cell r="C433">
            <v>2012013121100070</v>
          </cell>
          <cell r="D433">
            <v>5.8823529411764705E-2</v>
          </cell>
          <cell r="F433">
            <v>0.94117647058823528</v>
          </cell>
          <cell r="G433">
            <v>0</v>
          </cell>
          <cell r="H433">
            <v>1</v>
          </cell>
        </row>
        <row r="434">
          <cell r="B434" t="str">
            <v>200 2006 10 1211   00033</v>
          </cell>
          <cell r="C434">
            <v>2032007121100070</v>
          </cell>
          <cell r="D434">
            <v>9.2201000000000005E-2</v>
          </cell>
          <cell r="E434">
            <v>9.078E-2</v>
          </cell>
          <cell r="F434">
            <v>0.81701900000000005</v>
          </cell>
          <cell r="G434">
            <v>0</v>
          </cell>
          <cell r="H434">
            <v>1</v>
          </cell>
        </row>
        <row r="435">
          <cell r="B435" t="str">
            <v>201 2013 10 1224 00016</v>
          </cell>
          <cell r="C435">
            <v>2012014122400000</v>
          </cell>
          <cell r="D435">
            <v>1</v>
          </cell>
          <cell r="F435">
            <v>0</v>
          </cell>
          <cell r="G435">
            <v>0</v>
          </cell>
          <cell r="H435">
            <v>1</v>
          </cell>
        </row>
        <row r="436">
          <cell r="B436" t="str">
            <v>201 2013 10 1211 00006</v>
          </cell>
          <cell r="C436">
            <v>2012013121100010</v>
          </cell>
          <cell r="D436">
            <v>5.8823529411764705E-2</v>
          </cell>
          <cell r="F436">
            <v>0.94117647058823528</v>
          </cell>
          <cell r="G436">
            <v>0</v>
          </cell>
          <cell r="H436">
            <v>1</v>
          </cell>
        </row>
        <row r="437">
          <cell r="B437" t="str">
            <v>203 2014 10 1211 00005</v>
          </cell>
          <cell r="C437">
            <v>2032014121100000</v>
          </cell>
          <cell r="D437">
            <v>5.4945054945054951E-2</v>
          </cell>
          <cell r="F437">
            <v>0.94505494505494503</v>
          </cell>
          <cell r="G437">
            <v>0</v>
          </cell>
          <cell r="H437">
            <v>1</v>
          </cell>
        </row>
        <row r="438">
          <cell r="B438" t="str">
            <v>203 2014 10 1212 00009</v>
          </cell>
          <cell r="C438">
            <v>2032014121200030</v>
          </cell>
          <cell r="D438">
            <v>5.9565902215354273E-2</v>
          </cell>
          <cell r="F438">
            <v>0.83392263101495978</v>
          </cell>
          <cell r="G438">
            <v>0.10651146676968593</v>
          </cell>
          <cell r="H438">
            <v>1</v>
          </cell>
        </row>
        <row r="439">
          <cell r="B439" t="str">
            <v>203 2013 10 1211 00009</v>
          </cell>
          <cell r="C439">
            <v>2032013121100120</v>
          </cell>
          <cell r="D439">
            <v>5.8823529411764712E-2</v>
          </cell>
          <cell r="F439">
            <v>0.94117647058823528</v>
          </cell>
          <cell r="G439">
            <v>0</v>
          </cell>
          <cell r="H439">
            <v>1</v>
          </cell>
        </row>
        <row r="440">
          <cell r="B440" t="str">
            <v>201 2014 10 1212 00007</v>
          </cell>
          <cell r="C440">
            <v>2012014121200020</v>
          </cell>
          <cell r="D440">
            <v>5.8823529411764698E-2</v>
          </cell>
          <cell r="F440">
            <v>0.94117647058823528</v>
          </cell>
          <cell r="G440">
            <v>0</v>
          </cell>
          <cell r="H440">
            <v>1</v>
          </cell>
        </row>
        <row r="441">
          <cell r="B441" t="str">
            <v>201 2013 10 1211 00006</v>
          </cell>
          <cell r="C441">
            <v>2012013121100170</v>
          </cell>
          <cell r="D441">
            <v>5.8823529411764705E-2</v>
          </cell>
          <cell r="F441">
            <v>0.94117647058823528</v>
          </cell>
          <cell r="G441">
            <v>0</v>
          </cell>
          <cell r="H441">
            <v>1</v>
          </cell>
        </row>
        <row r="442">
          <cell r="B442" t="str">
            <v>203 2014 10 1211 00005</v>
          </cell>
          <cell r="C442">
            <v>2032014121100010</v>
          </cell>
          <cell r="D442">
            <v>5.4945054945054951E-2</v>
          </cell>
          <cell r="F442">
            <v>0.94505494505494503</v>
          </cell>
          <cell r="G442">
            <v>0</v>
          </cell>
          <cell r="H442">
            <v>1</v>
          </cell>
        </row>
        <row r="443">
          <cell r="B443" t="str">
            <v>201 2013 10 1211 00006</v>
          </cell>
          <cell r="C443">
            <v>2012013121100080</v>
          </cell>
          <cell r="D443">
            <v>5.8823529411764705E-2</v>
          </cell>
          <cell r="F443">
            <v>0.94117647058823528</v>
          </cell>
          <cell r="G443">
            <v>0</v>
          </cell>
          <cell r="H443">
            <v>1</v>
          </cell>
        </row>
        <row r="444">
          <cell r="B444" t="str">
            <v>203 2014 10 1221 00004</v>
          </cell>
          <cell r="C444">
            <v>2032014122100000</v>
          </cell>
          <cell r="D444">
            <v>1</v>
          </cell>
          <cell r="F444">
            <v>0</v>
          </cell>
          <cell r="G444">
            <v>0</v>
          </cell>
          <cell r="H444">
            <v>1</v>
          </cell>
        </row>
        <row r="445">
          <cell r="B445" t="str">
            <v>201 2014 10 1211 00006</v>
          </cell>
          <cell r="C445">
            <v>2012014121100040</v>
          </cell>
          <cell r="D445">
            <v>5.4945054945054937E-2</v>
          </cell>
          <cell r="F445">
            <v>0.94505494505494503</v>
          </cell>
          <cell r="G445">
            <v>0</v>
          </cell>
          <cell r="H445">
            <v>1</v>
          </cell>
        </row>
        <row r="446">
          <cell r="B446" t="str">
            <v>201 2013 10 1211 00006</v>
          </cell>
          <cell r="C446">
            <v>2012013121100120</v>
          </cell>
          <cell r="D446">
            <v>5.8823529411764705E-2</v>
          </cell>
          <cell r="F446">
            <v>0.94117647058823528</v>
          </cell>
          <cell r="G446">
            <v>0</v>
          </cell>
          <cell r="H446">
            <v>1</v>
          </cell>
        </row>
        <row r="447">
          <cell r="B447" t="str">
            <v>203 2014 10 1212 00003</v>
          </cell>
          <cell r="C447">
            <v>2032014121200010</v>
          </cell>
          <cell r="D447">
            <v>2.3934698565896376E-2</v>
          </cell>
          <cell r="F447">
            <v>0.41167681533341766</v>
          </cell>
          <cell r="G447">
            <v>0.56438848610068604</v>
          </cell>
          <cell r="H447">
            <v>1</v>
          </cell>
        </row>
        <row r="448">
          <cell r="B448" t="str">
            <v>203 2012 10 1211 00007</v>
          </cell>
          <cell r="C448">
            <v>2032012121100040</v>
          </cell>
          <cell r="D448">
            <v>0.28239389219784183</v>
          </cell>
          <cell r="F448">
            <v>0.71760610780215817</v>
          </cell>
          <cell r="G448">
            <v>0</v>
          </cell>
          <cell r="H448">
            <v>1</v>
          </cell>
        </row>
        <row r="449">
          <cell r="B449" t="str">
            <v>201 2012 10 1211 00006</v>
          </cell>
          <cell r="C449">
            <v>2012012121100020</v>
          </cell>
          <cell r="D449">
            <v>7.2738201232028885E-2</v>
          </cell>
          <cell r="F449">
            <v>0.9272617987679711</v>
          </cell>
          <cell r="G449">
            <v>0</v>
          </cell>
          <cell r="H449">
            <v>1</v>
          </cell>
        </row>
        <row r="450">
          <cell r="B450" t="str">
            <v>203 2013 10 1212 00002</v>
          </cell>
          <cell r="C450">
            <v>2032013121200030</v>
          </cell>
          <cell r="D450">
            <v>1</v>
          </cell>
          <cell r="F450">
            <v>0</v>
          </cell>
          <cell r="G450">
            <v>0</v>
          </cell>
          <cell r="H450">
            <v>1</v>
          </cell>
        </row>
        <row r="451">
          <cell r="B451" t="str">
            <v>201 2014 10 1211 00006</v>
          </cell>
          <cell r="C451">
            <v>2012014121100080</v>
          </cell>
          <cell r="D451">
            <v>5.4945054945054937E-2</v>
          </cell>
          <cell r="F451">
            <v>0.94505494505494503</v>
          </cell>
          <cell r="G451">
            <v>0</v>
          </cell>
          <cell r="H451">
            <v>1</v>
          </cell>
        </row>
        <row r="452">
          <cell r="B452" t="str">
            <v>201 2013 10 1211 00006</v>
          </cell>
          <cell r="C452">
            <v>2012013121100170</v>
          </cell>
          <cell r="D452">
            <v>5.8823529411764705E-2</v>
          </cell>
          <cell r="F452">
            <v>0.94117647058823528</v>
          </cell>
          <cell r="G452">
            <v>0</v>
          </cell>
          <cell r="H452">
            <v>1</v>
          </cell>
        </row>
        <row r="453">
          <cell r="B453" t="str">
            <v>201 2013 10 1211 00006</v>
          </cell>
          <cell r="C453">
            <v>2012013121100150</v>
          </cell>
          <cell r="D453">
            <v>5.8823529411764705E-2</v>
          </cell>
          <cell r="F453">
            <v>0.94117647058823528</v>
          </cell>
          <cell r="G453">
            <v>0</v>
          </cell>
          <cell r="H453">
            <v>1</v>
          </cell>
        </row>
        <row r="454">
          <cell r="B454" t="str">
            <v>203 2012 10 1211 00011</v>
          </cell>
          <cell r="C454">
            <v>2032012121100070</v>
          </cell>
          <cell r="D454">
            <v>5.8823999999999994E-2</v>
          </cell>
          <cell r="F454">
            <v>0.94117600000000001</v>
          </cell>
          <cell r="G454">
            <v>0</v>
          </cell>
          <cell r="H454">
            <v>1</v>
          </cell>
        </row>
        <row r="455">
          <cell r="B455" t="str">
            <v>203 2013 10 1211 00009</v>
          </cell>
          <cell r="C455">
            <v>2032013121100130</v>
          </cell>
          <cell r="D455">
            <v>5.8823529411764712E-2</v>
          </cell>
          <cell r="F455">
            <v>0.94117647058823528</v>
          </cell>
          <cell r="G455">
            <v>0</v>
          </cell>
          <cell r="H455">
            <v>1</v>
          </cell>
        </row>
        <row r="456">
          <cell r="B456" t="str">
            <v>201 2014 10 1212 00001</v>
          </cell>
          <cell r="C456">
            <v>2012014121200000</v>
          </cell>
          <cell r="D456">
            <v>0.10469937364651317</v>
          </cell>
          <cell r="F456">
            <v>0.89530062635348684</v>
          </cell>
          <cell r="G456">
            <v>0</v>
          </cell>
          <cell r="H456">
            <v>1</v>
          </cell>
        </row>
        <row r="457">
          <cell r="B457" t="str">
            <v>201 2012 10 1211 00006</v>
          </cell>
          <cell r="C457">
            <v>2012012121100020</v>
          </cell>
          <cell r="D457">
            <v>7.2738201232028885E-2</v>
          </cell>
          <cell r="F457">
            <v>0.9272617987679711</v>
          </cell>
          <cell r="G457">
            <v>0</v>
          </cell>
          <cell r="H457">
            <v>1</v>
          </cell>
        </row>
        <row r="458">
          <cell r="B458" t="str">
            <v>201 2013 10 1211 00006</v>
          </cell>
          <cell r="C458">
            <v>2012013121100120</v>
          </cell>
          <cell r="D458">
            <v>5.8823529411764705E-2</v>
          </cell>
          <cell r="F458">
            <v>0.94117647058823528</v>
          </cell>
          <cell r="G458">
            <v>0</v>
          </cell>
          <cell r="H458">
            <v>1</v>
          </cell>
        </row>
        <row r="459">
          <cell r="B459" t="str">
            <v>202 2013 10 1224 00006</v>
          </cell>
          <cell r="C459">
            <v>2022013122400000</v>
          </cell>
          <cell r="D459">
            <v>1</v>
          </cell>
          <cell r="F459">
            <v>0</v>
          </cell>
          <cell r="G459">
            <v>0</v>
          </cell>
          <cell r="H459">
            <v>1</v>
          </cell>
        </row>
        <row r="460">
          <cell r="B460" t="str">
            <v>203 2012 10 1211 00004</v>
          </cell>
          <cell r="C460">
            <v>2032012121100040</v>
          </cell>
          <cell r="D460">
            <v>8.6885325334767588E-2</v>
          </cell>
          <cell r="F460">
            <v>0.91311467466523244</v>
          </cell>
          <cell r="G460">
            <v>0</v>
          </cell>
          <cell r="H460">
            <v>1</v>
          </cell>
        </row>
        <row r="461">
          <cell r="B461" t="str">
            <v>203 2014 10 1212 00003</v>
          </cell>
          <cell r="C461">
            <v>2032014121200090</v>
          </cell>
          <cell r="D461">
            <v>2.3934698565896376E-2</v>
          </cell>
          <cell r="F461">
            <v>0.41167681533341766</v>
          </cell>
          <cell r="G461">
            <v>0.56438848610068604</v>
          </cell>
          <cell r="H461">
            <v>1</v>
          </cell>
        </row>
        <row r="462">
          <cell r="B462" t="str">
            <v>201 2014 10 1211 00006</v>
          </cell>
          <cell r="C462">
            <v>2012014121100070</v>
          </cell>
          <cell r="D462">
            <v>5.4945054945054937E-2</v>
          </cell>
          <cell r="F462">
            <v>0.94505494505494503</v>
          </cell>
          <cell r="G462">
            <v>0</v>
          </cell>
          <cell r="H462">
            <v>1</v>
          </cell>
        </row>
        <row r="463">
          <cell r="B463" t="str">
            <v>201 2013 10 1211 00006</v>
          </cell>
          <cell r="C463">
            <v>2012013121100200</v>
          </cell>
          <cell r="D463">
            <v>5.8823529411764705E-2</v>
          </cell>
          <cell r="F463">
            <v>0.94117647058823528</v>
          </cell>
          <cell r="G463">
            <v>0</v>
          </cell>
          <cell r="H463">
            <v>1</v>
          </cell>
        </row>
        <row r="464">
          <cell r="B464" t="str">
            <v>203 2012 10 1211 00009</v>
          </cell>
          <cell r="C464">
            <v>2032012121100030</v>
          </cell>
          <cell r="D464">
            <v>9.8039613804000364E-2</v>
          </cell>
          <cell r="F464">
            <v>0.90196038619599961</v>
          </cell>
          <cell r="G464">
            <v>0</v>
          </cell>
          <cell r="H464">
            <v>1</v>
          </cell>
        </row>
        <row r="465">
          <cell r="B465" t="str">
            <v>203 2014 10 1212 00012</v>
          </cell>
          <cell r="C465">
            <v>2032014121200070</v>
          </cell>
          <cell r="D465">
            <v>0.11155616929252038</v>
          </cell>
          <cell r="F465">
            <v>0.88844383070747956</v>
          </cell>
          <cell r="G465">
            <v>0</v>
          </cell>
          <cell r="H465">
            <v>1</v>
          </cell>
        </row>
        <row r="466">
          <cell r="B466" t="str">
            <v>203 2014 10 1212 00003</v>
          </cell>
          <cell r="C466">
            <v>2032014121200040</v>
          </cell>
          <cell r="D466">
            <v>2.3934698565896376E-2</v>
          </cell>
          <cell r="F466">
            <v>0.41167681533341766</v>
          </cell>
          <cell r="G466">
            <v>0.56438848610068604</v>
          </cell>
          <cell r="H466">
            <v>1</v>
          </cell>
        </row>
        <row r="467">
          <cell r="B467" t="str">
            <v>201 2014 10 1211 00006</v>
          </cell>
          <cell r="C467">
            <v>2012014121100020</v>
          </cell>
          <cell r="D467">
            <v>5.4945054945054937E-2</v>
          </cell>
          <cell r="F467">
            <v>0.94505494505494503</v>
          </cell>
          <cell r="G467">
            <v>0</v>
          </cell>
          <cell r="H467">
            <v>1</v>
          </cell>
        </row>
        <row r="468">
          <cell r="B468" t="str">
            <v>201 2014 10 1211 00006</v>
          </cell>
          <cell r="C468">
            <v>2012014121100020</v>
          </cell>
          <cell r="D468">
            <v>5.4945054945054937E-2</v>
          </cell>
          <cell r="F468">
            <v>0.94505494505494503</v>
          </cell>
          <cell r="G468">
            <v>0</v>
          </cell>
          <cell r="H468">
            <v>1</v>
          </cell>
        </row>
        <row r="469">
          <cell r="B469" t="str">
            <v>201 2014 10 1211 00006</v>
          </cell>
          <cell r="C469">
            <v>2012014121100080</v>
          </cell>
          <cell r="D469">
            <v>5.4945054945054937E-2</v>
          </cell>
          <cell r="F469">
            <v>0.94505494505494503</v>
          </cell>
          <cell r="G469">
            <v>0</v>
          </cell>
          <cell r="H469">
            <v>1</v>
          </cell>
        </row>
        <row r="470">
          <cell r="B470" t="str">
            <v>203 2014 10 1212 00003</v>
          </cell>
          <cell r="C470">
            <v>2032014121200080</v>
          </cell>
          <cell r="D470">
            <v>2.3934698565896376E-2</v>
          </cell>
          <cell r="F470">
            <v>0.41167681533341766</v>
          </cell>
          <cell r="G470">
            <v>0.56438848610068604</v>
          </cell>
          <cell r="H470">
            <v>1</v>
          </cell>
        </row>
        <row r="471">
          <cell r="B471" t="str">
            <v>203 2013 10 1211 00009</v>
          </cell>
          <cell r="C471">
            <v>2032013121100090</v>
          </cell>
          <cell r="D471">
            <v>5.8823529411764712E-2</v>
          </cell>
          <cell r="F471">
            <v>0.94117647058823528</v>
          </cell>
          <cell r="G471">
            <v>0</v>
          </cell>
          <cell r="H471">
            <v>1</v>
          </cell>
        </row>
        <row r="472">
          <cell r="B472" t="str">
            <v>201 2013 10 1211 00006</v>
          </cell>
          <cell r="C472">
            <v>2012013121100000</v>
          </cell>
          <cell r="D472">
            <v>5.8823529411764705E-2</v>
          </cell>
          <cell r="F472">
            <v>0.94117647058823528</v>
          </cell>
          <cell r="G472">
            <v>0</v>
          </cell>
          <cell r="H472">
            <v>1</v>
          </cell>
        </row>
        <row r="473">
          <cell r="B473" t="str">
            <v>201 2013 10 1211 00006</v>
          </cell>
          <cell r="C473">
            <v>2012013121100020</v>
          </cell>
          <cell r="D473">
            <v>5.8823529411764705E-2</v>
          </cell>
          <cell r="F473">
            <v>0.94117647058823528</v>
          </cell>
          <cell r="G473">
            <v>0</v>
          </cell>
          <cell r="H473">
            <v>1</v>
          </cell>
        </row>
        <row r="474">
          <cell r="B474" t="str">
            <v>201 2014 10 1212 00007</v>
          </cell>
          <cell r="C474">
            <v>2012014121200010</v>
          </cell>
          <cell r="D474">
            <v>5.8823529411764698E-2</v>
          </cell>
          <cell r="F474">
            <v>0.94117647058823528</v>
          </cell>
          <cell r="G474">
            <v>0</v>
          </cell>
          <cell r="H474">
            <v>1</v>
          </cell>
        </row>
        <row r="475">
          <cell r="B475" t="str">
            <v>201 2013 10 1211 00006</v>
          </cell>
          <cell r="C475">
            <v>2012013121100220</v>
          </cell>
          <cell r="D475">
            <v>5.8823529411764705E-2</v>
          </cell>
          <cell r="F475">
            <v>0.94117647058823528</v>
          </cell>
          <cell r="G475">
            <v>0</v>
          </cell>
          <cell r="H475">
            <v>1</v>
          </cell>
        </row>
        <row r="476">
          <cell r="B476" t="str">
            <v>202 2013 10 1221 00002</v>
          </cell>
          <cell r="C476">
            <v>2022013122100000</v>
          </cell>
          <cell r="D476">
            <v>0.3104433130510369</v>
          </cell>
          <cell r="F476">
            <v>0.6895566869489631</v>
          </cell>
          <cell r="G476">
            <v>0</v>
          </cell>
          <cell r="H476">
            <v>1</v>
          </cell>
        </row>
        <row r="477">
          <cell r="B477" t="str">
            <v>203 2013 10 1211 00009</v>
          </cell>
          <cell r="C477">
            <v>2032013121100040</v>
          </cell>
          <cell r="D477">
            <v>5.8823529411764712E-2</v>
          </cell>
          <cell r="F477">
            <v>0.94117647058823528</v>
          </cell>
          <cell r="G477">
            <v>0</v>
          </cell>
          <cell r="H477">
            <v>1</v>
          </cell>
        </row>
        <row r="478">
          <cell r="B478" t="str">
            <v>201 2014 10 1211 00006</v>
          </cell>
          <cell r="C478">
            <v>2012014121100130</v>
          </cell>
          <cell r="D478">
            <v>5.4945054945054937E-2</v>
          </cell>
          <cell r="F478">
            <v>0.94505494505494503</v>
          </cell>
          <cell r="G478">
            <v>0</v>
          </cell>
          <cell r="H478">
            <v>1</v>
          </cell>
        </row>
        <row r="479">
          <cell r="B479" t="str">
            <v>201 2013 10 1212 00007</v>
          </cell>
          <cell r="C479">
            <v>2012013121200040</v>
          </cell>
          <cell r="D479">
            <v>0.28996487511877078</v>
          </cell>
          <cell r="F479">
            <v>0.71003512488122922</v>
          </cell>
          <cell r="G479">
            <v>0</v>
          </cell>
          <cell r="H479">
            <v>1</v>
          </cell>
        </row>
        <row r="480">
          <cell r="B480" t="str">
            <v>203 2012 10 1211 00010</v>
          </cell>
          <cell r="C480">
            <v>2032012121100030</v>
          </cell>
          <cell r="D480">
            <v>5.8823999999999994E-2</v>
          </cell>
          <cell r="F480">
            <v>0.94117600000000001</v>
          </cell>
          <cell r="G480">
            <v>0</v>
          </cell>
          <cell r="H480">
            <v>1</v>
          </cell>
        </row>
        <row r="481">
          <cell r="B481" t="str">
            <v>203 2012 10 1211 00010</v>
          </cell>
          <cell r="C481">
            <v>2032012121100070</v>
          </cell>
          <cell r="D481">
            <v>5.8823999999999994E-2</v>
          </cell>
          <cell r="F481">
            <v>0.94117600000000001</v>
          </cell>
          <cell r="G481">
            <v>0</v>
          </cell>
          <cell r="H481">
            <v>1</v>
          </cell>
        </row>
        <row r="482">
          <cell r="B482" t="str">
            <v>203 2014 10 1211 00005</v>
          </cell>
          <cell r="C482">
            <v>2032014121100030</v>
          </cell>
          <cell r="D482">
            <v>5.4945054945054951E-2</v>
          </cell>
          <cell r="F482">
            <v>0.94505494505494503</v>
          </cell>
          <cell r="G482">
            <v>0</v>
          </cell>
          <cell r="H482">
            <v>1</v>
          </cell>
        </row>
        <row r="483">
          <cell r="B483" t="str">
            <v>203 2014 10 1211 00005</v>
          </cell>
          <cell r="C483">
            <v>2032014121100070</v>
          </cell>
          <cell r="D483">
            <v>5.4945054945054951E-2</v>
          </cell>
          <cell r="F483">
            <v>0.94505494505494503</v>
          </cell>
          <cell r="G483">
            <v>0</v>
          </cell>
          <cell r="H483">
            <v>1</v>
          </cell>
        </row>
        <row r="484">
          <cell r="B484" t="str">
            <v>201 2014 10 1211 00006</v>
          </cell>
          <cell r="C484">
            <v>2012014121100000</v>
          </cell>
          <cell r="D484">
            <v>5.4945054945054937E-2</v>
          </cell>
          <cell r="F484">
            <v>0.94505494505494503</v>
          </cell>
          <cell r="G484">
            <v>0</v>
          </cell>
          <cell r="H484">
            <v>1</v>
          </cell>
        </row>
        <row r="485">
          <cell r="B485" t="str">
            <v>201 2014 10 1211 00006</v>
          </cell>
          <cell r="C485">
            <v>2012014121100040</v>
          </cell>
          <cell r="D485">
            <v>5.4945054945054937E-2</v>
          </cell>
          <cell r="F485">
            <v>0.94505494505494503</v>
          </cell>
          <cell r="G485">
            <v>0</v>
          </cell>
          <cell r="H485">
            <v>1</v>
          </cell>
        </row>
        <row r="486">
          <cell r="B486" t="str">
            <v>201 2013 10 1211 00006</v>
          </cell>
          <cell r="C486">
            <v>2012013121100120</v>
          </cell>
          <cell r="D486">
            <v>5.8823529411764705E-2</v>
          </cell>
          <cell r="F486">
            <v>0.94117647058823528</v>
          </cell>
          <cell r="G486">
            <v>0</v>
          </cell>
          <cell r="H486">
            <v>1</v>
          </cell>
        </row>
        <row r="487">
          <cell r="B487" t="str">
            <v>203 2008 10 1211 00005</v>
          </cell>
          <cell r="C487">
            <v>2032009121100040</v>
          </cell>
          <cell r="D487">
            <v>1</v>
          </cell>
          <cell r="E487">
            <v>0</v>
          </cell>
          <cell r="F487">
            <v>0</v>
          </cell>
          <cell r="G487">
            <v>0</v>
          </cell>
          <cell r="H487">
            <v>1</v>
          </cell>
        </row>
        <row r="488">
          <cell r="B488" t="str">
            <v>203 2014 10 1212 00003</v>
          </cell>
          <cell r="C488">
            <v>2032014121200090</v>
          </cell>
          <cell r="D488">
            <v>2.3934698565896376E-2</v>
          </cell>
          <cell r="F488">
            <v>0.41167681533341766</v>
          </cell>
          <cell r="G488">
            <v>0.56438848610068604</v>
          </cell>
          <cell r="H488">
            <v>1</v>
          </cell>
        </row>
        <row r="489">
          <cell r="B489" t="str">
            <v>201 2013 10 1211 00006</v>
          </cell>
          <cell r="C489">
            <v>2012013121100040</v>
          </cell>
          <cell r="D489">
            <v>5.8823529411764705E-2</v>
          </cell>
          <cell r="F489">
            <v>0.94117647058823528</v>
          </cell>
          <cell r="G489">
            <v>0</v>
          </cell>
          <cell r="H489">
            <v>1</v>
          </cell>
        </row>
        <row r="490">
          <cell r="B490" t="str">
            <v>201 2014 10 1211 00006</v>
          </cell>
          <cell r="C490">
            <v>2012014121100120</v>
          </cell>
          <cell r="D490">
            <v>5.4945054945054937E-2</v>
          </cell>
          <cell r="F490">
            <v>0.94505494505494503</v>
          </cell>
          <cell r="G490">
            <v>0</v>
          </cell>
          <cell r="H490">
            <v>1</v>
          </cell>
        </row>
        <row r="491">
          <cell r="B491" t="str">
            <v>203 2012 10 1211 00007</v>
          </cell>
          <cell r="C491">
            <v>2032012121100040</v>
          </cell>
          <cell r="D491">
            <v>0.28239389219784183</v>
          </cell>
          <cell r="F491">
            <v>0.71760610780215817</v>
          </cell>
          <cell r="G491">
            <v>0</v>
          </cell>
          <cell r="H491">
            <v>1</v>
          </cell>
        </row>
        <row r="492">
          <cell r="B492" t="str">
            <v>201 2014 10 1212 00004</v>
          </cell>
          <cell r="C492">
            <v>2012014121200000</v>
          </cell>
          <cell r="D492">
            <v>0.11839683618058792</v>
          </cell>
          <cell r="F492">
            <v>0.88160316381941206</v>
          </cell>
          <cell r="G492">
            <v>0</v>
          </cell>
          <cell r="H492">
            <v>1</v>
          </cell>
        </row>
        <row r="493">
          <cell r="B493" t="str">
            <v>202 2014 10 1212 00006</v>
          </cell>
          <cell r="C493">
            <v>2022014121200000</v>
          </cell>
          <cell r="D493">
            <v>0.83333333333333337</v>
          </cell>
          <cell r="F493">
            <v>0.16666666666666663</v>
          </cell>
          <cell r="G493">
            <v>0</v>
          </cell>
          <cell r="H493">
            <v>1</v>
          </cell>
        </row>
        <row r="494">
          <cell r="B494" t="str">
            <v>203 2008 10 1211 00005</v>
          </cell>
          <cell r="C494">
            <v>2032008121100080</v>
          </cell>
          <cell r="D494">
            <v>7.5208000000000011E-2</v>
          </cell>
          <cell r="E494">
            <v>9.2478999999999992E-2</v>
          </cell>
          <cell r="F494">
            <v>0.83231299999999997</v>
          </cell>
          <cell r="G494">
            <v>0</v>
          </cell>
          <cell r="H494">
            <v>1</v>
          </cell>
        </row>
        <row r="495">
          <cell r="B495" t="str">
            <v>203 2013 10 1211 00009</v>
          </cell>
          <cell r="C495">
            <v>2032013121100060</v>
          </cell>
          <cell r="D495">
            <v>5.8823529411764712E-2</v>
          </cell>
          <cell r="F495">
            <v>0.94117647058823528</v>
          </cell>
          <cell r="G495">
            <v>0</v>
          </cell>
          <cell r="H495">
            <v>1</v>
          </cell>
        </row>
        <row r="496">
          <cell r="B496" t="str">
            <v>201 2013 10 1211 00006</v>
          </cell>
          <cell r="C496">
            <v>2012013121100000</v>
          </cell>
          <cell r="D496">
            <v>5.8823529411764705E-2</v>
          </cell>
          <cell r="F496">
            <v>0.94117647058823528</v>
          </cell>
          <cell r="G496">
            <v>0</v>
          </cell>
          <cell r="H496">
            <v>1</v>
          </cell>
        </row>
        <row r="497">
          <cell r="B497" t="str">
            <v>203 2014 10 1211 00005</v>
          </cell>
          <cell r="C497">
            <v>2032014121100010</v>
          </cell>
          <cell r="D497">
            <v>5.4945054945054951E-2</v>
          </cell>
          <cell r="F497">
            <v>0.94505494505494503</v>
          </cell>
          <cell r="G497">
            <v>0</v>
          </cell>
          <cell r="H497">
            <v>1</v>
          </cell>
        </row>
        <row r="498">
          <cell r="B498" t="str">
            <v>203 2013 10 1211 00009</v>
          </cell>
          <cell r="C498">
            <v>2032013121100020</v>
          </cell>
          <cell r="D498">
            <v>5.8823529411764712E-2</v>
          </cell>
          <cell r="F498">
            <v>0.94117647058823528</v>
          </cell>
          <cell r="G498">
            <v>0</v>
          </cell>
          <cell r="H498">
            <v>1</v>
          </cell>
        </row>
        <row r="499">
          <cell r="B499" t="str">
            <v>203 2014 10 1212 00003</v>
          </cell>
          <cell r="C499">
            <v>2032014121200000</v>
          </cell>
          <cell r="D499">
            <v>2.3934698565896376E-2</v>
          </cell>
          <cell r="F499">
            <v>0.41167681533341766</v>
          </cell>
          <cell r="G499">
            <v>0.56438848610068604</v>
          </cell>
          <cell r="H499">
            <v>1</v>
          </cell>
        </row>
        <row r="500">
          <cell r="B500" t="str">
            <v>203 2013 10 1211 00009</v>
          </cell>
          <cell r="C500">
            <v>2032013121100040</v>
          </cell>
          <cell r="D500">
            <v>5.8823529411764712E-2</v>
          </cell>
          <cell r="F500">
            <v>0.94117647058823528</v>
          </cell>
          <cell r="G500">
            <v>0</v>
          </cell>
          <cell r="H500">
            <v>1</v>
          </cell>
        </row>
        <row r="501">
          <cell r="B501" t="str">
            <v>201 2014 10 1211 00006</v>
          </cell>
          <cell r="C501">
            <v>2012014121100010</v>
          </cell>
          <cell r="D501">
            <v>5.4945054945054937E-2</v>
          </cell>
          <cell r="F501">
            <v>0.94505494505494503</v>
          </cell>
          <cell r="G501">
            <v>0</v>
          </cell>
          <cell r="H501">
            <v>1</v>
          </cell>
        </row>
        <row r="502">
          <cell r="B502" t="str">
            <v>202 2012 10 1212 00001</v>
          </cell>
          <cell r="C502">
            <v>2022013121200000</v>
          </cell>
          <cell r="D502">
            <v>0.13375397424521215</v>
          </cell>
          <cell r="F502">
            <v>0.86624602575478782</v>
          </cell>
          <cell r="G502">
            <v>0</v>
          </cell>
          <cell r="H502">
            <v>1</v>
          </cell>
        </row>
        <row r="503">
          <cell r="B503" t="str">
            <v>203 2014 10 1211 00005</v>
          </cell>
          <cell r="C503">
            <v>2032014121100040</v>
          </cell>
          <cell r="D503">
            <v>5.4945054945054951E-2</v>
          </cell>
          <cell r="F503">
            <v>0.94505494505494503</v>
          </cell>
          <cell r="G503">
            <v>0</v>
          </cell>
          <cell r="H503">
            <v>1</v>
          </cell>
        </row>
        <row r="504">
          <cell r="B504" t="str">
            <v>203 2014 10 1212 00009</v>
          </cell>
          <cell r="C504">
            <v>2032014121200090</v>
          </cell>
          <cell r="D504">
            <v>5.9565902215354273E-2</v>
          </cell>
          <cell r="F504">
            <v>0.83392263101495978</v>
          </cell>
          <cell r="G504">
            <v>0.10651146676968593</v>
          </cell>
          <cell r="H504">
            <v>1</v>
          </cell>
        </row>
        <row r="505">
          <cell r="B505" t="str">
            <v>201 2014 10 1211 00006</v>
          </cell>
          <cell r="C505">
            <v>2012014121100070</v>
          </cell>
          <cell r="D505">
            <v>5.4945054945054937E-2</v>
          </cell>
          <cell r="F505">
            <v>0.94505494505494503</v>
          </cell>
          <cell r="G505">
            <v>0</v>
          </cell>
          <cell r="H505">
            <v>1</v>
          </cell>
        </row>
        <row r="506">
          <cell r="B506" t="str">
            <v>201 2013 10 1211 00006</v>
          </cell>
          <cell r="C506">
            <v>2012013121100150</v>
          </cell>
          <cell r="D506">
            <v>5.8823529411764705E-2</v>
          </cell>
          <cell r="F506">
            <v>0.94117647058823528</v>
          </cell>
          <cell r="G506">
            <v>0</v>
          </cell>
          <cell r="H506">
            <v>1</v>
          </cell>
        </row>
        <row r="507">
          <cell r="B507" t="str">
            <v>203 2014 10 1211 00005</v>
          </cell>
          <cell r="C507">
            <v>2032014121100010</v>
          </cell>
          <cell r="D507">
            <v>5.4945054945054951E-2</v>
          </cell>
          <cell r="F507">
            <v>0.94505494505494503</v>
          </cell>
          <cell r="G507">
            <v>0</v>
          </cell>
          <cell r="H507">
            <v>1</v>
          </cell>
        </row>
        <row r="508">
          <cell r="B508" t="str">
            <v>201 2013 10 1222 00085</v>
          </cell>
          <cell r="C508">
            <v>2012014122200000</v>
          </cell>
          <cell r="D508">
            <v>1</v>
          </cell>
          <cell r="F508">
            <v>0</v>
          </cell>
          <cell r="G508">
            <v>0</v>
          </cell>
          <cell r="H508">
            <v>1</v>
          </cell>
        </row>
        <row r="509">
          <cell r="B509" t="str">
            <v>201 2013 10 1211 00006</v>
          </cell>
          <cell r="C509">
            <v>2012013121100020</v>
          </cell>
          <cell r="D509">
            <v>5.8823529411764705E-2</v>
          </cell>
          <cell r="F509">
            <v>0.94117647058823528</v>
          </cell>
          <cell r="G509">
            <v>0</v>
          </cell>
          <cell r="H509">
            <v>1</v>
          </cell>
        </row>
        <row r="510">
          <cell r="B510" t="str">
            <v>201 2013 10 1211 00006</v>
          </cell>
          <cell r="C510">
            <v>2012013121100180</v>
          </cell>
          <cell r="D510">
            <v>5.8823529411764705E-2</v>
          </cell>
          <cell r="F510">
            <v>0.94117647058823528</v>
          </cell>
          <cell r="G510">
            <v>0</v>
          </cell>
          <cell r="H510">
            <v>1</v>
          </cell>
        </row>
        <row r="511">
          <cell r="B511" t="str">
            <v>201 2012 10 1211 00004</v>
          </cell>
          <cell r="C511">
            <v>2012012121100000</v>
          </cell>
          <cell r="D511">
            <v>1.4755744083876299E-2</v>
          </cell>
          <cell r="F511">
            <v>0.12524425591612401</v>
          </cell>
          <cell r="G511">
            <v>0.85999999999999976</v>
          </cell>
          <cell r="H511">
            <v>1</v>
          </cell>
        </row>
        <row r="512">
          <cell r="B512" t="str">
            <v>201 2013 10 1211 00006</v>
          </cell>
          <cell r="C512">
            <v>2012013121100040</v>
          </cell>
          <cell r="D512">
            <v>5.8823529411764705E-2</v>
          </cell>
          <cell r="F512">
            <v>0.94117647058823528</v>
          </cell>
          <cell r="G512">
            <v>0</v>
          </cell>
          <cell r="H512">
            <v>1</v>
          </cell>
        </row>
        <row r="513">
          <cell r="B513" t="str">
            <v>201 2013 10 1211 00006</v>
          </cell>
          <cell r="C513">
            <v>2012013121100080</v>
          </cell>
          <cell r="D513">
            <v>5.8823529411764705E-2</v>
          </cell>
          <cell r="F513">
            <v>0.94117647058823528</v>
          </cell>
          <cell r="G513">
            <v>0</v>
          </cell>
          <cell r="H513">
            <v>1</v>
          </cell>
        </row>
        <row r="514">
          <cell r="B514" t="str">
            <v>203 2014 10 1212 00009</v>
          </cell>
          <cell r="C514">
            <v>2032014121200040</v>
          </cell>
          <cell r="D514">
            <v>5.9565902215354273E-2</v>
          </cell>
          <cell r="F514">
            <v>0.83392263101495978</v>
          </cell>
          <cell r="G514">
            <v>0.10651146676968593</v>
          </cell>
          <cell r="H514">
            <v>1</v>
          </cell>
        </row>
        <row r="515">
          <cell r="B515" t="str">
            <v>203 2013 10 1211 00009</v>
          </cell>
          <cell r="C515">
            <v>2032013121100080</v>
          </cell>
          <cell r="D515">
            <v>5.8823529411764712E-2</v>
          </cell>
          <cell r="F515">
            <v>0.94117647058823528</v>
          </cell>
          <cell r="G515">
            <v>0</v>
          </cell>
          <cell r="H515">
            <v>1</v>
          </cell>
        </row>
        <row r="516">
          <cell r="B516" t="str">
            <v>203 2014 10 1211 00005</v>
          </cell>
          <cell r="C516">
            <v>2032014121100020</v>
          </cell>
          <cell r="D516">
            <v>5.4945054945054951E-2</v>
          </cell>
          <cell r="F516">
            <v>0.94505494505494503</v>
          </cell>
          <cell r="G516">
            <v>0</v>
          </cell>
          <cell r="H516">
            <v>1</v>
          </cell>
        </row>
        <row r="517">
          <cell r="B517" t="str">
            <v>203 2014 86 1212 00002</v>
          </cell>
          <cell r="C517">
            <v>2032014121200000</v>
          </cell>
          <cell r="D517">
            <v>1</v>
          </cell>
          <cell r="F517">
            <v>0</v>
          </cell>
          <cell r="G517">
            <v>0</v>
          </cell>
          <cell r="H517">
            <v>1</v>
          </cell>
        </row>
        <row r="518">
          <cell r="B518" t="str">
            <v>203 2013 10 1212 00004</v>
          </cell>
          <cell r="C518">
            <v>2032013121200040</v>
          </cell>
          <cell r="D518">
            <v>2.0206579462029521E-2</v>
          </cell>
          <cell r="F518">
            <v>0.32330527139247234</v>
          </cell>
          <cell r="G518">
            <v>0.65648814914549813</v>
          </cell>
          <cell r="H518">
            <v>1</v>
          </cell>
        </row>
        <row r="519">
          <cell r="B519" t="str">
            <v>201 2014 10 1212 00006</v>
          </cell>
          <cell r="C519">
            <v>2012014121200010</v>
          </cell>
          <cell r="D519">
            <v>6.6666666666666666E-2</v>
          </cell>
          <cell r="F519">
            <v>0.93333333333333335</v>
          </cell>
          <cell r="G519">
            <v>0</v>
          </cell>
          <cell r="H519">
            <v>1</v>
          </cell>
        </row>
        <row r="520">
          <cell r="B520" t="str">
            <v>201 2013 10 1211 00006</v>
          </cell>
          <cell r="C520">
            <v>2012013121100040</v>
          </cell>
          <cell r="D520">
            <v>5.8823529411764705E-2</v>
          </cell>
          <cell r="F520">
            <v>0.94117647058823528</v>
          </cell>
          <cell r="G520">
            <v>0</v>
          </cell>
          <cell r="H520">
            <v>1</v>
          </cell>
        </row>
        <row r="521">
          <cell r="B521" t="str">
            <v>201 2013 10 1211 00006</v>
          </cell>
          <cell r="C521">
            <v>2012013121100110</v>
          </cell>
          <cell r="D521">
            <v>5.8823529411764705E-2</v>
          </cell>
          <cell r="F521">
            <v>0.94117647058823528</v>
          </cell>
          <cell r="G521">
            <v>0</v>
          </cell>
          <cell r="H521">
            <v>1</v>
          </cell>
        </row>
        <row r="522">
          <cell r="B522" t="str">
            <v>203 2014 10 1211 00005</v>
          </cell>
          <cell r="C522">
            <v>2032014121100010</v>
          </cell>
          <cell r="D522">
            <v>5.4945054945054951E-2</v>
          </cell>
          <cell r="F522">
            <v>0.94505494505494503</v>
          </cell>
          <cell r="G522">
            <v>0</v>
          </cell>
          <cell r="H522">
            <v>1</v>
          </cell>
        </row>
        <row r="523">
          <cell r="B523" t="str">
            <v>203 2014 10 1212 00002</v>
          </cell>
          <cell r="C523">
            <v>2032014121200050</v>
          </cell>
          <cell r="D523">
            <v>6.9160007392485526E-2</v>
          </cell>
          <cell r="F523">
            <v>0.93083999260751449</v>
          </cell>
          <cell r="G523">
            <v>0</v>
          </cell>
          <cell r="H523">
            <v>1</v>
          </cell>
        </row>
        <row r="524">
          <cell r="B524" t="str">
            <v>203 2013 10 1211 00009</v>
          </cell>
          <cell r="C524">
            <v>2032013121100090</v>
          </cell>
          <cell r="D524">
            <v>5.8823529411764712E-2</v>
          </cell>
          <cell r="F524">
            <v>0.94117647058823528</v>
          </cell>
          <cell r="G524">
            <v>0</v>
          </cell>
          <cell r="H524">
            <v>1</v>
          </cell>
        </row>
        <row r="525">
          <cell r="B525" t="str">
            <v>201 2014 10 1212 00006</v>
          </cell>
          <cell r="C525">
            <v>2012014121200010</v>
          </cell>
          <cell r="D525">
            <v>6.6666666666666666E-2</v>
          </cell>
          <cell r="F525">
            <v>0.93333333333333335</v>
          </cell>
          <cell r="G525">
            <v>0</v>
          </cell>
          <cell r="H525">
            <v>1</v>
          </cell>
        </row>
        <row r="526">
          <cell r="B526" t="str">
            <v>201 2014 10 1211 00006</v>
          </cell>
          <cell r="C526">
            <v>2012014121100040</v>
          </cell>
          <cell r="D526">
            <v>5.4945054945054937E-2</v>
          </cell>
          <cell r="F526">
            <v>0.94505494505494503</v>
          </cell>
          <cell r="G526">
            <v>0</v>
          </cell>
          <cell r="H526">
            <v>1</v>
          </cell>
        </row>
        <row r="527">
          <cell r="B527" t="str">
            <v>203 2014 10 1212 00003</v>
          </cell>
          <cell r="C527">
            <v>2032014121200090</v>
          </cell>
          <cell r="D527">
            <v>2.3934698565896376E-2</v>
          </cell>
          <cell r="F527">
            <v>0.41167681533341766</v>
          </cell>
          <cell r="G527">
            <v>0.56438848610068604</v>
          </cell>
          <cell r="H527">
            <v>1</v>
          </cell>
        </row>
        <row r="528">
          <cell r="B528" t="str">
            <v>201 2012 10 1212 00016</v>
          </cell>
          <cell r="C528">
            <v>2012013121200010</v>
          </cell>
          <cell r="D528">
            <v>0.15175381888485223</v>
          </cell>
          <cell r="F528">
            <v>0.84824618111514782</v>
          </cell>
          <cell r="G528">
            <v>0</v>
          </cell>
          <cell r="H528">
            <v>1</v>
          </cell>
        </row>
        <row r="529">
          <cell r="B529" t="str">
            <v>201 2014 10 1211 00006</v>
          </cell>
          <cell r="C529">
            <v>2012014121100120</v>
          </cell>
          <cell r="D529">
            <v>5.4945054945054937E-2</v>
          </cell>
          <cell r="F529">
            <v>0.94505494505494503</v>
          </cell>
          <cell r="G529">
            <v>0</v>
          </cell>
          <cell r="H529">
            <v>1</v>
          </cell>
        </row>
        <row r="530">
          <cell r="B530" t="str">
            <v>201 2013 10 1211 00006</v>
          </cell>
          <cell r="C530">
            <v>2012013121100170</v>
          </cell>
          <cell r="D530">
            <v>5.8823529411764705E-2</v>
          </cell>
          <cell r="F530">
            <v>0.94117647058823528</v>
          </cell>
          <cell r="G530">
            <v>0</v>
          </cell>
          <cell r="H530">
            <v>1</v>
          </cell>
        </row>
        <row r="531">
          <cell r="B531" t="str">
            <v>203 2014 10 1211 00005</v>
          </cell>
          <cell r="C531">
            <v>2032014121100040</v>
          </cell>
          <cell r="D531">
            <v>5.4945054945054951E-2</v>
          </cell>
          <cell r="F531">
            <v>0.94505494505494503</v>
          </cell>
          <cell r="G531">
            <v>0</v>
          </cell>
          <cell r="H531">
            <v>1</v>
          </cell>
        </row>
        <row r="532">
          <cell r="B532" t="str">
            <v>203 2013 10 1211 00009</v>
          </cell>
          <cell r="C532">
            <v>2032013121100080</v>
          </cell>
          <cell r="D532">
            <v>5.8823529411764712E-2</v>
          </cell>
          <cell r="F532">
            <v>0.94117647058823528</v>
          </cell>
          <cell r="G532">
            <v>0</v>
          </cell>
          <cell r="H532">
            <v>1</v>
          </cell>
        </row>
        <row r="533">
          <cell r="B533" t="str">
            <v>203 2014 10 1212 00009</v>
          </cell>
          <cell r="C533">
            <v>2032014121200050</v>
          </cell>
          <cell r="D533">
            <v>5.9565902215354273E-2</v>
          </cell>
          <cell r="F533">
            <v>0.83392263101495978</v>
          </cell>
          <cell r="G533">
            <v>0.10651146676968593</v>
          </cell>
          <cell r="H533">
            <v>1</v>
          </cell>
        </row>
        <row r="534">
          <cell r="B534" t="str">
            <v>203 2013 10 1211 00009</v>
          </cell>
          <cell r="C534">
            <v>2032013121100110</v>
          </cell>
          <cell r="D534">
            <v>5.8823529411764712E-2</v>
          </cell>
          <cell r="F534">
            <v>0.94117647058823528</v>
          </cell>
          <cell r="G534">
            <v>0</v>
          </cell>
          <cell r="H534">
            <v>1</v>
          </cell>
        </row>
        <row r="535">
          <cell r="B535" t="str">
            <v>203 2013 10 1211 00009</v>
          </cell>
          <cell r="C535">
            <v>2032013121100070</v>
          </cell>
          <cell r="D535">
            <v>5.8823529411764712E-2</v>
          </cell>
          <cell r="F535">
            <v>0.94117647058823528</v>
          </cell>
          <cell r="G535">
            <v>0</v>
          </cell>
          <cell r="H535">
            <v>1</v>
          </cell>
        </row>
        <row r="536">
          <cell r="B536" t="str">
            <v>203 2012 10 1211 00010</v>
          </cell>
          <cell r="C536">
            <v>2032012121100080</v>
          </cell>
          <cell r="D536">
            <v>5.8823999999999994E-2</v>
          </cell>
          <cell r="F536">
            <v>0.94117600000000001</v>
          </cell>
          <cell r="G536">
            <v>0</v>
          </cell>
          <cell r="H536">
            <v>1</v>
          </cell>
        </row>
        <row r="537">
          <cell r="B537" t="str">
            <v>201 2013 10 1222 00069</v>
          </cell>
          <cell r="C537">
            <v>2012013122200000</v>
          </cell>
          <cell r="D537">
            <v>1</v>
          </cell>
          <cell r="F537">
            <v>0</v>
          </cell>
          <cell r="G537">
            <v>0</v>
          </cell>
          <cell r="H537">
            <v>1</v>
          </cell>
        </row>
        <row r="538">
          <cell r="B538" t="str">
            <v>201 2013 10 1211 00006</v>
          </cell>
          <cell r="C538">
            <v>2012013121100160</v>
          </cell>
          <cell r="D538">
            <v>5.8823529411764705E-2</v>
          </cell>
          <cell r="F538">
            <v>0.94117647058823528</v>
          </cell>
          <cell r="G538">
            <v>0</v>
          </cell>
          <cell r="H538">
            <v>1</v>
          </cell>
        </row>
        <row r="539">
          <cell r="B539" t="str">
            <v>203 2014 10 1212 00003</v>
          </cell>
          <cell r="C539">
            <v>2032014121200060</v>
          </cell>
          <cell r="D539">
            <v>2.3934698565896376E-2</v>
          </cell>
          <cell r="F539">
            <v>0.41167681533341766</v>
          </cell>
          <cell r="G539">
            <v>0.56438848610068604</v>
          </cell>
          <cell r="H539">
            <v>1</v>
          </cell>
        </row>
        <row r="540">
          <cell r="B540" t="str">
            <v>201 2012 10 1212 00005</v>
          </cell>
          <cell r="C540">
            <v>2012012121200010</v>
          </cell>
          <cell r="D540">
            <v>7.3642749602937707E-2</v>
          </cell>
          <cell r="F540">
            <v>0.92635725039706229</v>
          </cell>
          <cell r="G540">
            <v>0</v>
          </cell>
          <cell r="H540">
            <v>1</v>
          </cell>
        </row>
        <row r="541">
          <cell r="B541" t="str">
            <v>201 2014 10 1211 00006</v>
          </cell>
          <cell r="C541">
            <v>2012014121100070</v>
          </cell>
          <cell r="D541">
            <v>5.4945054945054937E-2</v>
          </cell>
          <cell r="F541">
            <v>0.94505494505494503</v>
          </cell>
          <cell r="G541">
            <v>0</v>
          </cell>
          <cell r="H541">
            <v>1</v>
          </cell>
        </row>
        <row r="542">
          <cell r="B542" t="str">
            <v>201 2014 10 1211 00006</v>
          </cell>
          <cell r="C542">
            <v>2012014121100120</v>
          </cell>
          <cell r="D542">
            <v>5.4945054945054937E-2</v>
          </cell>
          <cell r="F542">
            <v>0.94505494505494503</v>
          </cell>
          <cell r="G542">
            <v>0</v>
          </cell>
          <cell r="H542">
            <v>1</v>
          </cell>
        </row>
        <row r="543">
          <cell r="B543" t="str">
            <v>201 2014 10 1211 00006</v>
          </cell>
          <cell r="C543">
            <v>2012014121100000</v>
          </cell>
          <cell r="D543">
            <v>5.4945054945054937E-2</v>
          </cell>
          <cell r="F543">
            <v>0.94505494505494503</v>
          </cell>
          <cell r="G543">
            <v>0</v>
          </cell>
          <cell r="H543">
            <v>1</v>
          </cell>
        </row>
        <row r="544">
          <cell r="B544" t="str">
            <v>201 2014 10 1211 00006</v>
          </cell>
          <cell r="C544">
            <v>2012014121100050</v>
          </cell>
          <cell r="D544">
            <v>5.4945054945054937E-2</v>
          </cell>
          <cell r="F544">
            <v>0.94505494505494503</v>
          </cell>
          <cell r="G544">
            <v>0</v>
          </cell>
          <cell r="H544">
            <v>1</v>
          </cell>
        </row>
        <row r="545">
          <cell r="B545" t="str">
            <v>201 2013 10 1211 00006</v>
          </cell>
          <cell r="C545">
            <v>2012013121100080</v>
          </cell>
          <cell r="D545">
            <v>5.8823529411764705E-2</v>
          </cell>
          <cell r="F545">
            <v>0.94117647058823528</v>
          </cell>
          <cell r="G545">
            <v>0</v>
          </cell>
          <cell r="H545">
            <v>1</v>
          </cell>
        </row>
        <row r="546">
          <cell r="B546" t="str">
            <v>201 2013 10 1211 00006</v>
          </cell>
          <cell r="C546">
            <v>2012013121100170</v>
          </cell>
          <cell r="D546">
            <v>5.8823529411764705E-2</v>
          </cell>
          <cell r="F546">
            <v>0.94117647058823528</v>
          </cell>
          <cell r="G546">
            <v>0</v>
          </cell>
          <cell r="H546">
            <v>1</v>
          </cell>
        </row>
        <row r="547">
          <cell r="B547" t="str">
            <v>203 2008 10 1211 00005</v>
          </cell>
          <cell r="C547">
            <v>2032009121100040</v>
          </cell>
          <cell r="D547">
            <v>7.5208000000000011E-2</v>
          </cell>
          <cell r="E547">
            <v>9.2478999999999992E-2</v>
          </cell>
          <cell r="F547">
            <v>0.83231299999999997</v>
          </cell>
          <cell r="G547">
            <v>0</v>
          </cell>
          <cell r="H547">
            <v>1</v>
          </cell>
        </row>
        <row r="548">
          <cell r="B548" t="str">
            <v>203 2013 10 1211 00003</v>
          </cell>
          <cell r="C548">
            <v>2032013121100100</v>
          </cell>
          <cell r="D548">
            <v>0.28239389219784183</v>
          </cell>
          <cell r="F548">
            <v>0.71760610780215817</v>
          </cell>
          <cell r="G548">
            <v>0</v>
          </cell>
          <cell r="H548">
            <v>1</v>
          </cell>
        </row>
        <row r="549">
          <cell r="B549" t="str">
            <v>203 2014 10 1212 00009</v>
          </cell>
          <cell r="C549">
            <v>2032014121200010</v>
          </cell>
          <cell r="D549">
            <v>5.9565902215354273E-2</v>
          </cell>
          <cell r="F549">
            <v>0.83392263101495978</v>
          </cell>
          <cell r="G549">
            <v>0.10651146676968593</v>
          </cell>
          <cell r="H549">
            <v>1</v>
          </cell>
        </row>
        <row r="550">
          <cell r="B550" t="str">
            <v>203 2013 10 1211 00009</v>
          </cell>
          <cell r="C550">
            <v>2032013121100050</v>
          </cell>
          <cell r="D550">
            <v>5.8823529411764712E-2</v>
          </cell>
          <cell r="F550">
            <v>0.94117647058823528</v>
          </cell>
          <cell r="G550">
            <v>0</v>
          </cell>
          <cell r="H550">
            <v>1</v>
          </cell>
        </row>
        <row r="551">
          <cell r="B551" t="str">
            <v>201 2013 10 1212 00007</v>
          </cell>
          <cell r="C551">
            <v>2012013121200010</v>
          </cell>
          <cell r="D551">
            <v>0.28996487511877078</v>
          </cell>
          <cell r="F551">
            <v>0.71003512488122922</v>
          </cell>
          <cell r="G551">
            <v>0</v>
          </cell>
          <cell r="H551">
            <v>1</v>
          </cell>
        </row>
        <row r="552">
          <cell r="B552" t="str">
            <v>201 2014 10 1211 00006</v>
          </cell>
          <cell r="C552">
            <v>2012014121100040</v>
          </cell>
          <cell r="D552">
            <v>5.4945054945054937E-2</v>
          </cell>
          <cell r="F552">
            <v>0.94505494505494503</v>
          </cell>
          <cell r="G552">
            <v>0</v>
          </cell>
          <cell r="H552">
            <v>1</v>
          </cell>
        </row>
        <row r="553">
          <cell r="B553" t="str">
            <v>201 2013 10 1211 00006</v>
          </cell>
          <cell r="C553">
            <v>2012013121100120</v>
          </cell>
          <cell r="D553">
            <v>5.8823529411764705E-2</v>
          </cell>
          <cell r="F553">
            <v>0.94117647058823528</v>
          </cell>
          <cell r="G553">
            <v>0</v>
          </cell>
          <cell r="H553">
            <v>1</v>
          </cell>
        </row>
        <row r="554">
          <cell r="B554" t="str">
            <v>201 2013 10 1211 00006</v>
          </cell>
          <cell r="C554">
            <v>2012013121100210</v>
          </cell>
          <cell r="D554">
            <v>5.8823529411764705E-2</v>
          </cell>
          <cell r="F554">
            <v>0.94117647058823528</v>
          </cell>
          <cell r="G554">
            <v>0</v>
          </cell>
          <cell r="H554">
            <v>1</v>
          </cell>
        </row>
        <row r="555">
          <cell r="B555" t="str">
            <v>203 2014 10 1212 00003</v>
          </cell>
          <cell r="C555">
            <v>2032014121200000</v>
          </cell>
          <cell r="D555">
            <v>2.3934698565896376E-2</v>
          </cell>
          <cell r="F555">
            <v>0.41167681533341766</v>
          </cell>
          <cell r="G555">
            <v>0.56438848610068604</v>
          </cell>
          <cell r="H555">
            <v>1</v>
          </cell>
        </row>
        <row r="556">
          <cell r="B556" t="str">
            <v>201 2013 10 1212 00019</v>
          </cell>
          <cell r="C556">
            <v>2012013121200020</v>
          </cell>
          <cell r="D556">
            <v>0.11718494688808323</v>
          </cell>
          <cell r="F556">
            <v>0.88281505311191677</v>
          </cell>
          <cell r="G556">
            <v>0</v>
          </cell>
          <cell r="H556">
            <v>1</v>
          </cell>
        </row>
        <row r="557">
          <cell r="B557" t="str">
            <v>201 2013 10 1211 00006</v>
          </cell>
          <cell r="C557">
            <v>2012013121100130</v>
          </cell>
          <cell r="D557">
            <v>5.8823529411764705E-2</v>
          </cell>
          <cell r="F557">
            <v>0.94117647058823528</v>
          </cell>
          <cell r="G557">
            <v>0</v>
          </cell>
          <cell r="H557">
            <v>1</v>
          </cell>
        </row>
        <row r="558">
          <cell r="B558" t="str">
            <v>203 2014 10 1211 00005</v>
          </cell>
          <cell r="C558">
            <v>2032014121100060</v>
          </cell>
          <cell r="D558">
            <v>5.4945054945054951E-2</v>
          </cell>
          <cell r="F558">
            <v>0.94505494505494503</v>
          </cell>
          <cell r="G558">
            <v>0</v>
          </cell>
          <cell r="H558">
            <v>1</v>
          </cell>
        </row>
        <row r="559">
          <cell r="B559" t="str">
            <v>201 2012 10 1211 00006</v>
          </cell>
          <cell r="C559">
            <v>2012012121100010</v>
          </cell>
          <cell r="D559">
            <v>7.2738201232028885E-2</v>
          </cell>
          <cell r="F559">
            <v>0.9272617987679711</v>
          </cell>
          <cell r="G559">
            <v>0</v>
          </cell>
          <cell r="H559">
            <v>1</v>
          </cell>
        </row>
        <row r="560">
          <cell r="B560" t="str">
            <v>201 2013 10 1211 00006</v>
          </cell>
          <cell r="C560">
            <v>2012013121100220</v>
          </cell>
          <cell r="D560">
            <v>5.8823529411764705E-2</v>
          </cell>
          <cell r="F560">
            <v>0.94117647058823528</v>
          </cell>
          <cell r="G560">
            <v>0</v>
          </cell>
          <cell r="H560">
            <v>1</v>
          </cell>
        </row>
        <row r="561">
          <cell r="B561" t="str">
            <v>203 2014 10 1211 00004</v>
          </cell>
          <cell r="C561">
            <v>2032014121100000</v>
          </cell>
          <cell r="D561">
            <v>5.5426939491429725E-2</v>
          </cell>
          <cell r="F561">
            <v>0.94457306050857026</v>
          </cell>
          <cell r="G561">
            <v>0</v>
          </cell>
          <cell r="H561">
            <v>1</v>
          </cell>
        </row>
        <row r="562">
          <cell r="B562" t="str">
            <v>200 2006 10 1211   00033</v>
          </cell>
          <cell r="C562">
            <v>2032007121100040</v>
          </cell>
          <cell r="D562">
            <v>9.2201000000000005E-2</v>
          </cell>
          <cell r="E562">
            <v>9.078E-2</v>
          </cell>
          <cell r="F562">
            <v>0.81701900000000005</v>
          </cell>
          <cell r="G562">
            <v>0</v>
          </cell>
          <cell r="H562">
            <v>1</v>
          </cell>
        </row>
        <row r="563">
          <cell r="B563" t="str">
            <v>203 2013 10 1211 00009</v>
          </cell>
          <cell r="C563">
            <v>2032013121100090</v>
          </cell>
          <cell r="D563">
            <v>5.8823529411764712E-2</v>
          </cell>
          <cell r="F563">
            <v>0.94117647058823528</v>
          </cell>
          <cell r="G563">
            <v>0</v>
          </cell>
          <cell r="H563">
            <v>1</v>
          </cell>
        </row>
        <row r="564">
          <cell r="B564" t="str">
            <v>201 2013 10 1211 00006</v>
          </cell>
          <cell r="C564">
            <v>2012013121100070</v>
          </cell>
          <cell r="D564">
            <v>5.8823529411764705E-2</v>
          </cell>
          <cell r="F564">
            <v>0.94117647058823528</v>
          </cell>
          <cell r="G564">
            <v>0</v>
          </cell>
          <cell r="H564">
            <v>1</v>
          </cell>
        </row>
        <row r="565">
          <cell r="B565" t="str">
            <v>203 2012 10 1211 00011</v>
          </cell>
          <cell r="C565">
            <v>2032012121100050</v>
          </cell>
          <cell r="D565">
            <v>5.8823999999999994E-2</v>
          </cell>
          <cell r="F565">
            <v>0.94117600000000001</v>
          </cell>
          <cell r="G565">
            <v>0</v>
          </cell>
          <cell r="H565">
            <v>1</v>
          </cell>
        </row>
        <row r="566">
          <cell r="B566" t="str">
            <v>203 2013 10 1211 00009</v>
          </cell>
          <cell r="C566">
            <v>2032013121100090</v>
          </cell>
          <cell r="D566">
            <v>5.8823529411764712E-2</v>
          </cell>
          <cell r="F566">
            <v>0.94117647058823528</v>
          </cell>
          <cell r="G566">
            <v>0</v>
          </cell>
          <cell r="H566">
            <v>1</v>
          </cell>
        </row>
        <row r="567">
          <cell r="B567" t="str">
            <v>201 2006 10 1211 00004</v>
          </cell>
          <cell r="C567">
            <v>2012006121100010</v>
          </cell>
          <cell r="D567">
            <v>9.2200000000000004E-2</v>
          </cell>
          <cell r="E567">
            <v>9.0800000000000006E-2</v>
          </cell>
          <cell r="F567">
            <v>0.81699999999999995</v>
          </cell>
          <cell r="G567">
            <v>0</v>
          </cell>
          <cell r="H567">
            <v>1</v>
          </cell>
        </row>
        <row r="568">
          <cell r="B568" t="str">
            <v>201 2013 10 1211 00006</v>
          </cell>
          <cell r="C568">
            <v>2012013121100110</v>
          </cell>
          <cell r="D568">
            <v>5.8823529411764705E-2</v>
          </cell>
          <cell r="F568">
            <v>0.94117647058823528</v>
          </cell>
          <cell r="G568">
            <v>0</v>
          </cell>
          <cell r="H568">
            <v>1</v>
          </cell>
        </row>
        <row r="569">
          <cell r="B569" t="str">
            <v>203 2014 10 1212 00003</v>
          </cell>
          <cell r="C569">
            <v>2032014121200060</v>
          </cell>
          <cell r="D569">
            <v>2.3934698565896376E-2</v>
          </cell>
          <cell r="F569">
            <v>0.41167681533341766</v>
          </cell>
          <cell r="G569">
            <v>0.56438848610068604</v>
          </cell>
          <cell r="H569">
            <v>1</v>
          </cell>
        </row>
        <row r="570">
          <cell r="B570" t="str">
            <v>203 2013 10 1211 00009</v>
          </cell>
          <cell r="C570">
            <v>2032013121100120</v>
          </cell>
          <cell r="D570">
            <v>5.8823529411764712E-2</v>
          </cell>
          <cell r="F570">
            <v>0.94117647058823528</v>
          </cell>
          <cell r="G570">
            <v>0</v>
          </cell>
          <cell r="H570">
            <v>1</v>
          </cell>
        </row>
        <row r="571">
          <cell r="B571" t="str">
            <v>203 2013 10 1212 00001</v>
          </cell>
          <cell r="C571">
            <v>2032013121200040</v>
          </cell>
          <cell r="D571">
            <v>0.46548974499959167</v>
          </cell>
          <cell r="F571">
            <v>0.53451025500040839</v>
          </cell>
          <cell r="G571">
            <v>0</v>
          </cell>
          <cell r="H571">
            <v>1</v>
          </cell>
        </row>
        <row r="572">
          <cell r="B572" t="str">
            <v>203 2008 10 1211 00005</v>
          </cell>
          <cell r="C572">
            <v>2032009121100060</v>
          </cell>
          <cell r="D572">
            <v>7.4214000000000002E-2</v>
          </cell>
          <cell r="E572">
            <v>9.2600000000000002E-2</v>
          </cell>
          <cell r="F572">
            <v>0.83318599999999998</v>
          </cell>
          <cell r="G572">
            <v>0</v>
          </cell>
          <cell r="H572">
            <v>1</v>
          </cell>
        </row>
        <row r="573">
          <cell r="B573" t="str">
            <v>202 2014 10 1212 00005</v>
          </cell>
          <cell r="C573">
            <v>2022014121200000</v>
          </cell>
          <cell r="D573">
            <v>0.75</v>
          </cell>
          <cell r="F573">
            <v>0.25</v>
          </cell>
          <cell r="G573">
            <v>0</v>
          </cell>
          <cell r="H573">
            <v>1</v>
          </cell>
        </row>
        <row r="574">
          <cell r="B574" t="str">
            <v>203 2013 10 1222 00009</v>
          </cell>
          <cell r="C574">
            <v>2032013122200000</v>
          </cell>
          <cell r="D574">
            <v>1</v>
          </cell>
          <cell r="F574">
            <v>0</v>
          </cell>
          <cell r="G574">
            <v>0</v>
          </cell>
          <cell r="H574">
            <v>1</v>
          </cell>
        </row>
        <row r="575">
          <cell r="B575" t="str">
            <v>203 2013 10 1211 00009</v>
          </cell>
          <cell r="C575">
            <v>2032013121100020</v>
          </cell>
          <cell r="D575">
            <v>5.8823529411764712E-2</v>
          </cell>
          <cell r="F575">
            <v>0.94117647058823528</v>
          </cell>
          <cell r="G575">
            <v>0</v>
          </cell>
          <cell r="H575">
            <v>1</v>
          </cell>
        </row>
        <row r="576">
          <cell r="B576" t="str">
            <v>201 2013 10 1211 00006</v>
          </cell>
          <cell r="C576">
            <v>2012013121100010</v>
          </cell>
          <cell r="D576">
            <v>5.8823529411764705E-2</v>
          </cell>
          <cell r="F576">
            <v>0.94117647058823528</v>
          </cell>
          <cell r="G576">
            <v>0</v>
          </cell>
          <cell r="H576">
            <v>1</v>
          </cell>
        </row>
        <row r="577">
          <cell r="B577" t="str">
            <v>201 2013 10 1211 00006</v>
          </cell>
          <cell r="C577">
            <v>2012013121100090</v>
          </cell>
          <cell r="D577">
            <v>5.8823529411764705E-2</v>
          </cell>
          <cell r="F577">
            <v>0.94117647058823528</v>
          </cell>
          <cell r="G577">
            <v>0</v>
          </cell>
          <cell r="H577">
            <v>1</v>
          </cell>
        </row>
        <row r="578">
          <cell r="B578" t="str">
            <v>201 2013 10 1211 00006</v>
          </cell>
          <cell r="C578">
            <v>2012013121100140</v>
          </cell>
          <cell r="D578">
            <v>5.8823529411764705E-2</v>
          </cell>
          <cell r="F578">
            <v>0.94117647058823528</v>
          </cell>
          <cell r="G578">
            <v>0</v>
          </cell>
          <cell r="H578">
            <v>1</v>
          </cell>
        </row>
        <row r="579">
          <cell r="B579" t="str">
            <v>203 2014 10 1211 00005</v>
          </cell>
          <cell r="C579">
            <v>2032014121100020</v>
          </cell>
          <cell r="D579">
            <v>5.4945054945054951E-2</v>
          </cell>
          <cell r="F579">
            <v>0.94505494505494503</v>
          </cell>
          <cell r="G579">
            <v>0</v>
          </cell>
          <cell r="H579">
            <v>1</v>
          </cell>
        </row>
        <row r="580">
          <cell r="B580" t="str">
            <v>203 2012 10 1211 00015</v>
          </cell>
          <cell r="C580">
            <v>2032012121100060</v>
          </cell>
          <cell r="D580">
            <v>0.77511650551410594</v>
          </cell>
          <cell r="F580">
            <v>0.22488349448589406</v>
          </cell>
          <cell r="G580">
            <v>0</v>
          </cell>
          <cell r="H580">
            <v>1</v>
          </cell>
        </row>
        <row r="581">
          <cell r="B581" t="str">
            <v>203 2014 10 1211 00006</v>
          </cell>
          <cell r="C581">
            <v>2032014121100090</v>
          </cell>
          <cell r="D581">
            <v>0.28239389219784183</v>
          </cell>
          <cell r="F581">
            <v>0.71760610780215817</v>
          </cell>
          <cell r="G581">
            <v>0</v>
          </cell>
          <cell r="H581">
            <v>1</v>
          </cell>
        </row>
        <row r="582">
          <cell r="B582" t="str">
            <v>203 2013 10 1211 00009</v>
          </cell>
          <cell r="C582">
            <v>2032013121100090</v>
          </cell>
          <cell r="D582">
            <v>5.8823529411764712E-2</v>
          </cell>
          <cell r="F582">
            <v>0.94117647058823528</v>
          </cell>
          <cell r="G582">
            <v>0</v>
          </cell>
          <cell r="H582">
            <v>1</v>
          </cell>
        </row>
        <row r="583">
          <cell r="B583" t="str">
            <v>201 2013 10 1212 00004</v>
          </cell>
          <cell r="C583">
            <v>2012013121200010</v>
          </cell>
          <cell r="D583">
            <v>7.2463768115942032E-2</v>
          </cell>
          <cell r="F583">
            <v>0.92753623188405798</v>
          </cell>
          <cell r="G583">
            <v>0</v>
          </cell>
          <cell r="H583">
            <v>1</v>
          </cell>
        </row>
        <row r="584">
          <cell r="B584" t="str">
            <v>201 2014 10 1211 00006</v>
          </cell>
          <cell r="C584">
            <v>2012014121100110</v>
          </cell>
          <cell r="D584">
            <v>5.4945054945054937E-2</v>
          </cell>
          <cell r="F584">
            <v>0.94505494505494503</v>
          </cell>
          <cell r="G584">
            <v>0</v>
          </cell>
          <cell r="H584">
            <v>1</v>
          </cell>
        </row>
        <row r="585">
          <cell r="B585" t="str">
            <v>203 2010 10 1211 00003</v>
          </cell>
          <cell r="C585">
            <v>2032010121100000</v>
          </cell>
          <cell r="D585">
            <v>0.32839000000000002</v>
          </cell>
          <cell r="E585">
            <v>3.3581E-2</v>
          </cell>
          <cell r="F585">
            <v>0.63802900000000007</v>
          </cell>
          <cell r="G585">
            <v>0</v>
          </cell>
          <cell r="H585">
            <v>1</v>
          </cell>
        </row>
        <row r="586">
          <cell r="B586" t="str">
            <v>203 2014 10 1211 00005</v>
          </cell>
          <cell r="C586">
            <v>2032014121100040</v>
          </cell>
          <cell r="D586">
            <v>5.4945054945054951E-2</v>
          </cell>
          <cell r="F586">
            <v>0.94505494505494503</v>
          </cell>
          <cell r="G586">
            <v>0</v>
          </cell>
          <cell r="H586">
            <v>1</v>
          </cell>
        </row>
        <row r="587">
          <cell r="B587" t="str">
            <v>200 2006 10 1211   00033</v>
          </cell>
          <cell r="C587">
            <v>2032007121100150</v>
          </cell>
          <cell r="D587">
            <v>1</v>
          </cell>
          <cell r="E587">
            <v>0</v>
          </cell>
          <cell r="F587">
            <v>0</v>
          </cell>
          <cell r="G587">
            <v>0</v>
          </cell>
          <cell r="H587">
            <v>1</v>
          </cell>
        </row>
        <row r="588">
          <cell r="B588" t="str">
            <v>201 2014 10 1211 00006</v>
          </cell>
          <cell r="C588">
            <v>2012014121100010</v>
          </cell>
          <cell r="D588">
            <v>5.4945054945054937E-2</v>
          </cell>
          <cell r="F588">
            <v>0.94505494505494503</v>
          </cell>
          <cell r="G588">
            <v>0</v>
          </cell>
          <cell r="H588">
            <v>1</v>
          </cell>
        </row>
        <row r="589">
          <cell r="B589" t="str">
            <v>201 2014 10 1211 00006</v>
          </cell>
          <cell r="C589">
            <v>2012014121100120</v>
          </cell>
          <cell r="D589">
            <v>5.4945054945054937E-2</v>
          </cell>
          <cell r="F589">
            <v>0.94505494505494503</v>
          </cell>
          <cell r="G589">
            <v>0</v>
          </cell>
          <cell r="H589">
            <v>1</v>
          </cell>
        </row>
        <row r="590">
          <cell r="B590" t="str">
            <v>201 2013 10 1211 00006</v>
          </cell>
          <cell r="C590">
            <v>2012013121100210</v>
          </cell>
          <cell r="D590">
            <v>5.8823529411764705E-2</v>
          </cell>
          <cell r="F590">
            <v>0.94117647058823528</v>
          </cell>
          <cell r="G590">
            <v>0</v>
          </cell>
          <cell r="H590">
            <v>1</v>
          </cell>
        </row>
        <row r="591">
          <cell r="B591" t="str">
            <v>203 2014 10 1212 00003</v>
          </cell>
          <cell r="C591">
            <v>2032014121200010</v>
          </cell>
          <cell r="D591">
            <v>2.3934698565896376E-2</v>
          </cell>
          <cell r="F591">
            <v>0.41167681533341766</v>
          </cell>
          <cell r="G591">
            <v>0.56438848610068604</v>
          </cell>
          <cell r="H591">
            <v>1</v>
          </cell>
        </row>
        <row r="592">
          <cell r="B592" t="str">
            <v>203 2014 10 1211 00005</v>
          </cell>
          <cell r="C592">
            <v>2032014121100080</v>
          </cell>
          <cell r="D592">
            <v>5.4945054945054951E-2</v>
          </cell>
          <cell r="F592">
            <v>0.94505494505494503</v>
          </cell>
          <cell r="G592">
            <v>0</v>
          </cell>
          <cell r="H592">
            <v>1</v>
          </cell>
        </row>
        <row r="593">
          <cell r="B593" t="str">
            <v>203 2014 10 1211 00005</v>
          </cell>
          <cell r="C593">
            <v>2032014121100080</v>
          </cell>
          <cell r="D593">
            <v>5.4945054945054951E-2</v>
          </cell>
          <cell r="F593">
            <v>0.94505494505494503</v>
          </cell>
          <cell r="G593">
            <v>0</v>
          </cell>
          <cell r="H593">
            <v>1</v>
          </cell>
        </row>
        <row r="594">
          <cell r="B594" t="str">
            <v>201 2013 10 1211 00006</v>
          </cell>
          <cell r="C594">
            <v>2012013121100080</v>
          </cell>
          <cell r="D594">
            <v>5.8823529411764705E-2</v>
          </cell>
          <cell r="F594">
            <v>0.94117647058823528</v>
          </cell>
          <cell r="G594">
            <v>0</v>
          </cell>
          <cell r="H594">
            <v>1</v>
          </cell>
        </row>
        <row r="595">
          <cell r="B595" t="str">
            <v>202 2011 60 1211   00010</v>
          </cell>
          <cell r="C595">
            <v>2022012121100000</v>
          </cell>
          <cell r="D595">
            <v>0.15465926721054996</v>
          </cell>
          <cell r="F595">
            <v>0.84534073278944999</v>
          </cell>
          <cell r="G595">
            <v>0</v>
          </cell>
          <cell r="H595">
            <v>1</v>
          </cell>
        </row>
        <row r="596">
          <cell r="B596" t="str">
            <v>203 2011 10 1212 00001</v>
          </cell>
          <cell r="C596">
            <v>2032011121200010</v>
          </cell>
          <cell r="D596">
            <v>9.8538667104225187E-3</v>
          </cell>
          <cell r="F596">
            <v>0.18722346749802787</v>
          </cell>
          <cell r="G596">
            <v>0.80292266579154958</v>
          </cell>
          <cell r="H596">
            <v>1</v>
          </cell>
        </row>
        <row r="597">
          <cell r="B597" t="str">
            <v>203 2012 10 1211 00009</v>
          </cell>
          <cell r="C597">
            <v>2032012121100080</v>
          </cell>
          <cell r="D597">
            <v>9.8039613804000364E-2</v>
          </cell>
          <cell r="F597">
            <v>0.90196038619599961</v>
          </cell>
          <cell r="G597">
            <v>0</v>
          </cell>
          <cell r="H597">
            <v>1</v>
          </cell>
        </row>
        <row r="598">
          <cell r="B598" t="str">
            <v>201 2013 10 1211 00006</v>
          </cell>
          <cell r="C598">
            <v>2012013121100170</v>
          </cell>
          <cell r="D598">
            <v>5.8823529411764705E-2</v>
          </cell>
          <cell r="F598">
            <v>0.94117647058823528</v>
          </cell>
          <cell r="G598">
            <v>0</v>
          </cell>
          <cell r="H598">
            <v>1</v>
          </cell>
        </row>
        <row r="599">
          <cell r="B599" t="str">
            <v>202 2012 60 1211 00006</v>
          </cell>
          <cell r="C599">
            <v>2022012121100000</v>
          </cell>
          <cell r="D599">
            <v>0.19332408401318743</v>
          </cell>
          <cell r="F599">
            <v>0.80667591598681254</v>
          </cell>
          <cell r="G599">
            <v>0</v>
          </cell>
          <cell r="H599">
            <v>1</v>
          </cell>
        </row>
        <row r="600">
          <cell r="B600" t="str">
            <v>203 2013 60 1221 00007</v>
          </cell>
          <cell r="C600">
            <v>2032014122100000</v>
          </cell>
          <cell r="D600">
            <v>1</v>
          </cell>
          <cell r="F600">
            <v>0</v>
          </cell>
          <cell r="G600">
            <v>0</v>
          </cell>
          <cell r="H600">
            <v>1</v>
          </cell>
        </row>
        <row r="601">
          <cell r="B601" t="str">
            <v>203 2014 10 1212 00002</v>
          </cell>
          <cell r="C601">
            <v>2032014121200080</v>
          </cell>
          <cell r="D601">
            <v>6.9160007392485526E-2</v>
          </cell>
          <cell r="F601">
            <v>0.93083999260751449</v>
          </cell>
          <cell r="G601">
            <v>0</v>
          </cell>
          <cell r="H601">
            <v>1</v>
          </cell>
        </row>
        <row r="602">
          <cell r="B602" t="str">
            <v>201 2012 10 1211 00006</v>
          </cell>
          <cell r="C602">
            <v>2012012121100020</v>
          </cell>
          <cell r="D602">
            <v>7.2738201232028885E-2</v>
          </cell>
          <cell r="F602">
            <v>0.9272617987679711</v>
          </cell>
          <cell r="G602">
            <v>0</v>
          </cell>
          <cell r="H602">
            <v>1</v>
          </cell>
        </row>
        <row r="603">
          <cell r="B603" t="str">
            <v>200 2006 10 1211   00033</v>
          </cell>
          <cell r="C603">
            <v>2032007121100080</v>
          </cell>
          <cell r="D603">
            <v>0.23458700000000002</v>
          </cell>
          <cell r="E603">
            <v>7.6540999999999998E-2</v>
          </cell>
          <cell r="F603">
            <v>0.68887200000000004</v>
          </cell>
          <cell r="G603">
            <v>0</v>
          </cell>
          <cell r="H603">
            <v>1</v>
          </cell>
        </row>
        <row r="604">
          <cell r="B604" t="str">
            <v>201 2011 10 1211 00001</v>
          </cell>
          <cell r="C604">
            <v>2012011121100000</v>
          </cell>
          <cell r="D604">
            <v>1</v>
          </cell>
          <cell r="F604">
            <v>0</v>
          </cell>
          <cell r="G604">
            <v>0</v>
          </cell>
          <cell r="H604">
            <v>1</v>
          </cell>
        </row>
        <row r="605">
          <cell r="B605" t="str">
            <v>201 2012 65 1212 00015</v>
          </cell>
          <cell r="C605">
            <v>2012012121200020</v>
          </cell>
          <cell r="D605">
            <v>7.3642749602937707E-2</v>
          </cell>
          <cell r="F605">
            <v>0.92635725039706229</v>
          </cell>
          <cell r="G605">
            <v>0</v>
          </cell>
          <cell r="H605">
            <v>1</v>
          </cell>
        </row>
        <row r="606">
          <cell r="B606" t="str">
            <v>201 2014 10 1211 00006</v>
          </cell>
          <cell r="C606">
            <v>2012014121100090</v>
          </cell>
          <cell r="D606">
            <v>5.4945054945054937E-2</v>
          </cell>
          <cell r="F606">
            <v>0.94505494505494503</v>
          </cell>
          <cell r="G606">
            <v>0</v>
          </cell>
          <cell r="H606">
            <v>1</v>
          </cell>
        </row>
        <row r="607">
          <cell r="B607" t="str">
            <v>203 2013 10 1211 00009</v>
          </cell>
          <cell r="C607">
            <v>2032013121100090</v>
          </cell>
          <cell r="D607">
            <v>5.8823529411764712E-2</v>
          </cell>
          <cell r="F607">
            <v>0.94117647058823528</v>
          </cell>
          <cell r="G607">
            <v>0</v>
          </cell>
          <cell r="H607">
            <v>1</v>
          </cell>
        </row>
        <row r="608">
          <cell r="B608" t="str">
            <v>203 2014 10 1211 00006</v>
          </cell>
          <cell r="C608">
            <v>2032014121100090</v>
          </cell>
          <cell r="D608">
            <v>0.28239389219784183</v>
          </cell>
          <cell r="F608">
            <v>0.71760610780215817</v>
          </cell>
          <cell r="G608">
            <v>0</v>
          </cell>
          <cell r="H608">
            <v>1</v>
          </cell>
        </row>
        <row r="609">
          <cell r="B609" t="str">
            <v>201 2013 10 1211 00006</v>
          </cell>
          <cell r="C609">
            <v>2012013121100040</v>
          </cell>
          <cell r="D609">
            <v>5.8823529411764705E-2</v>
          </cell>
          <cell r="F609">
            <v>0.94117647058823528</v>
          </cell>
          <cell r="G609">
            <v>0</v>
          </cell>
          <cell r="H609">
            <v>1</v>
          </cell>
        </row>
        <row r="610">
          <cell r="B610" t="str">
            <v>201 2014 10 1221 00006</v>
          </cell>
          <cell r="C610">
            <v>2012014122100000</v>
          </cell>
          <cell r="D610">
            <v>0.625</v>
          </cell>
          <cell r="F610">
            <v>0.375</v>
          </cell>
          <cell r="G610">
            <v>0</v>
          </cell>
          <cell r="H610">
            <v>1</v>
          </cell>
        </row>
        <row r="611">
          <cell r="B611" t="str">
            <v>201 2012 10 1211 00006</v>
          </cell>
          <cell r="C611">
            <v>2012012121100010</v>
          </cell>
          <cell r="D611">
            <v>7.2738201232028885E-2</v>
          </cell>
          <cell r="F611">
            <v>0.9272617987679711</v>
          </cell>
          <cell r="G611">
            <v>0</v>
          </cell>
          <cell r="H611">
            <v>1</v>
          </cell>
        </row>
        <row r="612">
          <cell r="B612" t="str">
            <v>201 2013 10 1211 00006</v>
          </cell>
          <cell r="C612">
            <v>2012013121100160</v>
          </cell>
          <cell r="D612">
            <v>5.8823529411764705E-2</v>
          </cell>
          <cell r="F612">
            <v>0.94117647058823528</v>
          </cell>
          <cell r="G612">
            <v>0</v>
          </cell>
          <cell r="H612">
            <v>1</v>
          </cell>
        </row>
        <row r="613">
          <cell r="B613" t="str">
            <v>203 2013 10 1212 00002</v>
          </cell>
          <cell r="C613">
            <v>2032013121200030</v>
          </cell>
          <cell r="D613">
            <v>1</v>
          </cell>
          <cell r="F613">
            <v>0</v>
          </cell>
          <cell r="G613">
            <v>0</v>
          </cell>
          <cell r="H613">
            <v>1</v>
          </cell>
        </row>
        <row r="614">
          <cell r="B614" t="str">
            <v>203 2014 10 1211 00006</v>
          </cell>
          <cell r="C614">
            <v>2032014121100090</v>
          </cell>
          <cell r="D614">
            <v>0.28239389219784183</v>
          </cell>
          <cell r="F614">
            <v>0.71760610780215817</v>
          </cell>
          <cell r="G614">
            <v>0</v>
          </cell>
          <cell r="H614">
            <v>1</v>
          </cell>
        </row>
        <row r="615">
          <cell r="B615" t="str">
            <v>201 2013 10 1211 00006</v>
          </cell>
          <cell r="C615">
            <v>2012013121100020</v>
          </cell>
          <cell r="D615">
            <v>5.8823529411764705E-2</v>
          </cell>
          <cell r="F615">
            <v>0.94117647058823528</v>
          </cell>
          <cell r="G615">
            <v>0</v>
          </cell>
          <cell r="H615">
            <v>1</v>
          </cell>
        </row>
        <row r="616">
          <cell r="B616" t="str">
            <v>201 2014 10 1211 00006</v>
          </cell>
          <cell r="C616">
            <v>2012014121100080</v>
          </cell>
          <cell r="D616">
            <v>5.4945054945054937E-2</v>
          </cell>
          <cell r="F616">
            <v>0.94505494505494503</v>
          </cell>
          <cell r="G616">
            <v>0</v>
          </cell>
          <cell r="H616">
            <v>1</v>
          </cell>
        </row>
        <row r="617">
          <cell r="B617" t="str">
            <v>201 2013 10 1211 00006</v>
          </cell>
          <cell r="C617">
            <v>2012013121100220</v>
          </cell>
          <cell r="D617">
            <v>5.8823529411764705E-2</v>
          </cell>
          <cell r="F617">
            <v>0.94117647058823528</v>
          </cell>
          <cell r="G617">
            <v>0</v>
          </cell>
          <cell r="H617">
            <v>1</v>
          </cell>
        </row>
        <row r="618">
          <cell r="B618" t="str">
            <v>205 2013 10 1221 00003</v>
          </cell>
          <cell r="C618">
            <v>2052013122100000</v>
          </cell>
          <cell r="D618">
            <v>0.46728921774007959</v>
          </cell>
          <cell r="F618">
            <v>0.53271078225992041</v>
          </cell>
          <cell r="G618">
            <v>0</v>
          </cell>
          <cell r="H618">
            <v>1</v>
          </cell>
        </row>
        <row r="619">
          <cell r="B619" t="str">
            <v>203 2013 10 1212 00014</v>
          </cell>
          <cell r="C619">
            <v>2032014121200060</v>
          </cell>
          <cell r="D619">
            <v>0.30226273886312938</v>
          </cell>
          <cell r="F619">
            <v>0.69773726113687062</v>
          </cell>
          <cell r="G619">
            <v>0</v>
          </cell>
          <cell r="H619">
            <v>1</v>
          </cell>
        </row>
        <row r="620">
          <cell r="B620" t="str">
            <v>201 2013 10 1212 00015</v>
          </cell>
          <cell r="C620">
            <v>2012013121200030</v>
          </cell>
          <cell r="D620">
            <v>0.15175409523601405</v>
          </cell>
          <cell r="F620">
            <v>0.84824590476398598</v>
          </cell>
          <cell r="G620">
            <v>0</v>
          </cell>
          <cell r="H620">
            <v>1</v>
          </cell>
        </row>
        <row r="621">
          <cell r="B621" t="str">
            <v>203 2008 10 1211 00005</v>
          </cell>
          <cell r="C621">
            <v>2032008121100120</v>
          </cell>
          <cell r="D621">
            <v>0.14061999999999999</v>
          </cell>
          <cell r="E621">
            <v>8.5938000000000001E-2</v>
          </cell>
          <cell r="F621">
            <v>0.77344200000000007</v>
          </cell>
          <cell r="G621">
            <v>0</v>
          </cell>
          <cell r="H621">
            <v>1</v>
          </cell>
        </row>
        <row r="622">
          <cell r="B622" t="str">
            <v>203 2014 10 1211 00005</v>
          </cell>
          <cell r="C622">
            <v>2032014121100000</v>
          </cell>
          <cell r="D622">
            <v>5.4945054945054951E-2</v>
          </cell>
          <cell r="F622">
            <v>0.94505494505494503</v>
          </cell>
          <cell r="G622">
            <v>0</v>
          </cell>
          <cell r="H622">
            <v>1</v>
          </cell>
        </row>
        <row r="623">
          <cell r="B623" t="str">
            <v>203 2013 10 1212 00005</v>
          </cell>
          <cell r="C623">
            <v>2032013121200030</v>
          </cell>
          <cell r="D623">
            <v>6.3007606812346864E-2</v>
          </cell>
          <cell r="F623">
            <v>0.80649736719803988</v>
          </cell>
          <cell r="G623">
            <v>0.13049502598961327</v>
          </cell>
          <cell r="H623">
            <v>1</v>
          </cell>
        </row>
        <row r="624">
          <cell r="B624" t="str">
            <v>201 2012 10 1212 00004</v>
          </cell>
          <cell r="C624">
            <v>2012012121200020</v>
          </cell>
          <cell r="D624">
            <v>0.10605654604331205</v>
          </cell>
          <cell r="F624">
            <v>0.89394345395668795</v>
          </cell>
          <cell r="G624">
            <v>0</v>
          </cell>
          <cell r="H624">
            <v>1</v>
          </cell>
        </row>
        <row r="625">
          <cell r="B625" t="str">
            <v>201 2013 10 1211 00006</v>
          </cell>
          <cell r="C625">
            <v>2012013121100050</v>
          </cell>
          <cell r="D625">
            <v>5.8823529411764705E-2</v>
          </cell>
          <cell r="F625">
            <v>0.94117647058823528</v>
          </cell>
          <cell r="G625">
            <v>0</v>
          </cell>
          <cell r="H625">
            <v>1</v>
          </cell>
        </row>
        <row r="626">
          <cell r="B626" t="str">
            <v>201 2014 10 1211 00006</v>
          </cell>
          <cell r="C626">
            <v>2012014121100070</v>
          </cell>
          <cell r="D626">
            <v>5.4945054945054937E-2</v>
          </cell>
          <cell r="F626">
            <v>0.94505494505494503</v>
          </cell>
          <cell r="G626">
            <v>0</v>
          </cell>
          <cell r="H626">
            <v>1</v>
          </cell>
        </row>
        <row r="627">
          <cell r="B627" t="str">
            <v>201 2013 10 1211 00006</v>
          </cell>
          <cell r="C627">
            <v>2012013121100210</v>
          </cell>
          <cell r="D627">
            <v>5.8823529411764705E-2</v>
          </cell>
          <cell r="F627">
            <v>0.94117647058823528</v>
          </cell>
          <cell r="G627">
            <v>0</v>
          </cell>
          <cell r="H627">
            <v>1</v>
          </cell>
        </row>
        <row r="628">
          <cell r="B628" t="str">
            <v>203 2008 10 1211 00005</v>
          </cell>
          <cell r="C628">
            <v>2032008121100030</v>
          </cell>
          <cell r="D628">
            <v>7.5208000000000011E-2</v>
          </cell>
          <cell r="E628">
            <v>9.2478999999999992E-2</v>
          </cell>
          <cell r="F628">
            <v>0.83231299999999997</v>
          </cell>
          <cell r="G628">
            <v>0</v>
          </cell>
          <cell r="H628">
            <v>1</v>
          </cell>
        </row>
        <row r="629">
          <cell r="B629" t="str">
            <v>203 2014 10 1211 00005</v>
          </cell>
          <cell r="C629">
            <v>2032014121100050</v>
          </cell>
          <cell r="D629">
            <v>5.4945054945054951E-2</v>
          </cell>
          <cell r="F629">
            <v>0.94505494505494503</v>
          </cell>
          <cell r="G629">
            <v>0</v>
          </cell>
          <cell r="H629">
            <v>1</v>
          </cell>
        </row>
        <row r="630">
          <cell r="B630" t="str">
            <v>203 2014 10 1212 00003</v>
          </cell>
          <cell r="C630">
            <v>2032014121200020</v>
          </cell>
          <cell r="D630">
            <v>2.3934698565896376E-2</v>
          </cell>
          <cell r="F630">
            <v>0.41167681533341766</v>
          </cell>
          <cell r="G630">
            <v>0.56438848610068604</v>
          </cell>
          <cell r="H630">
            <v>1</v>
          </cell>
        </row>
        <row r="631">
          <cell r="B631" t="str">
            <v>203 2013 10 1211 00003</v>
          </cell>
          <cell r="C631">
            <v>2032013121100120</v>
          </cell>
          <cell r="D631">
            <v>0.28239389219784183</v>
          </cell>
          <cell r="F631">
            <v>0.71760610780215817</v>
          </cell>
          <cell r="G631">
            <v>0</v>
          </cell>
          <cell r="H631">
            <v>1</v>
          </cell>
        </row>
        <row r="632">
          <cell r="B632" t="str">
            <v>203 2014 10 1211 00005</v>
          </cell>
          <cell r="C632">
            <v>2032014121100010</v>
          </cell>
          <cell r="D632">
            <v>5.4945054945054951E-2</v>
          </cell>
          <cell r="F632">
            <v>0.94505494505494503</v>
          </cell>
          <cell r="G632">
            <v>0</v>
          </cell>
          <cell r="H632">
            <v>1</v>
          </cell>
        </row>
        <row r="633">
          <cell r="B633" t="str">
            <v>201 2014 10 1212 00010</v>
          </cell>
          <cell r="C633">
            <v>2012014121200010</v>
          </cell>
          <cell r="D633">
            <v>0.11718494688808323</v>
          </cell>
          <cell r="F633">
            <v>0.88281505311191677</v>
          </cell>
          <cell r="G633">
            <v>0</v>
          </cell>
          <cell r="H633">
            <v>1</v>
          </cell>
        </row>
        <row r="634">
          <cell r="B634" t="str">
            <v>202 2011 10 1212 00006</v>
          </cell>
          <cell r="C634">
            <v>2022011121200000</v>
          </cell>
          <cell r="D634">
            <v>0.75187969924812026</v>
          </cell>
          <cell r="F634">
            <v>0.24812030075187974</v>
          </cell>
          <cell r="G634">
            <v>0</v>
          </cell>
          <cell r="H634">
            <v>1</v>
          </cell>
        </row>
        <row r="635">
          <cell r="B635" t="str">
            <v>203 2014 10 1212 00003</v>
          </cell>
          <cell r="C635">
            <v>2032014121200040</v>
          </cell>
          <cell r="D635">
            <v>2.3934698565896376E-2</v>
          </cell>
          <cell r="F635">
            <v>0.41167681533341766</v>
          </cell>
          <cell r="G635">
            <v>0.56438848610068604</v>
          </cell>
          <cell r="H635">
            <v>1</v>
          </cell>
        </row>
        <row r="636">
          <cell r="B636" t="str">
            <v>203 2013 10 1211 00009</v>
          </cell>
          <cell r="C636">
            <v>2032013121100080</v>
          </cell>
          <cell r="D636">
            <v>5.8823529411764712E-2</v>
          </cell>
          <cell r="F636">
            <v>0.94117647058823528</v>
          </cell>
          <cell r="G636">
            <v>0</v>
          </cell>
          <cell r="H636">
            <v>1</v>
          </cell>
        </row>
        <row r="637">
          <cell r="B637" t="str">
            <v>203 2012 10 1211 00009</v>
          </cell>
          <cell r="C637">
            <v>2032012121100060</v>
          </cell>
          <cell r="D637">
            <v>9.8039613804000364E-2</v>
          </cell>
          <cell r="F637">
            <v>0.90196038619599961</v>
          </cell>
          <cell r="G637">
            <v>0</v>
          </cell>
          <cell r="H637">
            <v>1</v>
          </cell>
        </row>
        <row r="638">
          <cell r="B638" t="str">
            <v>203 2014 10 1211 00005</v>
          </cell>
          <cell r="C638">
            <v>2032014121100040</v>
          </cell>
          <cell r="D638">
            <v>5.4945054945054951E-2</v>
          </cell>
          <cell r="F638">
            <v>0.94505494505494503</v>
          </cell>
          <cell r="G638">
            <v>0</v>
          </cell>
          <cell r="H638">
            <v>1</v>
          </cell>
        </row>
        <row r="639">
          <cell r="B639" t="str">
            <v>203 2014 10 1212 00011</v>
          </cell>
          <cell r="C639">
            <v>2032014121200080</v>
          </cell>
          <cell r="D639">
            <v>0.2155046172804585</v>
          </cell>
          <cell r="F639">
            <v>0.78449538271954156</v>
          </cell>
          <cell r="G639">
            <v>0</v>
          </cell>
          <cell r="H639">
            <v>1</v>
          </cell>
        </row>
        <row r="640">
          <cell r="B640" t="str">
            <v>203 2013 10 1212 00005</v>
          </cell>
          <cell r="C640">
            <v>2032013121200020</v>
          </cell>
          <cell r="D640">
            <v>6.3007606812346864E-2</v>
          </cell>
          <cell r="F640">
            <v>0.80649736719803988</v>
          </cell>
          <cell r="G640">
            <v>0.13049502598961327</v>
          </cell>
          <cell r="H640">
            <v>1</v>
          </cell>
        </row>
        <row r="641">
          <cell r="B641" t="str">
            <v>203 2014 10 1212 00003</v>
          </cell>
          <cell r="C641">
            <v>2032014121200060</v>
          </cell>
          <cell r="D641">
            <v>2.3934698565896376E-2</v>
          </cell>
          <cell r="F641">
            <v>0.41167681533341766</v>
          </cell>
          <cell r="G641">
            <v>0.56438848610068604</v>
          </cell>
          <cell r="H641">
            <v>1</v>
          </cell>
        </row>
        <row r="642">
          <cell r="B642" t="str">
            <v>203 2013 10 1211 00009</v>
          </cell>
          <cell r="C642">
            <v>2032013121100010</v>
          </cell>
          <cell r="D642">
            <v>5.8823529411764712E-2</v>
          </cell>
          <cell r="F642">
            <v>0.94117647058823528</v>
          </cell>
          <cell r="G642">
            <v>0</v>
          </cell>
          <cell r="H642">
            <v>1</v>
          </cell>
        </row>
        <row r="643">
          <cell r="B643" t="str">
            <v>203 2014 10 1212 00009</v>
          </cell>
          <cell r="C643">
            <v>2032014121200040</v>
          </cell>
          <cell r="D643">
            <v>5.9565902215354273E-2</v>
          </cell>
          <cell r="F643">
            <v>0.83392263101495978</v>
          </cell>
          <cell r="G643">
            <v>0.10651146676968593</v>
          </cell>
          <cell r="H643">
            <v>1</v>
          </cell>
        </row>
        <row r="644">
          <cell r="B644" t="str">
            <v>201 2014 10 1211 00006</v>
          </cell>
          <cell r="C644">
            <v>2012014121100070</v>
          </cell>
          <cell r="D644">
            <v>5.4945054945054937E-2</v>
          </cell>
          <cell r="F644">
            <v>0.94505494505494503</v>
          </cell>
          <cell r="G644">
            <v>0</v>
          </cell>
          <cell r="H644">
            <v>1</v>
          </cell>
        </row>
        <row r="645">
          <cell r="B645" t="str">
            <v>203 2014 10 1212 00003</v>
          </cell>
          <cell r="C645">
            <v>2032014121200040</v>
          </cell>
          <cell r="D645">
            <v>2.3934698565896376E-2</v>
          </cell>
          <cell r="F645">
            <v>0.41167681533341766</v>
          </cell>
          <cell r="G645">
            <v>0.56438848610068604</v>
          </cell>
          <cell r="H645">
            <v>1</v>
          </cell>
        </row>
        <row r="646">
          <cell r="B646" t="str">
            <v>203 2008 10 1211 00005</v>
          </cell>
          <cell r="C646">
            <v>2032008121100090</v>
          </cell>
          <cell r="D646">
            <v>0.90152399999999999</v>
          </cell>
          <cell r="E646">
            <v>9.9000000000000008E-3</v>
          </cell>
          <cell r="F646">
            <v>8.8576000000000002E-2</v>
          </cell>
          <cell r="G646">
            <v>0</v>
          </cell>
          <cell r="H646">
            <v>1</v>
          </cell>
        </row>
        <row r="647">
          <cell r="B647" t="str">
            <v>202 2011 10 1212 00007</v>
          </cell>
          <cell r="C647">
            <v>2022012121200000</v>
          </cell>
          <cell r="D647">
            <v>0.26599281819390874</v>
          </cell>
          <cell r="F647">
            <v>0.73400718180609126</v>
          </cell>
          <cell r="G647">
            <v>0</v>
          </cell>
          <cell r="H647">
            <v>1</v>
          </cell>
        </row>
        <row r="648">
          <cell r="B648" t="str">
            <v>203 2014 10 1211 00005</v>
          </cell>
          <cell r="C648">
            <v>2032014121100080</v>
          </cell>
          <cell r="D648">
            <v>5.4945054945054951E-2</v>
          </cell>
          <cell r="F648">
            <v>0.94505494505494503</v>
          </cell>
          <cell r="G648">
            <v>0</v>
          </cell>
          <cell r="H648">
            <v>1</v>
          </cell>
        </row>
        <row r="649">
          <cell r="B649" t="str">
            <v>203 2014 10 1211 00004</v>
          </cell>
          <cell r="C649">
            <v>2032014121100060</v>
          </cell>
          <cell r="D649">
            <v>5.5426939491429725E-2</v>
          </cell>
          <cell r="F649">
            <v>0.94457306050857026</v>
          </cell>
          <cell r="G649">
            <v>0</v>
          </cell>
          <cell r="H649">
            <v>1</v>
          </cell>
        </row>
        <row r="650">
          <cell r="B650" t="str">
            <v>203 2008 10 1211 00005</v>
          </cell>
          <cell r="C650">
            <v>2032008121100120</v>
          </cell>
          <cell r="D650">
            <v>1</v>
          </cell>
          <cell r="E650">
            <v>0</v>
          </cell>
          <cell r="F650">
            <v>0</v>
          </cell>
          <cell r="G650">
            <v>0</v>
          </cell>
          <cell r="H650">
            <v>1</v>
          </cell>
        </row>
        <row r="651">
          <cell r="B651" t="str">
            <v>203 2012 10 1212 00001</v>
          </cell>
          <cell r="C651">
            <v>2032012121200010</v>
          </cell>
          <cell r="D651">
            <v>1.2305896517794601E-2</v>
          </cell>
          <cell r="F651">
            <v>0.77500000000000002</v>
          </cell>
          <cell r="G651">
            <v>0.21269410348220541</v>
          </cell>
          <cell r="H651">
            <v>1</v>
          </cell>
        </row>
        <row r="652">
          <cell r="B652" t="str">
            <v>203 2014 10 1212 00011</v>
          </cell>
          <cell r="C652">
            <v>2032014121200030</v>
          </cell>
          <cell r="D652">
            <v>0.2155046172804585</v>
          </cell>
          <cell r="F652">
            <v>0.78449538271954156</v>
          </cell>
          <cell r="G652">
            <v>0</v>
          </cell>
          <cell r="H652">
            <v>1</v>
          </cell>
        </row>
        <row r="653">
          <cell r="B653" t="str">
            <v>203 2012 10 1211 00007</v>
          </cell>
          <cell r="C653">
            <v>2032012121100070</v>
          </cell>
          <cell r="D653">
            <v>0.28239389219784183</v>
          </cell>
          <cell r="F653">
            <v>0.71760610780215817</v>
          </cell>
          <cell r="G653">
            <v>0</v>
          </cell>
          <cell r="H653">
            <v>1</v>
          </cell>
        </row>
        <row r="654">
          <cell r="B654" t="str">
            <v>201 2014 10 1212 00005</v>
          </cell>
          <cell r="C654">
            <v>2012014121200010</v>
          </cell>
          <cell r="D654">
            <v>0.15650289709462167</v>
          </cell>
          <cell r="F654">
            <v>0.84349710290537838</v>
          </cell>
          <cell r="G654">
            <v>0</v>
          </cell>
          <cell r="H654">
            <v>1</v>
          </cell>
        </row>
        <row r="655">
          <cell r="B655" t="str">
            <v>201 2014 10 1211 00006</v>
          </cell>
          <cell r="C655">
            <v>2012014121100120</v>
          </cell>
          <cell r="D655">
            <v>5.4945054945054937E-2</v>
          </cell>
          <cell r="F655">
            <v>0.94505494505494503</v>
          </cell>
          <cell r="G655">
            <v>0</v>
          </cell>
          <cell r="H655">
            <v>1</v>
          </cell>
        </row>
        <row r="656">
          <cell r="B656" t="str">
            <v>201 2013 10 1211 00006</v>
          </cell>
          <cell r="C656">
            <v>2012013121100210</v>
          </cell>
          <cell r="D656">
            <v>5.8823529411764705E-2</v>
          </cell>
          <cell r="F656">
            <v>0.94117647058823528</v>
          </cell>
          <cell r="G656">
            <v>0</v>
          </cell>
          <cell r="H656">
            <v>1</v>
          </cell>
        </row>
        <row r="657">
          <cell r="B657" t="str">
            <v>203 2013 10 1211 00009</v>
          </cell>
          <cell r="C657">
            <v>2032013121100070</v>
          </cell>
          <cell r="D657">
            <v>5.8823529411764712E-2</v>
          </cell>
          <cell r="F657">
            <v>0.94117647058823528</v>
          </cell>
          <cell r="G657">
            <v>0</v>
          </cell>
          <cell r="H657">
            <v>1</v>
          </cell>
        </row>
        <row r="658">
          <cell r="B658" t="str">
            <v>201 2013 10 1211 00006</v>
          </cell>
          <cell r="C658">
            <v>2012013121100040</v>
          </cell>
          <cell r="D658">
            <v>5.8823529411764705E-2</v>
          </cell>
          <cell r="F658">
            <v>0.94117647058823528</v>
          </cell>
          <cell r="G658">
            <v>0</v>
          </cell>
          <cell r="H658">
            <v>1</v>
          </cell>
        </row>
        <row r="659">
          <cell r="B659" t="str">
            <v>202 2012 10 1221 00001</v>
          </cell>
          <cell r="C659">
            <v>2022012122100000</v>
          </cell>
          <cell r="D659">
            <v>0.93984962406015038</v>
          </cell>
          <cell r="F659">
            <v>6.0150375939849621E-2</v>
          </cell>
          <cell r="G659">
            <v>0</v>
          </cell>
          <cell r="H659">
            <v>1</v>
          </cell>
        </row>
        <row r="660">
          <cell r="B660" t="str">
            <v>201 2014 10 1211 00006</v>
          </cell>
          <cell r="C660">
            <v>2012014121100070</v>
          </cell>
          <cell r="D660">
            <v>5.4945054945054937E-2</v>
          </cell>
          <cell r="F660">
            <v>0.94505494505494503</v>
          </cell>
          <cell r="G660">
            <v>0</v>
          </cell>
          <cell r="H660">
            <v>1</v>
          </cell>
        </row>
        <row r="661">
          <cell r="B661" t="str">
            <v>201 2013 10 1211 00006</v>
          </cell>
          <cell r="C661">
            <v>2012013121100110</v>
          </cell>
          <cell r="D661">
            <v>5.8823529411764705E-2</v>
          </cell>
          <cell r="F661">
            <v>0.94117647058823528</v>
          </cell>
          <cell r="G661">
            <v>0</v>
          </cell>
          <cell r="H661">
            <v>1</v>
          </cell>
        </row>
        <row r="662">
          <cell r="B662" t="str">
            <v>203 2013 10 1212 00004</v>
          </cell>
          <cell r="C662">
            <v>2032013121200030</v>
          </cell>
          <cell r="D662">
            <v>2.0206579462029521E-2</v>
          </cell>
          <cell r="F662">
            <v>0.32330527139247234</v>
          </cell>
          <cell r="G662">
            <v>0.65648814914549813</v>
          </cell>
          <cell r="H662">
            <v>1</v>
          </cell>
        </row>
        <row r="663">
          <cell r="B663" t="str">
            <v>203 2008 10 1211 00005</v>
          </cell>
          <cell r="C663">
            <v>2032009121100070</v>
          </cell>
          <cell r="D663">
            <v>8.0823999999999993E-2</v>
          </cell>
          <cell r="E663">
            <v>9.1918000000000014E-2</v>
          </cell>
          <cell r="F663">
            <v>0.82725799999999994</v>
          </cell>
          <cell r="G663">
            <v>0</v>
          </cell>
          <cell r="H663">
            <v>1</v>
          </cell>
        </row>
        <row r="664">
          <cell r="B664" t="str">
            <v>203 2013 10 1211 00009</v>
          </cell>
          <cell r="C664">
            <v>2032013121100130</v>
          </cell>
          <cell r="D664">
            <v>5.8823529411764712E-2</v>
          </cell>
          <cell r="F664">
            <v>0.94117647058823528</v>
          </cell>
          <cell r="G664">
            <v>0</v>
          </cell>
          <cell r="H664">
            <v>1</v>
          </cell>
        </row>
        <row r="665">
          <cell r="B665" t="str">
            <v>203 2014 10 1212 00003</v>
          </cell>
          <cell r="C665">
            <v>2032014121200000</v>
          </cell>
          <cell r="D665">
            <v>2.3934698565896376E-2</v>
          </cell>
          <cell r="F665">
            <v>0.41167681533341766</v>
          </cell>
          <cell r="G665">
            <v>0.56438848610068604</v>
          </cell>
          <cell r="H665">
            <v>1</v>
          </cell>
        </row>
        <row r="666">
          <cell r="B666" t="str">
            <v>203 2013 10 1211 00009</v>
          </cell>
          <cell r="C666">
            <v>2032013121100110</v>
          </cell>
          <cell r="D666">
            <v>5.8823529411764712E-2</v>
          </cell>
          <cell r="F666">
            <v>0.94117647058823528</v>
          </cell>
          <cell r="G666">
            <v>0</v>
          </cell>
          <cell r="H666">
            <v>1</v>
          </cell>
        </row>
        <row r="667">
          <cell r="B667" t="str">
            <v>205 2013 10 1212 00015</v>
          </cell>
          <cell r="C667">
            <v>2052014121200000</v>
          </cell>
          <cell r="D667">
            <v>7.2463768115942032E-2</v>
          </cell>
          <cell r="F667">
            <v>0.92753623188405798</v>
          </cell>
          <cell r="G667">
            <v>0</v>
          </cell>
          <cell r="H667">
            <v>1</v>
          </cell>
        </row>
        <row r="668">
          <cell r="B668" t="str">
            <v>203 2014 10 1212 00003</v>
          </cell>
          <cell r="C668">
            <v>2032014121200000</v>
          </cell>
          <cell r="D668">
            <v>2.3934698565896376E-2</v>
          </cell>
          <cell r="F668">
            <v>0.41167681533341766</v>
          </cell>
          <cell r="G668">
            <v>0.56438848610068604</v>
          </cell>
          <cell r="H668">
            <v>1</v>
          </cell>
        </row>
        <row r="669">
          <cell r="B669" t="str">
            <v>203 2014 10 1211 00005</v>
          </cell>
          <cell r="C669">
            <v>2032014121100070</v>
          </cell>
          <cell r="D669">
            <v>5.4945054945054951E-2</v>
          </cell>
          <cell r="F669">
            <v>0.94505494505494503</v>
          </cell>
          <cell r="G669">
            <v>0</v>
          </cell>
          <cell r="H669">
            <v>1</v>
          </cell>
        </row>
        <row r="670">
          <cell r="B670" t="str">
            <v>201 2014 10 1211 00006</v>
          </cell>
          <cell r="C670">
            <v>2012014121100020</v>
          </cell>
          <cell r="D670">
            <v>5.4945054945054937E-2</v>
          </cell>
          <cell r="F670">
            <v>0.94505494505494503</v>
          </cell>
          <cell r="G670">
            <v>0</v>
          </cell>
          <cell r="H670">
            <v>1</v>
          </cell>
        </row>
        <row r="671">
          <cell r="B671" t="str">
            <v>201 2013 10 1211 00006</v>
          </cell>
          <cell r="C671">
            <v>2012013121100170</v>
          </cell>
          <cell r="D671">
            <v>5.8823529411764705E-2</v>
          </cell>
          <cell r="F671">
            <v>0.94117647058823528</v>
          </cell>
          <cell r="G671">
            <v>0</v>
          </cell>
          <cell r="H671">
            <v>1</v>
          </cell>
        </row>
        <row r="672">
          <cell r="B672" t="str">
            <v>203 2012 10 1212 00008</v>
          </cell>
          <cell r="C672">
            <v>2032013121200000</v>
          </cell>
          <cell r="D672">
            <v>0.15382440640242878</v>
          </cell>
          <cell r="F672">
            <v>0.84617559359757122</v>
          </cell>
          <cell r="G672">
            <v>0</v>
          </cell>
          <cell r="H672">
            <v>1</v>
          </cell>
        </row>
        <row r="673">
          <cell r="B673" t="str">
            <v>203 2014 10 1211 00005</v>
          </cell>
          <cell r="C673">
            <v>2032014121100010</v>
          </cell>
          <cell r="D673">
            <v>5.4945054945054951E-2</v>
          </cell>
          <cell r="F673">
            <v>0.94505494505494503</v>
          </cell>
          <cell r="G673">
            <v>0</v>
          </cell>
          <cell r="H673">
            <v>1</v>
          </cell>
        </row>
        <row r="674">
          <cell r="B674" t="str">
            <v>203 2014 10 1211 00005</v>
          </cell>
          <cell r="C674">
            <v>2032014121100070</v>
          </cell>
          <cell r="D674">
            <v>5.4945054945054951E-2</v>
          </cell>
          <cell r="F674">
            <v>0.94505494505494503</v>
          </cell>
          <cell r="G674">
            <v>0</v>
          </cell>
          <cell r="H674">
            <v>1</v>
          </cell>
        </row>
        <row r="675">
          <cell r="B675" t="str">
            <v>201 2013 10 1211 00006</v>
          </cell>
          <cell r="C675">
            <v>2012013121100080</v>
          </cell>
          <cell r="D675">
            <v>5.8823529411764705E-2</v>
          </cell>
          <cell r="F675">
            <v>0.94117647058823528</v>
          </cell>
          <cell r="G675">
            <v>0</v>
          </cell>
          <cell r="H675">
            <v>1</v>
          </cell>
        </row>
        <row r="676">
          <cell r="B676" t="str">
            <v>202 2012 10 1222 00004</v>
          </cell>
          <cell r="C676">
            <v>2022013122200000</v>
          </cell>
          <cell r="D676">
            <v>1</v>
          </cell>
          <cell r="F676">
            <v>0</v>
          </cell>
          <cell r="G676">
            <v>0</v>
          </cell>
          <cell r="H676">
            <v>1</v>
          </cell>
        </row>
        <row r="677">
          <cell r="B677" t="str">
            <v>203 2008 10 1211 00005</v>
          </cell>
          <cell r="C677">
            <v>2032008121100070</v>
          </cell>
          <cell r="D677">
            <v>7.5208000000000011E-2</v>
          </cell>
          <cell r="E677">
            <v>9.2478999999999992E-2</v>
          </cell>
          <cell r="F677">
            <v>0.83231299999999997</v>
          </cell>
          <cell r="G677">
            <v>0</v>
          </cell>
          <cell r="H677">
            <v>1</v>
          </cell>
        </row>
        <row r="678">
          <cell r="B678" t="str">
            <v>203 2014 10 1211 00005</v>
          </cell>
          <cell r="C678">
            <v>2032014121100080</v>
          </cell>
          <cell r="D678">
            <v>5.4945054945054951E-2</v>
          </cell>
          <cell r="F678">
            <v>0.94505494505494503</v>
          </cell>
          <cell r="G678">
            <v>0</v>
          </cell>
          <cell r="H678">
            <v>1</v>
          </cell>
        </row>
        <row r="679">
          <cell r="B679" t="str">
            <v>203 2014 10 1211 00004</v>
          </cell>
          <cell r="C679">
            <v>2032014121100000</v>
          </cell>
          <cell r="D679">
            <v>5.5426939491429725E-2</v>
          </cell>
          <cell r="F679">
            <v>0.94457306050857026</v>
          </cell>
          <cell r="G679">
            <v>0</v>
          </cell>
          <cell r="H679">
            <v>1</v>
          </cell>
        </row>
        <row r="680">
          <cell r="B680" t="str">
            <v>203 2014 10 1211 00005</v>
          </cell>
          <cell r="C680">
            <v>2032014121100010</v>
          </cell>
          <cell r="D680">
            <v>5.4945054945054951E-2</v>
          </cell>
          <cell r="F680">
            <v>0.94505494505494503</v>
          </cell>
          <cell r="G680">
            <v>0</v>
          </cell>
          <cell r="H680">
            <v>1</v>
          </cell>
        </row>
        <row r="681">
          <cell r="B681" t="str">
            <v>201 2014 10 1211 00006</v>
          </cell>
          <cell r="C681">
            <v>2012014121100080</v>
          </cell>
          <cell r="D681">
            <v>5.4945054945054937E-2</v>
          </cell>
          <cell r="F681">
            <v>0.94505494505494503</v>
          </cell>
          <cell r="G681">
            <v>0</v>
          </cell>
          <cell r="H681">
            <v>1</v>
          </cell>
        </row>
        <row r="682">
          <cell r="B682" t="str">
            <v>204 2014 88 1211 00043</v>
          </cell>
          <cell r="C682">
            <v>2042014121100000</v>
          </cell>
          <cell r="D682">
            <v>5.4945054945054951E-2</v>
          </cell>
          <cell r="F682">
            <v>0.94505494505494503</v>
          </cell>
          <cell r="G682">
            <v>0</v>
          </cell>
          <cell r="H682">
            <v>1</v>
          </cell>
        </row>
        <row r="683">
          <cell r="B683" t="str">
            <v>203 2014 10 1212 00003</v>
          </cell>
          <cell r="C683">
            <v>2032014121200050</v>
          </cell>
          <cell r="D683">
            <v>2.3934698565896376E-2</v>
          </cell>
          <cell r="F683">
            <v>0.41167681533341766</v>
          </cell>
          <cell r="G683">
            <v>0.56438848610068604</v>
          </cell>
          <cell r="H683">
            <v>1</v>
          </cell>
        </row>
        <row r="684">
          <cell r="B684" t="str">
            <v>203 2014 10 1211 00005</v>
          </cell>
          <cell r="C684">
            <v>2032014121100070</v>
          </cell>
          <cell r="D684">
            <v>5.4945054945054951E-2</v>
          </cell>
          <cell r="F684">
            <v>0.94505494505494503</v>
          </cell>
          <cell r="G684">
            <v>0</v>
          </cell>
          <cell r="H684">
            <v>1</v>
          </cell>
        </row>
        <row r="685">
          <cell r="B685" t="str">
            <v>201 2013 10 1211 00006</v>
          </cell>
          <cell r="C685">
            <v>2012013121100070</v>
          </cell>
          <cell r="D685">
            <v>5.8823529411764705E-2</v>
          </cell>
          <cell r="F685">
            <v>0.94117647058823528</v>
          </cell>
          <cell r="G685">
            <v>0</v>
          </cell>
          <cell r="H685">
            <v>1</v>
          </cell>
        </row>
        <row r="686">
          <cell r="B686" t="str">
            <v>201 2013 10 1211 00006</v>
          </cell>
          <cell r="C686">
            <v>2012013121100210</v>
          </cell>
          <cell r="D686">
            <v>5.8823529411764705E-2</v>
          </cell>
          <cell r="F686">
            <v>0.94117647058823528</v>
          </cell>
          <cell r="G686">
            <v>0</v>
          </cell>
          <cell r="H686">
            <v>1</v>
          </cell>
        </row>
        <row r="687">
          <cell r="B687" t="str">
            <v>203 2014 10 1211 00005</v>
          </cell>
          <cell r="C687">
            <v>2032014121100020</v>
          </cell>
          <cell r="D687">
            <v>5.4945054945054951E-2</v>
          </cell>
          <cell r="F687">
            <v>0.94505494505494503</v>
          </cell>
          <cell r="G687">
            <v>0</v>
          </cell>
          <cell r="H687">
            <v>1</v>
          </cell>
        </row>
        <row r="688">
          <cell r="B688" t="str">
            <v>203 2013 10 1211 00009</v>
          </cell>
          <cell r="C688">
            <v>2032013121100070</v>
          </cell>
          <cell r="D688">
            <v>5.8823529411764712E-2</v>
          </cell>
          <cell r="F688">
            <v>0.94117647058823528</v>
          </cell>
          <cell r="G688">
            <v>0</v>
          </cell>
          <cell r="H688">
            <v>1</v>
          </cell>
        </row>
        <row r="689">
          <cell r="B689" t="str">
            <v>203 2014 10 1211 00005</v>
          </cell>
          <cell r="C689">
            <v>2032014121100040</v>
          </cell>
          <cell r="D689">
            <v>5.4945054945054951E-2</v>
          </cell>
          <cell r="F689">
            <v>0.94505494505494503</v>
          </cell>
          <cell r="G689">
            <v>0</v>
          </cell>
          <cell r="H689">
            <v>1</v>
          </cell>
        </row>
        <row r="690">
          <cell r="B690" t="str">
            <v>203 2014 10 1212 00003</v>
          </cell>
          <cell r="C690">
            <v>2032014121200080</v>
          </cell>
          <cell r="D690">
            <v>2.3934698565896376E-2</v>
          </cell>
          <cell r="F690">
            <v>0.41167681533341766</v>
          </cell>
          <cell r="G690">
            <v>0.56438848610068604</v>
          </cell>
          <cell r="H690">
            <v>1</v>
          </cell>
        </row>
        <row r="691">
          <cell r="B691" t="str">
            <v>203 2014 10 1212 00006</v>
          </cell>
          <cell r="C691">
            <v>2032014121200050</v>
          </cell>
          <cell r="D691">
            <v>0.4141740649875385</v>
          </cell>
          <cell r="F691">
            <v>0.5858259350124615</v>
          </cell>
          <cell r="G691">
            <v>0</v>
          </cell>
          <cell r="H691">
            <v>1</v>
          </cell>
        </row>
        <row r="692">
          <cell r="B692" t="str">
            <v>203 2012 10 1212 00004</v>
          </cell>
          <cell r="C692">
            <v>2032012121200030</v>
          </cell>
          <cell r="D692">
            <v>0.10190846484248681</v>
          </cell>
          <cell r="F692">
            <v>0.89809153515751317</v>
          </cell>
          <cell r="G692">
            <v>0</v>
          </cell>
          <cell r="H692">
            <v>1</v>
          </cell>
        </row>
        <row r="693">
          <cell r="B693" t="str">
            <v>203 2014 10 1212 00003</v>
          </cell>
          <cell r="C693">
            <v>2032014121200080</v>
          </cell>
          <cell r="D693">
            <v>2.3934698565896376E-2</v>
          </cell>
          <cell r="F693">
            <v>0.41167681533341766</v>
          </cell>
          <cell r="G693">
            <v>0.56438848610068604</v>
          </cell>
          <cell r="H693">
            <v>1</v>
          </cell>
        </row>
        <row r="694">
          <cell r="B694" t="str">
            <v>201 2014 10 1211 00006</v>
          </cell>
          <cell r="C694">
            <v>2012014121100000</v>
          </cell>
          <cell r="D694">
            <v>5.4945054945054937E-2</v>
          </cell>
          <cell r="F694">
            <v>0.94505494505494503</v>
          </cell>
          <cell r="G694">
            <v>0</v>
          </cell>
          <cell r="H694">
            <v>1</v>
          </cell>
        </row>
        <row r="695">
          <cell r="B695" t="str">
            <v>201 2014 10 1211 00006</v>
          </cell>
          <cell r="C695">
            <v>2012014121100080</v>
          </cell>
          <cell r="D695">
            <v>5.4945054945054937E-2</v>
          </cell>
          <cell r="F695">
            <v>0.94505494505494503</v>
          </cell>
          <cell r="G695">
            <v>0</v>
          </cell>
          <cell r="H695">
            <v>1</v>
          </cell>
        </row>
        <row r="696">
          <cell r="B696" t="str">
            <v>201 2013 10 1211 00006</v>
          </cell>
          <cell r="C696">
            <v>2012013121100170</v>
          </cell>
          <cell r="D696">
            <v>5.8823529411764705E-2</v>
          </cell>
          <cell r="F696">
            <v>0.94117647058823528</v>
          </cell>
          <cell r="G696">
            <v>0</v>
          </cell>
          <cell r="H696">
            <v>1</v>
          </cell>
        </row>
        <row r="697">
          <cell r="B697" t="str">
            <v>203 2014 60 1221 00003</v>
          </cell>
          <cell r="C697">
            <v>2032014122100000</v>
          </cell>
          <cell r="D697">
            <v>1</v>
          </cell>
          <cell r="F697">
            <v>0</v>
          </cell>
          <cell r="G697">
            <v>0</v>
          </cell>
          <cell r="H697">
            <v>1</v>
          </cell>
        </row>
        <row r="698">
          <cell r="B698" t="str">
            <v>203 2014 10 1211 00006</v>
          </cell>
          <cell r="C698">
            <v>2032014121100090</v>
          </cell>
          <cell r="D698">
            <v>0.28239389219784183</v>
          </cell>
          <cell r="F698">
            <v>0.71760610780215817</v>
          </cell>
          <cell r="G698">
            <v>0</v>
          </cell>
          <cell r="H698">
            <v>1</v>
          </cell>
        </row>
        <row r="699">
          <cell r="B699" t="str">
            <v>203 2014 10 1211 00005</v>
          </cell>
          <cell r="C699">
            <v>2032014121100020</v>
          </cell>
          <cell r="D699">
            <v>5.4945054945054951E-2</v>
          </cell>
          <cell r="F699">
            <v>0.94505494505494503</v>
          </cell>
          <cell r="G699">
            <v>0</v>
          </cell>
          <cell r="H699">
            <v>1</v>
          </cell>
        </row>
        <row r="700">
          <cell r="B700" t="str">
            <v>204 2009 10 1211 00008</v>
          </cell>
          <cell r="C700">
            <v>2042010121100000</v>
          </cell>
          <cell r="D700">
            <v>2.6853417127351047E-2</v>
          </cell>
          <cell r="F700">
            <v>0.17583192458538399</v>
          </cell>
          <cell r="G700">
            <v>0.797314658287265</v>
          </cell>
          <cell r="H700">
            <v>1</v>
          </cell>
        </row>
        <row r="701">
          <cell r="B701" t="str">
            <v>203 2014 10 1211 00005</v>
          </cell>
          <cell r="C701">
            <v>2032014121100050</v>
          </cell>
          <cell r="D701">
            <v>5.4945054945054951E-2</v>
          </cell>
          <cell r="F701">
            <v>0.94505494505494503</v>
          </cell>
          <cell r="G701">
            <v>0</v>
          </cell>
          <cell r="H701">
            <v>1</v>
          </cell>
        </row>
        <row r="702">
          <cell r="B702" t="str">
            <v>203 2013 10 1211 00009</v>
          </cell>
          <cell r="C702">
            <v>2032013121100100</v>
          </cell>
          <cell r="D702">
            <v>5.8823529411764712E-2</v>
          </cell>
          <cell r="F702">
            <v>0.94117647058823528</v>
          </cell>
          <cell r="G702">
            <v>0</v>
          </cell>
          <cell r="H702">
            <v>1</v>
          </cell>
        </row>
        <row r="703">
          <cell r="B703" t="str">
            <v>203 2013 10 1212 00005</v>
          </cell>
          <cell r="C703">
            <v>2032013121200030</v>
          </cell>
          <cell r="D703">
            <v>6.3007606812346864E-2</v>
          </cell>
          <cell r="F703">
            <v>0.80649736719803988</v>
          </cell>
          <cell r="G703">
            <v>0.13049502598961327</v>
          </cell>
          <cell r="H703">
            <v>1</v>
          </cell>
        </row>
        <row r="704">
          <cell r="B704" t="str">
            <v>203 2011 60 1211   00020</v>
          </cell>
          <cell r="C704">
            <v>2032012121100000</v>
          </cell>
          <cell r="D704">
            <v>0.2794466955428252</v>
          </cell>
          <cell r="F704">
            <v>0.7205533044571748</v>
          </cell>
          <cell r="G704">
            <v>0</v>
          </cell>
          <cell r="H704">
            <v>1</v>
          </cell>
        </row>
        <row r="705">
          <cell r="B705" t="str">
            <v>203 2012 10 1211 00015</v>
          </cell>
          <cell r="C705">
            <v>2032012121100040</v>
          </cell>
          <cell r="D705">
            <v>0.77511650551410594</v>
          </cell>
          <cell r="F705">
            <v>0.22488349448589406</v>
          </cell>
          <cell r="G705">
            <v>0</v>
          </cell>
          <cell r="H705">
            <v>1</v>
          </cell>
        </row>
        <row r="706">
          <cell r="B706" t="str">
            <v>203 2013 10 1212 00008</v>
          </cell>
          <cell r="C706">
            <v>2032014121200020</v>
          </cell>
          <cell r="D706">
            <v>0.10308008127617016</v>
          </cell>
          <cell r="F706">
            <v>0.89691991872382981</v>
          </cell>
          <cell r="G706">
            <v>0</v>
          </cell>
          <cell r="H706">
            <v>1</v>
          </cell>
        </row>
        <row r="707">
          <cell r="B707" t="str">
            <v>203 2014 10 1211 00005</v>
          </cell>
          <cell r="C707">
            <v>2032014121100100</v>
          </cell>
          <cell r="D707">
            <v>5.4945054945054951E-2</v>
          </cell>
          <cell r="F707">
            <v>0.94505494505494503</v>
          </cell>
          <cell r="G707">
            <v>0</v>
          </cell>
          <cell r="H707">
            <v>1</v>
          </cell>
        </row>
        <row r="708">
          <cell r="B708" t="str">
            <v>203 2014 10 1212 00009</v>
          </cell>
          <cell r="C708">
            <v>2032014121200040</v>
          </cell>
          <cell r="D708">
            <v>5.9565902215354273E-2</v>
          </cell>
          <cell r="F708">
            <v>0.83392263101495978</v>
          </cell>
          <cell r="G708">
            <v>0.10651146676968593</v>
          </cell>
          <cell r="H708">
            <v>1</v>
          </cell>
        </row>
        <row r="709">
          <cell r="B709" t="str">
            <v>203 2013 10 1211 00009</v>
          </cell>
          <cell r="C709">
            <v>2032013121100080</v>
          </cell>
          <cell r="D709">
            <v>5.8823529411764712E-2</v>
          </cell>
          <cell r="F709">
            <v>0.94117647058823528</v>
          </cell>
          <cell r="G709">
            <v>0</v>
          </cell>
          <cell r="H709">
            <v>1</v>
          </cell>
        </row>
        <row r="710">
          <cell r="B710" t="str">
            <v>201 2012 10 1211 00006</v>
          </cell>
          <cell r="C710">
            <v>2012012121100000</v>
          </cell>
          <cell r="D710">
            <v>7.2738201232028885E-2</v>
          </cell>
          <cell r="F710">
            <v>0.9272617987679711</v>
          </cell>
          <cell r="G710">
            <v>0</v>
          </cell>
          <cell r="H710">
            <v>1</v>
          </cell>
        </row>
        <row r="711">
          <cell r="B711" t="str">
            <v>201 2014 10 1211 00006</v>
          </cell>
          <cell r="C711">
            <v>2012014121100120</v>
          </cell>
          <cell r="D711">
            <v>5.4945054945054937E-2</v>
          </cell>
          <cell r="F711">
            <v>0.94505494505494503</v>
          </cell>
          <cell r="G711">
            <v>0</v>
          </cell>
          <cell r="H711">
            <v>1</v>
          </cell>
        </row>
        <row r="712">
          <cell r="B712" t="str">
            <v>203 2014 10 1212 00011</v>
          </cell>
          <cell r="C712">
            <v>2032014121200030</v>
          </cell>
          <cell r="D712">
            <v>0.2155046172804585</v>
          </cell>
          <cell r="F712">
            <v>0.78449538271954156</v>
          </cell>
          <cell r="G712">
            <v>0</v>
          </cell>
          <cell r="H712">
            <v>1</v>
          </cell>
        </row>
        <row r="713">
          <cell r="B713" t="str">
            <v>203 2012 10 1211 00007</v>
          </cell>
          <cell r="C713">
            <v>2032012121100080</v>
          </cell>
          <cell r="D713">
            <v>0.28239389219784183</v>
          </cell>
          <cell r="F713">
            <v>0.71760610780215817</v>
          </cell>
          <cell r="G713">
            <v>0</v>
          </cell>
          <cell r="H713">
            <v>1</v>
          </cell>
        </row>
        <row r="714">
          <cell r="B714" t="str">
            <v>201 2012 10 1211 00004</v>
          </cell>
          <cell r="C714">
            <v>2012013121100000</v>
          </cell>
          <cell r="D714">
            <v>1.4755744083876299E-2</v>
          </cell>
          <cell r="F714">
            <v>0.12524425591612401</v>
          </cell>
          <cell r="G714">
            <v>0.85999999999999976</v>
          </cell>
          <cell r="H714">
            <v>1</v>
          </cell>
        </row>
        <row r="715">
          <cell r="B715" t="str">
            <v>201 2014 10 1211 00006</v>
          </cell>
          <cell r="C715">
            <v>2012014121100080</v>
          </cell>
          <cell r="D715">
            <v>5.4945054945054937E-2</v>
          </cell>
          <cell r="F715">
            <v>0.94505494505494503</v>
          </cell>
          <cell r="G715">
            <v>0</v>
          </cell>
          <cell r="H715">
            <v>1</v>
          </cell>
        </row>
        <row r="716">
          <cell r="B716" t="str">
            <v>201 2013 10 1211 00006</v>
          </cell>
          <cell r="C716">
            <v>2012013121100170</v>
          </cell>
          <cell r="D716">
            <v>5.8823529411764705E-2</v>
          </cell>
          <cell r="F716">
            <v>0.94117647058823528</v>
          </cell>
          <cell r="G716">
            <v>0</v>
          </cell>
          <cell r="H716">
            <v>1</v>
          </cell>
        </row>
        <row r="717">
          <cell r="B717" t="str">
            <v>203 2014 10 1211 00005</v>
          </cell>
          <cell r="C717">
            <v>2032014121100040</v>
          </cell>
          <cell r="D717">
            <v>5.4945054945054951E-2</v>
          </cell>
          <cell r="F717">
            <v>0.94505494505494503</v>
          </cell>
          <cell r="G717">
            <v>0</v>
          </cell>
          <cell r="H717">
            <v>1</v>
          </cell>
        </row>
        <row r="718">
          <cell r="B718" t="str">
            <v>204 2012 10 1211 00010</v>
          </cell>
          <cell r="C718">
            <v>2042013121100010</v>
          </cell>
          <cell r="D718">
            <v>8.4459459459459499E-3</v>
          </cell>
          <cell r="F718">
            <v>7.5337837837837748E-2</v>
          </cell>
          <cell r="G718">
            <v>0.91621621621621629</v>
          </cell>
          <cell r="H718">
            <v>1</v>
          </cell>
        </row>
        <row r="719">
          <cell r="B719" t="str">
            <v>203 2014 10 1211 00005</v>
          </cell>
          <cell r="C719">
            <v>2032014121100100</v>
          </cell>
          <cell r="D719">
            <v>5.4945054945054951E-2</v>
          </cell>
          <cell r="F719">
            <v>0.94505494505494503</v>
          </cell>
          <cell r="G719">
            <v>0</v>
          </cell>
          <cell r="H719">
            <v>1</v>
          </cell>
        </row>
        <row r="720">
          <cell r="B720" t="str">
            <v>203 2013 10 1211 00009</v>
          </cell>
          <cell r="C720">
            <v>2032013121100020</v>
          </cell>
          <cell r="D720">
            <v>5.8823529411764712E-2</v>
          </cell>
          <cell r="F720">
            <v>0.94117647058823528</v>
          </cell>
          <cell r="G720">
            <v>0</v>
          </cell>
          <cell r="H720">
            <v>1</v>
          </cell>
        </row>
        <row r="721">
          <cell r="B721" t="str">
            <v>203 2014 10 1211 00004</v>
          </cell>
          <cell r="C721">
            <v>2032014121100060</v>
          </cell>
          <cell r="D721">
            <v>5.5426939491429725E-2</v>
          </cell>
          <cell r="F721">
            <v>0.94457306050857026</v>
          </cell>
          <cell r="G721">
            <v>0</v>
          </cell>
          <cell r="H721">
            <v>1</v>
          </cell>
        </row>
        <row r="722">
          <cell r="B722" t="str">
            <v>203 2012 10 1211 00009</v>
          </cell>
          <cell r="C722">
            <v>2032012121100060</v>
          </cell>
          <cell r="D722">
            <v>9.8039613804000364E-2</v>
          </cell>
          <cell r="F722">
            <v>0.90196038619599961</v>
          </cell>
          <cell r="G722">
            <v>0</v>
          </cell>
          <cell r="H722">
            <v>1</v>
          </cell>
        </row>
        <row r="723">
          <cell r="B723" t="str">
            <v>204 2013 10 1211 00012</v>
          </cell>
          <cell r="C723">
            <v>2042014121100000</v>
          </cell>
          <cell r="D723">
            <v>8.4459459459459499E-3</v>
          </cell>
          <cell r="F723">
            <v>7.0101351351351246E-2</v>
          </cell>
          <cell r="G723">
            <v>0.92145270270270285</v>
          </cell>
          <cell r="H723">
            <v>1</v>
          </cell>
        </row>
        <row r="724">
          <cell r="B724" t="str">
            <v>204 2012 10 1211 00014</v>
          </cell>
          <cell r="C724">
            <v>2042012121100020</v>
          </cell>
          <cell r="D724">
            <v>5.8823999999999994E-2</v>
          </cell>
          <cell r="F724">
            <v>0.94117600000000001</v>
          </cell>
          <cell r="G724">
            <v>0</v>
          </cell>
          <cell r="H724">
            <v>1</v>
          </cell>
        </row>
        <row r="725">
          <cell r="B725" t="str">
            <v>203 2013 10 1211 00003</v>
          </cell>
          <cell r="C725">
            <v>2032013121100000</v>
          </cell>
          <cell r="D725">
            <v>0.28239389219784183</v>
          </cell>
          <cell r="F725">
            <v>0.71760610780215817</v>
          </cell>
          <cell r="G725">
            <v>0</v>
          </cell>
          <cell r="H725">
            <v>1</v>
          </cell>
        </row>
        <row r="726">
          <cell r="B726" t="str">
            <v>203 2012 10 1211 00007</v>
          </cell>
          <cell r="C726">
            <v>2032012121100040</v>
          </cell>
          <cell r="D726">
            <v>0.28239389219784183</v>
          </cell>
          <cell r="F726">
            <v>0.71760610780215817</v>
          </cell>
          <cell r="G726">
            <v>0</v>
          </cell>
          <cell r="H726">
            <v>1</v>
          </cell>
        </row>
        <row r="727">
          <cell r="B727" t="str">
            <v>201 2012 10 1212 00004</v>
          </cell>
          <cell r="C727">
            <v>2012012121200000</v>
          </cell>
          <cell r="D727">
            <v>0.10605654604331205</v>
          </cell>
          <cell r="F727">
            <v>0.89394345395668795</v>
          </cell>
          <cell r="G727">
            <v>0</v>
          </cell>
          <cell r="H727">
            <v>1</v>
          </cell>
        </row>
        <row r="728">
          <cell r="B728" t="str">
            <v>201 2014 10 1211 00006</v>
          </cell>
          <cell r="C728">
            <v>2012014121100020</v>
          </cell>
          <cell r="D728">
            <v>5.4945054945054937E-2</v>
          </cell>
          <cell r="F728">
            <v>0.94505494505494503</v>
          </cell>
          <cell r="G728">
            <v>0</v>
          </cell>
          <cell r="H728">
            <v>1</v>
          </cell>
        </row>
        <row r="729">
          <cell r="B729" t="str">
            <v>203 2012 10 1212 00010</v>
          </cell>
          <cell r="C729">
            <v>2032012121200030</v>
          </cell>
          <cell r="D729">
            <v>0.48078258912855332</v>
          </cell>
          <cell r="F729">
            <v>0.51921741087144668</v>
          </cell>
          <cell r="G729">
            <v>0</v>
          </cell>
          <cell r="H729">
            <v>1</v>
          </cell>
        </row>
        <row r="730">
          <cell r="B730" t="str">
            <v>203 2013 10 1211 00009</v>
          </cell>
          <cell r="C730">
            <v>2032013121100080</v>
          </cell>
          <cell r="D730">
            <v>5.8823529411764712E-2</v>
          </cell>
          <cell r="F730">
            <v>0.94117647058823528</v>
          </cell>
          <cell r="G730">
            <v>0</v>
          </cell>
          <cell r="H730">
            <v>1</v>
          </cell>
        </row>
        <row r="731">
          <cell r="B731" t="str">
            <v>203 2013 10 1212 00004</v>
          </cell>
          <cell r="C731">
            <v>2032013121200050</v>
          </cell>
          <cell r="D731">
            <v>2.0206579462029521E-2</v>
          </cell>
          <cell r="F731">
            <v>0.32330527139247234</v>
          </cell>
          <cell r="G731">
            <v>0.65648814914549813</v>
          </cell>
          <cell r="H731">
            <v>1</v>
          </cell>
        </row>
        <row r="732">
          <cell r="B732" t="str">
            <v>204 2009 10 1211 00012</v>
          </cell>
          <cell r="C732">
            <v>2042009121100040</v>
          </cell>
          <cell r="D732">
            <v>9.2592592592592501E-3</v>
          </cell>
          <cell r="F732">
            <v>8.101851851851849E-2</v>
          </cell>
          <cell r="G732">
            <v>0.90972222222222221</v>
          </cell>
          <cell r="H732">
            <v>1</v>
          </cell>
        </row>
        <row r="733">
          <cell r="B733" t="str">
            <v>203 2013 10 1212 00012</v>
          </cell>
          <cell r="C733">
            <v>2032013121200050</v>
          </cell>
          <cell r="D733">
            <v>0.23652407091823241</v>
          </cell>
          <cell r="F733">
            <v>0.76347592908176765</v>
          </cell>
          <cell r="G733">
            <v>0</v>
          </cell>
          <cell r="H733">
            <v>1</v>
          </cell>
        </row>
        <row r="734">
          <cell r="B734" t="str">
            <v>201 2013 10 1212 00011</v>
          </cell>
          <cell r="C734">
            <v>2012013121200000</v>
          </cell>
          <cell r="D734">
            <v>7.6693240519672704E-2</v>
          </cell>
          <cell r="F734">
            <v>0.52330675948032734</v>
          </cell>
          <cell r="G734">
            <v>0.39999999999999991</v>
          </cell>
          <cell r="H734">
            <v>1</v>
          </cell>
        </row>
        <row r="735">
          <cell r="B735" t="str">
            <v>201 2014 10 1211 00006</v>
          </cell>
          <cell r="C735">
            <v>2012014121100050</v>
          </cell>
          <cell r="D735">
            <v>5.4945054945054937E-2</v>
          </cell>
          <cell r="F735">
            <v>0.94505494505494503</v>
          </cell>
          <cell r="G735">
            <v>0</v>
          </cell>
          <cell r="H735">
            <v>1</v>
          </cell>
        </row>
        <row r="736">
          <cell r="B736" t="str">
            <v>201 2014 10 1211 00006</v>
          </cell>
          <cell r="C736">
            <v>2012014121100130</v>
          </cell>
          <cell r="D736">
            <v>5.4945054945054937E-2</v>
          </cell>
          <cell r="F736">
            <v>0.94505494505494503</v>
          </cell>
          <cell r="G736">
            <v>0</v>
          </cell>
          <cell r="H736">
            <v>1</v>
          </cell>
        </row>
        <row r="737">
          <cell r="B737" t="str">
            <v>203 2014 10 1212 00003</v>
          </cell>
          <cell r="C737">
            <v>2032014121200040</v>
          </cell>
          <cell r="D737">
            <v>2.3934698565896376E-2</v>
          </cell>
          <cell r="F737">
            <v>0.41167681533341766</v>
          </cell>
          <cell r="G737">
            <v>0.56438848610068604</v>
          </cell>
          <cell r="H737">
            <v>1</v>
          </cell>
        </row>
        <row r="738">
          <cell r="B738" t="str">
            <v>201 2013 10 1211 00006</v>
          </cell>
          <cell r="C738">
            <v>2012013121100070</v>
          </cell>
          <cell r="D738">
            <v>5.8823529411764705E-2</v>
          </cell>
          <cell r="F738">
            <v>0.94117647058823528</v>
          </cell>
          <cell r="G738">
            <v>0</v>
          </cell>
          <cell r="H738">
            <v>1</v>
          </cell>
        </row>
        <row r="739">
          <cell r="B739" t="str">
            <v>201 2014 10 1211 00006</v>
          </cell>
          <cell r="C739">
            <v>2012014121100110</v>
          </cell>
          <cell r="D739">
            <v>5.4945054945054937E-2</v>
          </cell>
          <cell r="F739">
            <v>0.94505494505494503</v>
          </cell>
          <cell r="G739">
            <v>0</v>
          </cell>
          <cell r="H739">
            <v>1</v>
          </cell>
        </row>
        <row r="740">
          <cell r="B740" t="str">
            <v>203 2012 10 1211 00009</v>
          </cell>
          <cell r="C740">
            <v>2032012121100030</v>
          </cell>
          <cell r="D740">
            <v>9.8039613804000364E-2</v>
          </cell>
          <cell r="F740">
            <v>0.90196038619599961</v>
          </cell>
          <cell r="G740">
            <v>0</v>
          </cell>
          <cell r="H740">
            <v>1</v>
          </cell>
        </row>
        <row r="741">
          <cell r="B741" t="str">
            <v>203 2014 10 1212 00003</v>
          </cell>
          <cell r="C741">
            <v>2032014121200080</v>
          </cell>
          <cell r="D741">
            <v>2.3934698565896376E-2</v>
          </cell>
          <cell r="F741">
            <v>0.41167681533341766</v>
          </cell>
          <cell r="G741">
            <v>0.56438848610068604</v>
          </cell>
          <cell r="H741">
            <v>1</v>
          </cell>
        </row>
        <row r="742">
          <cell r="B742" t="str">
            <v>203 2014 10 1212 00009</v>
          </cell>
          <cell r="C742">
            <v>2032014121200080</v>
          </cell>
          <cell r="D742">
            <v>5.9565902215354273E-2</v>
          </cell>
          <cell r="F742">
            <v>0.83392263101495978</v>
          </cell>
          <cell r="G742">
            <v>0.10651146676968593</v>
          </cell>
          <cell r="H742">
            <v>1</v>
          </cell>
        </row>
        <row r="743">
          <cell r="B743" t="str">
            <v>203 2012 10 1211 00009</v>
          </cell>
          <cell r="C743">
            <v>2032012121100070</v>
          </cell>
          <cell r="D743">
            <v>9.8039613804000364E-2</v>
          </cell>
          <cell r="F743">
            <v>0.90196038619599961</v>
          </cell>
          <cell r="G743">
            <v>0</v>
          </cell>
          <cell r="H743">
            <v>1</v>
          </cell>
        </row>
        <row r="744">
          <cell r="B744" t="str">
            <v>203 2014 10 1211 00006</v>
          </cell>
          <cell r="C744">
            <v>2032014121100100</v>
          </cell>
          <cell r="D744">
            <v>0.28239389219784183</v>
          </cell>
          <cell r="F744">
            <v>0.71760610780215817</v>
          </cell>
          <cell r="G744">
            <v>0</v>
          </cell>
          <cell r="H744">
            <v>1</v>
          </cell>
        </row>
        <row r="745">
          <cell r="B745" t="str">
            <v>204 2011 10 1211 00005</v>
          </cell>
          <cell r="C745">
            <v>2042012121100010</v>
          </cell>
          <cell r="D745">
            <v>0.03</v>
          </cell>
          <cell r="F745">
            <v>0</v>
          </cell>
          <cell r="G745">
            <v>0.97</v>
          </cell>
          <cell r="H745">
            <v>1</v>
          </cell>
        </row>
        <row r="746">
          <cell r="B746" t="str">
            <v>205 2012 10 1221 00014</v>
          </cell>
          <cell r="C746">
            <v>2052013122100000</v>
          </cell>
          <cell r="D746">
            <v>1</v>
          </cell>
          <cell r="F746">
            <v>0</v>
          </cell>
          <cell r="G746">
            <v>0</v>
          </cell>
          <cell r="H746">
            <v>1</v>
          </cell>
        </row>
        <row r="747">
          <cell r="B747" t="str">
            <v>100 2003 10 1211 00035</v>
          </cell>
          <cell r="C747">
            <v>1002003121100010</v>
          </cell>
          <cell r="D747">
            <v>0.11856800000000001</v>
          </cell>
          <cell r="E747">
            <v>8.8143200000000005E-2</v>
          </cell>
          <cell r="F747">
            <v>0.79328880000000002</v>
          </cell>
          <cell r="G747">
            <v>0</v>
          </cell>
          <cell r="H747">
            <v>1</v>
          </cell>
        </row>
        <row r="748">
          <cell r="B748" t="str">
            <v>204 2013 10 1211 00012</v>
          </cell>
          <cell r="C748">
            <v>2042013121100010</v>
          </cell>
          <cell r="D748">
            <v>8.4459459459459499E-3</v>
          </cell>
          <cell r="F748">
            <v>7.0101351351351246E-2</v>
          </cell>
          <cell r="G748">
            <v>0.92145270270270285</v>
          </cell>
          <cell r="H748">
            <v>1</v>
          </cell>
        </row>
        <row r="749">
          <cell r="B749" t="str">
            <v>203 2010 10 1212 00001</v>
          </cell>
          <cell r="C749">
            <v>2032010121200010</v>
          </cell>
          <cell r="D749">
            <v>2.013515592986408E-2</v>
          </cell>
          <cell r="F749">
            <v>0.38256796266741755</v>
          </cell>
          <cell r="G749">
            <v>0.59729688140271842</v>
          </cell>
          <cell r="H749">
            <v>1</v>
          </cell>
        </row>
        <row r="750">
          <cell r="B750" t="str">
            <v>203 2010 10 1211 00005</v>
          </cell>
          <cell r="C750">
            <v>2032010121100000</v>
          </cell>
          <cell r="D750">
            <v>0.2307404023322647</v>
          </cell>
          <cell r="E750">
            <v>3.8462979883386768E-2</v>
          </cell>
          <cell r="F750">
            <v>0.73079661778434857</v>
          </cell>
          <cell r="G750">
            <v>0</v>
          </cell>
          <cell r="H750">
            <v>1</v>
          </cell>
        </row>
        <row r="751">
          <cell r="B751" t="str">
            <v>203 2014 10 1211 00005</v>
          </cell>
          <cell r="C751">
            <v>2032014121100050</v>
          </cell>
          <cell r="D751">
            <v>5.4945054945054951E-2</v>
          </cell>
          <cell r="F751">
            <v>0.94505494505494503</v>
          </cell>
          <cell r="G751">
            <v>0</v>
          </cell>
          <cell r="H751">
            <v>1</v>
          </cell>
        </row>
        <row r="752">
          <cell r="B752" t="str">
            <v>203 2014 10 1211 00005</v>
          </cell>
          <cell r="C752">
            <v>2032014121100110</v>
          </cell>
          <cell r="D752">
            <v>5.4945054945054951E-2</v>
          </cell>
          <cell r="F752">
            <v>0.94505494505494503</v>
          </cell>
          <cell r="G752">
            <v>0</v>
          </cell>
          <cell r="H752">
            <v>1</v>
          </cell>
        </row>
        <row r="753">
          <cell r="B753" t="str">
            <v>203 2014 10 1212 00009</v>
          </cell>
          <cell r="C753">
            <v>2032014121200030</v>
          </cell>
          <cell r="D753">
            <v>5.9565902215354273E-2</v>
          </cell>
          <cell r="F753">
            <v>0.83392263101495978</v>
          </cell>
          <cell r="G753">
            <v>0.10651146676968593</v>
          </cell>
          <cell r="H753">
            <v>1</v>
          </cell>
        </row>
        <row r="754">
          <cell r="B754" t="str">
            <v>203 2014 10 1212 00008</v>
          </cell>
          <cell r="C754">
            <v>2032014121200050</v>
          </cell>
          <cell r="D754">
            <v>0.31273578792914863</v>
          </cell>
          <cell r="F754">
            <v>0.68726421207085142</v>
          </cell>
          <cell r="G754">
            <v>0</v>
          </cell>
          <cell r="H754">
            <v>1</v>
          </cell>
        </row>
        <row r="755">
          <cell r="B755" t="str">
            <v>203 2013 10 1211 00009</v>
          </cell>
          <cell r="C755">
            <v>2032013121100100</v>
          </cell>
          <cell r="D755">
            <v>5.8823529411764712E-2</v>
          </cell>
          <cell r="F755">
            <v>0.94117647058823528</v>
          </cell>
          <cell r="G755">
            <v>0</v>
          </cell>
          <cell r="H755">
            <v>1</v>
          </cell>
        </row>
        <row r="756">
          <cell r="B756" t="str">
            <v>204 2010 10 1211 00007</v>
          </cell>
          <cell r="C756">
            <v>2042010121100010</v>
          </cell>
          <cell r="D756">
            <v>1.2206495225126183E-2</v>
          </cell>
          <cell r="F756">
            <v>0.10369157810625995</v>
          </cell>
          <cell r="G756">
            <v>0.88410192666861387</v>
          </cell>
          <cell r="H756">
            <v>1</v>
          </cell>
        </row>
        <row r="757">
          <cell r="B757" t="str">
            <v>203 2014 10 1212 00004</v>
          </cell>
          <cell r="C757">
            <v>2032014121200070</v>
          </cell>
          <cell r="D757">
            <v>1</v>
          </cell>
          <cell r="F757">
            <v>0</v>
          </cell>
          <cell r="G757">
            <v>0</v>
          </cell>
          <cell r="H757">
            <v>1</v>
          </cell>
        </row>
        <row r="758">
          <cell r="B758" t="str">
            <v>204 2012 10 1211 00009</v>
          </cell>
          <cell r="C758">
            <v>2042012121100010</v>
          </cell>
          <cell r="D758">
            <v>0.03</v>
          </cell>
          <cell r="F758">
            <v>0</v>
          </cell>
          <cell r="G758">
            <v>0.97</v>
          </cell>
          <cell r="H758">
            <v>1</v>
          </cell>
        </row>
        <row r="759">
          <cell r="B759" t="str">
            <v>203 2008 10 1211 00004</v>
          </cell>
          <cell r="C759">
            <v>2032011121100000</v>
          </cell>
          <cell r="D759">
            <v>0.62118799999999996</v>
          </cell>
          <cell r="E759">
            <v>1.8941E-2</v>
          </cell>
          <cell r="F759">
            <v>0.359871</v>
          </cell>
          <cell r="G759">
            <v>0</v>
          </cell>
          <cell r="H759">
            <v>1</v>
          </cell>
        </row>
        <row r="760">
          <cell r="B760" t="str">
            <v>203 2014 10 1211 00005</v>
          </cell>
          <cell r="C760">
            <v>2032014121100080</v>
          </cell>
          <cell r="D760">
            <v>5.4945054945054951E-2</v>
          </cell>
          <cell r="F760">
            <v>0.94505494505494503</v>
          </cell>
          <cell r="G760">
            <v>0</v>
          </cell>
          <cell r="H760">
            <v>1</v>
          </cell>
        </row>
        <row r="761">
          <cell r="B761" t="str">
            <v>203 2014 10 1211 00005</v>
          </cell>
          <cell r="C761">
            <v>2032014121100070</v>
          </cell>
          <cell r="D761">
            <v>5.4945054945054951E-2</v>
          </cell>
          <cell r="F761">
            <v>0.94505494505494503</v>
          </cell>
          <cell r="G761">
            <v>0</v>
          </cell>
          <cell r="H761">
            <v>1</v>
          </cell>
        </row>
        <row r="762">
          <cell r="B762" t="str">
            <v>203 2013 10 1211 00009</v>
          </cell>
          <cell r="C762">
            <v>2032013121100130</v>
          </cell>
          <cell r="D762">
            <v>5.8823529411764712E-2</v>
          </cell>
          <cell r="F762">
            <v>0.94117647058823528</v>
          </cell>
          <cell r="G762">
            <v>0</v>
          </cell>
          <cell r="H762">
            <v>1</v>
          </cell>
        </row>
        <row r="763">
          <cell r="B763" t="str">
            <v>201 2014 10 1211 00006</v>
          </cell>
          <cell r="C763">
            <v>2012014121100040</v>
          </cell>
          <cell r="D763">
            <v>5.4945054945054937E-2</v>
          </cell>
          <cell r="F763">
            <v>0.94505494505494503</v>
          </cell>
          <cell r="G763">
            <v>0</v>
          </cell>
          <cell r="H763">
            <v>1</v>
          </cell>
        </row>
        <row r="764">
          <cell r="B764" t="str">
            <v>203 2013 10 1211 00003</v>
          </cell>
          <cell r="C764">
            <v>2032013121100000</v>
          </cell>
          <cell r="D764">
            <v>0.28239389219784183</v>
          </cell>
          <cell r="F764">
            <v>0.71760610780215817</v>
          </cell>
          <cell r="G764">
            <v>0</v>
          </cell>
          <cell r="H764">
            <v>1</v>
          </cell>
        </row>
        <row r="765">
          <cell r="B765" t="str">
            <v>203 2014 10 1211 00005</v>
          </cell>
          <cell r="C765">
            <v>2032014121100030</v>
          </cell>
          <cell r="D765">
            <v>5.4945054945054951E-2</v>
          </cell>
          <cell r="F765">
            <v>0.94505494505494503</v>
          </cell>
          <cell r="G765">
            <v>0</v>
          </cell>
          <cell r="H765">
            <v>1</v>
          </cell>
        </row>
        <row r="766">
          <cell r="B766" t="str">
            <v>203 2013 10 1211 00009</v>
          </cell>
          <cell r="C766">
            <v>2032013121100130</v>
          </cell>
          <cell r="D766">
            <v>5.8823529411764712E-2</v>
          </cell>
          <cell r="F766">
            <v>0.94117647058823528</v>
          </cell>
          <cell r="G766">
            <v>0</v>
          </cell>
          <cell r="H766">
            <v>1</v>
          </cell>
        </row>
        <row r="767">
          <cell r="B767" t="str">
            <v>203 2014 60 1212 00001</v>
          </cell>
          <cell r="C767">
            <v>2032014121200050</v>
          </cell>
          <cell r="D767">
            <v>0.41683201072564119</v>
          </cell>
          <cell r="F767">
            <v>0.58316798927435887</v>
          </cell>
          <cell r="G767">
            <v>0</v>
          </cell>
          <cell r="H767">
            <v>1</v>
          </cell>
        </row>
        <row r="768">
          <cell r="B768" t="str">
            <v>204 2013 10 1211 00001</v>
          </cell>
          <cell r="C768">
            <v>2042013121100000</v>
          </cell>
          <cell r="D768">
            <v>5.8823529411764705E-2</v>
          </cell>
          <cell r="F768">
            <v>0.94117647058823495</v>
          </cell>
          <cell r="G768">
            <v>0</v>
          </cell>
          <cell r="H768">
            <v>0.99999999999999967</v>
          </cell>
        </row>
        <row r="769">
          <cell r="B769" t="str">
            <v>205 2014 10 1221 00005</v>
          </cell>
          <cell r="C769">
            <v>2052014122100000</v>
          </cell>
          <cell r="D769">
            <v>0.12972291271207567</v>
          </cell>
          <cell r="F769">
            <v>0.8702770872879243</v>
          </cell>
          <cell r="G769">
            <v>0</v>
          </cell>
          <cell r="H769">
            <v>1</v>
          </cell>
        </row>
        <row r="770">
          <cell r="B770" t="str">
            <v>203 2013 10 1212 00009</v>
          </cell>
          <cell r="C770">
            <v>2032013121200030</v>
          </cell>
          <cell r="D770">
            <v>0.18108070573789475</v>
          </cell>
          <cell r="F770">
            <v>0.8189192942621053</v>
          </cell>
          <cell r="G770">
            <v>0</v>
          </cell>
          <cell r="H770">
            <v>1</v>
          </cell>
        </row>
        <row r="771">
          <cell r="B771" t="str">
            <v>203 2014 10 1211 00005</v>
          </cell>
          <cell r="C771">
            <v>2032014121100070</v>
          </cell>
          <cell r="D771">
            <v>5.4945054945054951E-2</v>
          </cell>
          <cell r="F771">
            <v>0.94505494505494503</v>
          </cell>
          <cell r="G771">
            <v>0</v>
          </cell>
          <cell r="H771">
            <v>1</v>
          </cell>
        </row>
        <row r="772">
          <cell r="B772" t="str">
            <v>203 2013 10 1211 00009</v>
          </cell>
          <cell r="C772">
            <v>2032013121100050</v>
          </cell>
          <cell r="D772">
            <v>5.8823529411764712E-2</v>
          </cell>
          <cell r="F772">
            <v>0.94117647058823528</v>
          </cell>
          <cell r="G772">
            <v>0</v>
          </cell>
          <cell r="H772">
            <v>1</v>
          </cell>
        </row>
        <row r="773">
          <cell r="B773" t="str">
            <v>203 2008 10 1211 00005</v>
          </cell>
          <cell r="C773">
            <v>2032008121100020</v>
          </cell>
          <cell r="D773">
            <v>0.23458700000000002</v>
          </cell>
          <cell r="E773">
            <v>7.6540999999999998E-2</v>
          </cell>
          <cell r="F773">
            <v>0.68887200000000004</v>
          </cell>
          <cell r="G773">
            <v>0</v>
          </cell>
          <cell r="H773">
            <v>1</v>
          </cell>
        </row>
        <row r="774">
          <cell r="B774" t="str">
            <v>205 2011 10 1211 00002</v>
          </cell>
          <cell r="C774">
            <v>2052012121100000</v>
          </cell>
          <cell r="D774">
            <v>5.5002025136064094E-2</v>
          </cell>
          <cell r="F774">
            <v>0.94499797486393589</v>
          </cell>
          <cell r="G774">
            <v>0</v>
          </cell>
          <cell r="H774">
            <v>1</v>
          </cell>
        </row>
        <row r="775">
          <cell r="B775" t="str">
            <v>203 2013 10 1211 00009</v>
          </cell>
          <cell r="C775">
            <v>2032013121100060</v>
          </cell>
          <cell r="D775">
            <v>5.8823529411764712E-2</v>
          </cell>
          <cell r="F775">
            <v>0.94117647058823528</v>
          </cell>
          <cell r="G775">
            <v>0</v>
          </cell>
          <cell r="H775">
            <v>1</v>
          </cell>
        </row>
        <row r="776">
          <cell r="B776" t="str">
            <v>204 2012 10 1211 00010</v>
          </cell>
          <cell r="C776">
            <v>2042013121100000</v>
          </cell>
          <cell r="D776">
            <v>8.4459459459459499E-3</v>
          </cell>
          <cell r="F776">
            <v>7.5337837837837748E-2</v>
          </cell>
          <cell r="G776">
            <v>0.91621621621621629</v>
          </cell>
          <cell r="H776">
            <v>1</v>
          </cell>
        </row>
        <row r="777">
          <cell r="B777" t="str">
            <v>203 2013 10 1212 00005</v>
          </cell>
          <cell r="C777">
            <v>2032013121200000</v>
          </cell>
          <cell r="D777">
            <v>6.3007606812346864E-2</v>
          </cell>
          <cell r="F777">
            <v>0.80649736719803988</v>
          </cell>
          <cell r="G777">
            <v>0.13049502598961327</v>
          </cell>
          <cell r="H777">
            <v>1</v>
          </cell>
        </row>
        <row r="778">
          <cell r="B778" t="str">
            <v>203 2014 10 1211 00005</v>
          </cell>
          <cell r="C778">
            <v>2032014121100060</v>
          </cell>
          <cell r="D778">
            <v>5.4945054945054951E-2</v>
          </cell>
          <cell r="F778">
            <v>0.94505494505494503</v>
          </cell>
          <cell r="G778">
            <v>0</v>
          </cell>
          <cell r="H778">
            <v>1</v>
          </cell>
        </row>
        <row r="779">
          <cell r="B779" t="str">
            <v>205 2014 10 1212 00003</v>
          </cell>
          <cell r="C779">
            <v>2052014121200010</v>
          </cell>
          <cell r="D779">
            <v>1</v>
          </cell>
          <cell r="F779">
            <v>0</v>
          </cell>
          <cell r="G779">
            <v>0</v>
          </cell>
          <cell r="H779">
            <v>1</v>
          </cell>
        </row>
        <row r="780">
          <cell r="B780" t="str">
            <v>203 2014 10 1212 00003</v>
          </cell>
          <cell r="C780">
            <v>2032014121200060</v>
          </cell>
          <cell r="D780">
            <v>2.3934698565896376E-2</v>
          </cell>
          <cell r="F780">
            <v>0.41167681533341766</v>
          </cell>
          <cell r="G780">
            <v>0.56438848610068604</v>
          </cell>
          <cell r="H780">
            <v>1</v>
          </cell>
        </row>
        <row r="781">
          <cell r="B781" t="str">
            <v>203 2013 60 1212 00001</v>
          </cell>
          <cell r="C781">
            <v>2032013121200050</v>
          </cell>
          <cell r="D781">
            <v>0.67067346805494243</v>
          </cell>
          <cell r="F781">
            <v>0.32932653194505757</v>
          </cell>
          <cell r="G781">
            <v>0</v>
          </cell>
          <cell r="H781">
            <v>1</v>
          </cell>
        </row>
        <row r="782">
          <cell r="B782" t="str">
            <v>203 2013 10 1211 00009</v>
          </cell>
          <cell r="C782">
            <v>2032013121100100</v>
          </cell>
          <cell r="D782">
            <v>5.8823529411764712E-2</v>
          </cell>
          <cell r="F782">
            <v>0.94117647058823528</v>
          </cell>
          <cell r="G782">
            <v>0</v>
          </cell>
          <cell r="H782">
            <v>1</v>
          </cell>
        </row>
        <row r="783">
          <cell r="B783" t="str">
            <v>204 2011 10 1211 00007</v>
          </cell>
          <cell r="C783">
            <v>2042011121100000</v>
          </cell>
          <cell r="D783">
            <v>6.9444444444444397E-3</v>
          </cell>
          <cell r="F783">
            <v>6.0888888888889006E-2</v>
          </cell>
          <cell r="G783">
            <v>0.93216666666666659</v>
          </cell>
          <cell r="H783">
            <v>1</v>
          </cell>
        </row>
        <row r="784">
          <cell r="B784" t="str">
            <v>204 2014 61 1211 00044</v>
          </cell>
          <cell r="C784">
            <v>2042014121100000</v>
          </cell>
          <cell r="D784">
            <v>8.4459459459459499E-3</v>
          </cell>
          <cell r="F784">
            <v>7.0101351351351246E-2</v>
          </cell>
          <cell r="G784">
            <v>0.92145270270270285</v>
          </cell>
          <cell r="H784">
            <v>1</v>
          </cell>
        </row>
        <row r="785">
          <cell r="B785" t="str">
            <v>203 2014 10 1212 00011</v>
          </cell>
          <cell r="C785">
            <v>2032014121200070</v>
          </cell>
          <cell r="D785">
            <v>0.2155046172804585</v>
          </cell>
          <cell r="F785">
            <v>0.78449538271954156</v>
          </cell>
          <cell r="G785">
            <v>0</v>
          </cell>
          <cell r="H785">
            <v>1</v>
          </cell>
        </row>
        <row r="786">
          <cell r="B786" t="str">
            <v>203 2014 10 1212 00009</v>
          </cell>
          <cell r="C786">
            <v>2032014121200050</v>
          </cell>
          <cell r="D786">
            <v>5.9565902215354273E-2</v>
          </cell>
          <cell r="F786">
            <v>0.83392263101495978</v>
          </cell>
          <cell r="G786">
            <v>0.10651146676968593</v>
          </cell>
          <cell r="H786">
            <v>1</v>
          </cell>
        </row>
        <row r="787">
          <cell r="B787" t="str">
            <v>204 2013 10 1211 00012</v>
          </cell>
          <cell r="C787">
            <v>2042013121100010</v>
          </cell>
          <cell r="D787">
            <v>8.4459459459459499E-3</v>
          </cell>
          <cell r="F787">
            <v>7.0101351351351246E-2</v>
          </cell>
          <cell r="G787">
            <v>0.92145270270270285</v>
          </cell>
          <cell r="H787">
            <v>1</v>
          </cell>
        </row>
        <row r="788">
          <cell r="B788" t="str">
            <v>205 2014 10 1212 00002</v>
          </cell>
          <cell r="C788">
            <v>2052014121200000</v>
          </cell>
          <cell r="D788">
            <v>0.26906603940095325</v>
          </cell>
          <cell r="F788">
            <v>0.73093396059904681</v>
          </cell>
          <cell r="G788">
            <v>0</v>
          </cell>
          <cell r="H788">
            <v>1</v>
          </cell>
        </row>
        <row r="789">
          <cell r="B789" t="str">
            <v>203 2014 10 1212 00011</v>
          </cell>
          <cell r="C789">
            <v>2032014121200050</v>
          </cell>
          <cell r="D789">
            <v>0.2155046172804585</v>
          </cell>
          <cell r="F789">
            <v>0.78449538271954156</v>
          </cell>
          <cell r="G789">
            <v>0</v>
          </cell>
          <cell r="H789">
            <v>1</v>
          </cell>
        </row>
        <row r="790">
          <cell r="B790" t="str">
            <v>205 2014 10 1212 00004</v>
          </cell>
          <cell r="C790">
            <v>2052014121200010</v>
          </cell>
          <cell r="D790">
            <v>1</v>
          </cell>
          <cell r="F790">
            <v>0</v>
          </cell>
          <cell r="G790">
            <v>0</v>
          </cell>
          <cell r="H790">
            <v>1</v>
          </cell>
        </row>
        <row r="791">
          <cell r="B791" t="str">
            <v>204 2012 10 1211 00010</v>
          </cell>
          <cell r="C791">
            <v>2042012121100020</v>
          </cell>
          <cell r="D791">
            <v>8.4459459459459499E-3</v>
          </cell>
          <cell r="F791">
            <v>7.5337837837837748E-2</v>
          </cell>
          <cell r="G791">
            <v>0.91621621621621629</v>
          </cell>
          <cell r="H791">
            <v>1</v>
          </cell>
        </row>
        <row r="792">
          <cell r="B792" t="str">
            <v>205 2012 10 1212 00021</v>
          </cell>
          <cell r="C792">
            <v>2052012121200000</v>
          </cell>
          <cell r="D792">
            <v>8.3459831647504992E-2</v>
          </cell>
          <cell r="F792">
            <v>0.91654016835249497</v>
          </cell>
          <cell r="G792">
            <v>0</v>
          </cell>
          <cell r="H792">
            <v>1</v>
          </cell>
        </row>
        <row r="793">
          <cell r="B793" t="str">
            <v>205 2011 10 1212 00019</v>
          </cell>
          <cell r="C793">
            <v>2052012121200000</v>
          </cell>
          <cell r="D793">
            <v>7.335538251132484E-2</v>
          </cell>
          <cell r="F793">
            <v>0.9266446174886751</v>
          </cell>
          <cell r="G793">
            <v>0</v>
          </cell>
          <cell r="H793">
            <v>1</v>
          </cell>
        </row>
        <row r="794">
          <cell r="B794" t="str">
            <v>205 2013 10 1212 00015</v>
          </cell>
          <cell r="C794">
            <v>2052013121200010</v>
          </cell>
          <cell r="D794">
            <v>7.2463768115942032E-2</v>
          </cell>
          <cell r="F794">
            <v>0.92753623188405798</v>
          </cell>
          <cell r="G794">
            <v>0</v>
          </cell>
          <cell r="H794">
            <v>1</v>
          </cell>
        </row>
        <row r="795">
          <cell r="B795" t="str">
            <v>203 2014 10 1212 00003</v>
          </cell>
          <cell r="C795">
            <v>2032014121200000</v>
          </cell>
          <cell r="D795">
            <v>2.3934698565896376E-2</v>
          </cell>
          <cell r="F795">
            <v>0.41167681533341766</v>
          </cell>
          <cell r="G795">
            <v>0.56438848610068604</v>
          </cell>
          <cell r="H795">
            <v>1</v>
          </cell>
        </row>
        <row r="796">
          <cell r="B796" t="str">
            <v>205 2014 10 1221 00001</v>
          </cell>
          <cell r="C796">
            <v>2052014122100000</v>
          </cell>
          <cell r="D796">
            <v>0.71022727272727271</v>
          </cell>
          <cell r="F796">
            <v>0.28977272727272729</v>
          </cell>
          <cell r="G796">
            <v>0</v>
          </cell>
          <cell r="H796">
            <v>1</v>
          </cell>
        </row>
        <row r="797">
          <cell r="B797" t="str">
            <v>203 2014 10 1211 00005</v>
          </cell>
          <cell r="C797">
            <v>2032014121100100</v>
          </cell>
          <cell r="D797">
            <v>5.4945054945054951E-2</v>
          </cell>
          <cell r="F797">
            <v>0.94505494505494503</v>
          </cell>
          <cell r="G797">
            <v>0</v>
          </cell>
          <cell r="H797">
            <v>1</v>
          </cell>
        </row>
        <row r="798">
          <cell r="B798" t="str">
            <v>205 2013 10 1212 00015</v>
          </cell>
          <cell r="C798">
            <v>2052013121200010</v>
          </cell>
          <cell r="D798">
            <v>7.2463768115942032E-2</v>
          </cell>
          <cell r="F798">
            <v>0.92753623188405798</v>
          </cell>
          <cell r="G798">
            <v>0</v>
          </cell>
          <cell r="H798">
            <v>1</v>
          </cell>
        </row>
        <row r="799">
          <cell r="B799" t="str">
            <v>203 2013 10 1211 00009</v>
          </cell>
          <cell r="C799">
            <v>2032013121100010</v>
          </cell>
          <cell r="D799">
            <v>5.8823529411764712E-2</v>
          </cell>
          <cell r="F799">
            <v>0.94117647058823528</v>
          </cell>
          <cell r="G799">
            <v>0</v>
          </cell>
          <cell r="H799">
            <v>1</v>
          </cell>
        </row>
        <row r="800">
          <cell r="B800" t="str">
            <v>203 2014 10 1212 00010</v>
          </cell>
          <cell r="C800">
            <v>2032014121200090</v>
          </cell>
          <cell r="D800">
            <v>7.1108383038868087E-2</v>
          </cell>
          <cell r="F800">
            <v>0.92889161696113187</v>
          </cell>
          <cell r="G800">
            <v>0</v>
          </cell>
          <cell r="H800">
            <v>1</v>
          </cell>
        </row>
        <row r="801">
          <cell r="B801" t="str">
            <v>205 2013 10 1212 00013</v>
          </cell>
          <cell r="C801">
            <v>2052013121200010</v>
          </cell>
          <cell r="D801">
            <v>1</v>
          </cell>
          <cell r="F801">
            <v>0</v>
          </cell>
          <cell r="G801">
            <v>0</v>
          </cell>
          <cell r="H801">
            <v>1</v>
          </cell>
        </row>
        <row r="802">
          <cell r="B802" t="str">
            <v>203 2014 10 1211 00006</v>
          </cell>
          <cell r="C802">
            <v>2032014121100090</v>
          </cell>
          <cell r="D802">
            <v>0.28239389219784183</v>
          </cell>
          <cell r="F802">
            <v>0.71760610780215817</v>
          </cell>
          <cell r="G802">
            <v>0</v>
          </cell>
          <cell r="H802">
            <v>1</v>
          </cell>
        </row>
        <row r="803">
          <cell r="B803" t="str">
            <v>204 2013 10 1211 00012</v>
          </cell>
          <cell r="C803">
            <v>2042013121100020</v>
          </cell>
          <cell r="D803">
            <v>8.4459459459459499E-3</v>
          </cell>
          <cell r="F803">
            <v>7.0101351351351246E-2</v>
          </cell>
          <cell r="G803">
            <v>0.92145270270270285</v>
          </cell>
          <cell r="H803">
            <v>1</v>
          </cell>
        </row>
        <row r="804">
          <cell r="B804" t="str">
            <v>203 2014 10 1211 00005</v>
          </cell>
          <cell r="C804">
            <v>2032014121100000</v>
          </cell>
          <cell r="D804">
            <v>5.4945054945054951E-2</v>
          </cell>
          <cell r="F804">
            <v>0.94505494505494503</v>
          </cell>
          <cell r="G804">
            <v>0</v>
          </cell>
          <cell r="H804">
            <v>1</v>
          </cell>
        </row>
        <row r="805">
          <cell r="B805" t="str">
            <v>203 2012 10 1212 00010</v>
          </cell>
          <cell r="C805">
            <v>2032012121200020</v>
          </cell>
          <cell r="D805">
            <v>0.48078258912855332</v>
          </cell>
          <cell r="F805">
            <v>0.51921741087144668</v>
          </cell>
          <cell r="G805">
            <v>0</v>
          </cell>
          <cell r="H805">
            <v>1</v>
          </cell>
        </row>
        <row r="806">
          <cell r="B806" t="str">
            <v>203 2014 10 1212 00009</v>
          </cell>
          <cell r="C806">
            <v>2032014121200050</v>
          </cell>
          <cell r="D806">
            <v>5.9565902215354273E-2</v>
          </cell>
          <cell r="F806">
            <v>0.83392263101495978</v>
          </cell>
          <cell r="G806">
            <v>0.10651146676968593</v>
          </cell>
          <cell r="H806">
            <v>1</v>
          </cell>
        </row>
        <row r="807">
          <cell r="B807" t="str">
            <v>203 2014 10 1211 00005</v>
          </cell>
          <cell r="C807">
            <v>2032014121100100</v>
          </cell>
          <cell r="D807">
            <v>5.4945054945054951E-2</v>
          </cell>
          <cell r="F807">
            <v>0.94505494505494503</v>
          </cell>
          <cell r="G807">
            <v>0</v>
          </cell>
          <cell r="H807">
            <v>1</v>
          </cell>
        </row>
        <row r="808">
          <cell r="B808" t="str">
            <v>204 2012 10 1211 00014</v>
          </cell>
          <cell r="C808">
            <v>2042012121100020</v>
          </cell>
          <cell r="D808">
            <v>5.8823999999999994E-2</v>
          </cell>
          <cell r="F808">
            <v>0.94117600000000001</v>
          </cell>
          <cell r="G808">
            <v>0</v>
          </cell>
          <cell r="H808">
            <v>1</v>
          </cell>
        </row>
        <row r="809">
          <cell r="B809" t="str">
            <v>204 2011 10 1211 00006</v>
          </cell>
          <cell r="C809">
            <v>2042012121100000</v>
          </cell>
          <cell r="D809">
            <v>0.03</v>
          </cell>
          <cell r="F809">
            <v>0</v>
          </cell>
          <cell r="G809">
            <v>0.97</v>
          </cell>
          <cell r="H809">
            <v>1</v>
          </cell>
        </row>
        <row r="810">
          <cell r="B810" t="str">
            <v>203 2014 10 1211 00005</v>
          </cell>
          <cell r="C810">
            <v>2032014121100030</v>
          </cell>
          <cell r="D810">
            <v>5.4945054945054951E-2</v>
          </cell>
          <cell r="F810">
            <v>0.94505494505494503</v>
          </cell>
          <cell r="G810">
            <v>0</v>
          </cell>
          <cell r="H810">
            <v>1</v>
          </cell>
        </row>
        <row r="811">
          <cell r="B811" t="str">
            <v>203 2014 10 1212 00011</v>
          </cell>
          <cell r="C811">
            <v>2032014121200070</v>
          </cell>
          <cell r="D811">
            <v>0.2155046172804585</v>
          </cell>
          <cell r="F811">
            <v>0.78449538271954156</v>
          </cell>
          <cell r="G811">
            <v>0</v>
          </cell>
          <cell r="H811">
            <v>1</v>
          </cell>
        </row>
        <row r="812">
          <cell r="B812" t="str">
            <v>203 2013 10 1212 00013</v>
          </cell>
          <cell r="C812">
            <v>2032013121200050</v>
          </cell>
          <cell r="D812">
            <v>0.10261154966097075</v>
          </cell>
          <cell r="F812">
            <v>0.89738845033902925</v>
          </cell>
          <cell r="G812">
            <v>0</v>
          </cell>
          <cell r="H812">
            <v>1</v>
          </cell>
        </row>
        <row r="813">
          <cell r="B813" t="str">
            <v>203 2013 10 1211 00009</v>
          </cell>
          <cell r="C813">
            <v>2032013121100110</v>
          </cell>
          <cell r="D813">
            <v>5.8823529411764712E-2</v>
          </cell>
          <cell r="F813">
            <v>0.94117647058823528</v>
          </cell>
          <cell r="G813">
            <v>0</v>
          </cell>
          <cell r="H813">
            <v>1</v>
          </cell>
        </row>
        <row r="814">
          <cell r="B814" t="str">
            <v>203 2012 10 1211 00011</v>
          </cell>
          <cell r="C814">
            <v>2032012121100080</v>
          </cell>
          <cell r="D814">
            <v>5.8823999999999994E-2</v>
          </cell>
          <cell r="F814">
            <v>0.94117600000000001</v>
          </cell>
          <cell r="G814">
            <v>0</v>
          </cell>
          <cell r="H814">
            <v>1</v>
          </cell>
        </row>
        <row r="815">
          <cell r="B815" t="str">
            <v>204 2012 10 1211 00014</v>
          </cell>
          <cell r="C815">
            <v>2042012121100030</v>
          </cell>
          <cell r="D815">
            <v>5.8823999999999994E-2</v>
          </cell>
          <cell r="F815">
            <v>0.94117600000000001</v>
          </cell>
          <cell r="G815">
            <v>0</v>
          </cell>
          <cell r="H815">
            <v>1</v>
          </cell>
        </row>
        <row r="816">
          <cell r="B816" t="str">
            <v>203 2014 10 1211 00005</v>
          </cell>
          <cell r="C816">
            <v>2032014121100050</v>
          </cell>
          <cell r="D816">
            <v>5.4945054945054951E-2</v>
          </cell>
          <cell r="F816">
            <v>0.94505494505494503</v>
          </cell>
          <cell r="G816">
            <v>0</v>
          </cell>
          <cell r="H816">
            <v>1</v>
          </cell>
        </row>
        <row r="817">
          <cell r="B817" t="str">
            <v>203 2014 10 1211 00005</v>
          </cell>
          <cell r="C817">
            <v>2032014121100100</v>
          </cell>
          <cell r="D817">
            <v>5.4945054945054951E-2</v>
          </cell>
          <cell r="F817">
            <v>0.94505494505494503</v>
          </cell>
          <cell r="G817">
            <v>0</v>
          </cell>
          <cell r="H817">
            <v>1</v>
          </cell>
        </row>
        <row r="818">
          <cell r="B818" t="str">
            <v>204 2012 10 1211 00003</v>
          </cell>
          <cell r="C818">
            <v>2042012121100010</v>
          </cell>
          <cell r="D818">
            <v>1.500104856395851E-2</v>
          </cell>
          <cell r="F818">
            <v>0.19201342161866891</v>
          </cell>
          <cell r="G818">
            <v>0.79298552981737247</v>
          </cell>
          <cell r="H818">
            <v>0.99999999999999989</v>
          </cell>
        </row>
        <row r="819">
          <cell r="B819" t="str">
            <v>203 2014 10 1211 00005</v>
          </cell>
          <cell r="C819">
            <v>2032014121100060</v>
          </cell>
          <cell r="D819">
            <v>5.4945054945054951E-2</v>
          </cell>
          <cell r="F819">
            <v>0.94505494505494503</v>
          </cell>
          <cell r="G819">
            <v>0</v>
          </cell>
          <cell r="H819">
            <v>1</v>
          </cell>
        </row>
        <row r="820">
          <cell r="B820" t="str">
            <v>100 2006 10 1211 00011</v>
          </cell>
          <cell r="C820">
            <v>2042007121100050</v>
          </cell>
          <cell r="D820">
            <v>3.5560000000000001E-3</v>
          </cell>
          <cell r="F820">
            <v>2.6667E-2</v>
          </cell>
          <cell r="G820">
            <v>0.969777</v>
          </cell>
          <cell r="H820">
            <v>1</v>
          </cell>
        </row>
        <row r="821">
          <cell r="B821" t="str">
            <v>203 2014 10 1211 00005</v>
          </cell>
          <cell r="C821">
            <v>2032014121100080</v>
          </cell>
          <cell r="D821">
            <v>5.4945054945054951E-2</v>
          </cell>
          <cell r="F821">
            <v>0.94505494505494503</v>
          </cell>
          <cell r="G821">
            <v>0</v>
          </cell>
          <cell r="H821">
            <v>1</v>
          </cell>
        </row>
        <row r="822">
          <cell r="B822" t="str">
            <v>201 2013 10 1212 00004</v>
          </cell>
          <cell r="C822">
            <v>2012013121200010</v>
          </cell>
          <cell r="D822">
            <v>7.2463768115942032E-2</v>
          </cell>
          <cell r="F822">
            <v>0.92753623188405798</v>
          </cell>
          <cell r="G822">
            <v>0</v>
          </cell>
          <cell r="H822">
            <v>1</v>
          </cell>
        </row>
        <row r="823">
          <cell r="B823" t="str">
            <v>203 2014 10 1211 00005</v>
          </cell>
          <cell r="C823">
            <v>2032014121100100</v>
          </cell>
          <cell r="D823">
            <v>5.4945054945054951E-2</v>
          </cell>
          <cell r="F823">
            <v>0.94505494505494503</v>
          </cell>
          <cell r="G823">
            <v>0</v>
          </cell>
          <cell r="H823">
            <v>1</v>
          </cell>
        </row>
        <row r="824">
          <cell r="B824" t="str">
            <v>206 2014 10 1221 00007</v>
          </cell>
          <cell r="C824">
            <v>2062014122100000</v>
          </cell>
          <cell r="D824">
            <v>0.37202380952380953</v>
          </cell>
          <cell r="F824">
            <v>0.62797619047619047</v>
          </cell>
          <cell r="G824">
            <v>0</v>
          </cell>
          <cell r="H824">
            <v>1</v>
          </cell>
        </row>
        <row r="825">
          <cell r="B825" t="str">
            <v>203 2014 10 1212 00004</v>
          </cell>
          <cell r="C825">
            <v>2032014121200020</v>
          </cell>
          <cell r="D825">
            <v>1</v>
          </cell>
          <cell r="F825">
            <v>0</v>
          </cell>
          <cell r="G825">
            <v>0</v>
          </cell>
          <cell r="H825">
            <v>1</v>
          </cell>
        </row>
        <row r="826">
          <cell r="B826" t="str">
            <v>203 2014 10 1212 00003</v>
          </cell>
          <cell r="C826">
            <v>2032014121200060</v>
          </cell>
          <cell r="D826">
            <v>2.3934698565896376E-2</v>
          </cell>
          <cell r="F826">
            <v>0.41167681533341766</v>
          </cell>
          <cell r="G826">
            <v>0.56438848610068604</v>
          </cell>
          <cell r="H826">
            <v>1</v>
          </cell>
        </row>
        <row r="827">
          <cell r="B827" t="str">
            <v>205 2013 10 1212 00013</v>
          </cell>
          <cell r="C827">
            <v>2052013121200000</v>
          </cell>
          <cell r="D827">
            <v>1</v>
          </cell>
          <cell r="F827">
            <v>0</v>
          </cell>
          <cell r="G827">
            <v>0</v>
          </cell>
          <cell r="H827">
            <v>1</v>
          </cell>
        </row>
        <row r="828">
          <cell r="B828" t="str">
            <v>203 2014 10 1211 00005</v>
          </cell>
          <cell r="C828">
            <v>2032014121100030</v>
          </cell>
          <cell r="D828">
            <v>5.4945054945054951E-2</v>
          </cell>
          <cell r="F828">
            <v>0.94505494505494503</v>
          </cell>
          <cell r="G828">
            <v>0</v>
          </cell>
          <cell r="H828">
            <v>1</v>
          </cell>
        </row>
        <row r="829">
          <cell r="B829" t="str">
            <v>204 2013 10 1211 00011</v>
          </cell>
          <cell r="C829">
            <v>2042013121100000</v>
          </cell>
          <cell r="D829">
            <v>0.03</v>
          </cell>
          <cell r="F829">
            <v>0</v>
          </cell>
          <cell r="G829">
            <v>0.97</v>
          </cell>
          <cell r="H829">
            <v>1</v>
          </cell>
        </row>
        <row r="830">
          <cell r="B830" t="str">
            <v>206 2014 10 1212 00008</v>
          </cell>
          <cell r="C830">
            <v>2062014121200000</v>
          </cell>
          <cell r="D830">
            <v>1</v>
          </cell>
          <cell r="F830">
            <v>0</v>
          </cell>
          <cell r="G830">
            <v>0</v>
          </cell>
          <cell r="H830">
            <v>1</v>
          </cell>
        </row>
        <row r="831">
          <cell r="B831" t="str">
            <v>203 2012 10 1211 00009</v>
          </cell>
          <cell r="C831">
            <v>2032012121100060</v>
          </cell>
          <cell r="D831">
            <v>9.8039613804000364E-2</v>
          </cell>
          <cell r="F831">
            <v>0.90196038619599961</v>
          </cell>
          <cell r="G831">
            <v>0</v>
          </cell>
          <cell r="H831">
            <v>1</v>
          </cell>
        </row>
        <row r="832">
          <cell r="B832" t="str">
            <v>203 2013 10 1211 00009</v>
          </cell>
          <cell r="C832">
            <v>2032013121100110</v>
          </cell>
          <cell r="D832">
            <v>5.8823529411764712E-2</v>
          </cell>
          <cell r="F832">
            <v>0.94117647058823528</v>
          </cell>
          <cell r="G832">
            <v>0</v>
          </cell>
          <cell r="H832">
            <v>1</v>
          </cell>
        </row>
        <row r="833">
          <cell r="B833" t="str">
            <v>204 2013 10 1211 00011</v>
          </cell>
          <cell r="C833">
            <v>2042014121100000</v>
          </cell>
          <cell r="D833">
            <v>0.03</v>
          </cell>
          <cell r="F833">
            <v>0</v>
          </cell>
          <cell r="G833">
            <v>0.97</v>
          </cell>
          <cell r="H833">
            <v>1</v>
          </cell>
        </row>
        <row r="834">
          <cell r="B834" t="str">
            <v>206 2013 10 1212 00001</v>
          </cell>
          <cell r="C834">
            <v>2062013121200000</v>
          </cell>
          <cell r="D834">
            <v>0.40456974145549918</v>
          </cell>
          <cell r="F834">
            <v>0.59543025854450082</v>
          </cell>
          <cell r="G834">
            <v>0</v>
          </cell>
          <cell r="H834">
            <v>1</v>
          </cell>
        </row>
        <row r="835">
          <cell r="B835" t="str">
            <v>203 2013 10 1212 00002</v>
          </cell>
          <cell r="C835">
            <v>2032013121200020</v>
          </cell>
          <cell r="D835">
            <v>1</v>
          </cell>
          <cell r="F835">
            <v>0</v>
          </cell>
          <cell r="G835">
            <v>0</v>
          </cell>
          <cell r="H835">
            <v>1</v>
          </cell>
        </row>
        <row r="836">
          <cell r="B836" t="str">
            <v>203 2013 10 1211 00009</v>
          </cell>
          <cell r="C836">
            <v>2032013121100060</v>
          </cell>
          <cell r="D836">
            <v>5.8823529411764712E-2</v>
          </cell>
          <cell r="F836">
            <v>0.94117647058823528</v>
          </cell>
          <cell r="G836">
            <v>0</v>
          </cell>
          <cell r="H836">
            <v>1</v>
          </cell>
        </row>
        <row r="837">
          <cell r="B837" t="str">
            <v>203 2008 10 1211 00005</v>
          </cell>
          <cell r="C837">
            <v>2032008121100120</v>
          </cell>
          <cell r="D837">
            <v>0.23458700000000002</v>
          </cell>
          <cell r="E837">
            <v>7.6540999999999998E-2</v>
          </cell>
          <cell r="F837">
            <v>0.68887200000000004</v>
          </cell>
          <cell r="G837">
            <v>0</v>
          </cell>
          <cell r="H837">
            <v>1</v>
          </cell>
        </row>
        <row r="838">
          <cell r="B838" t="str">
            <v>203 2014 10 1212 00009</v>
          </cell>
          <cell r="C838">
            <v>2032014121200030</v>
          </cell>
          <cell r="D838">
            <v>5.9565902215354273E-2</v>
          </cell>
          <cell r="F838">
            <v>0.83392263101495978</v>
          </cell>
          <cell r="G838">
            <v>0.10651146676968593</v>
          </cell>
          <cell r="H838">
            <v>1</v>
          </cell>
        </row>
        <row r="839">
          <cell r="B839" t="str">
            <v>203 2014 10 1212 00003</v>
          </cell>
          <cell r="C839">
            <v>2032014121200070</v>
          </cell>
          <cell r="D839">
            <v>2.3934698565896376E-2</v>
          </cell>
          <cell r="F839">
            <v>0.41167681533341766</v>
          </cell>
          <cell r="G839">
            <v>0.56438848610068604</v>
          </cell>
          <cell r="H839">
            <v>1</v>
          </cell>
        </row>
        <row r="840">
          <cell r="B840" t="str">
            <v>201 2014 10 1212 00004</v>
          </cell>
          <cell r="C840">
            <v>2012014121200000</v>
          </cell>
          <cell r="D840">
            <v>0.11839683618058792</v>
          </cell>
          <cell r="F840">
            <v>0.88160316381941206</v>
          </cell>
          <cell r="G840">
            <v>0</v>
          </cell>
          <cell r="H840">
            <v>1</v>
          </cell>
        </row>
        <row r="841">
          <cell r="B841" t="str">
            <v>201 2013 10 1211 00006</v>
          </cell>
          <cell r="C841">
            <v>2012013121100160</v>
          </cell>
          <cell r="D841">
            <v>5.8823529411764705E-2</v>
          </cell>
          <cell r="F841">
            <v>0.94117647058823528</v>
          </cell>
          <cell r="G841">
            <v>0</v>
          </cell>
          <cell r="H841">
            <v>1</v>
          </cell>
        </row>
        <row r="842">
          <cell r="B842" t="str">
            <v>203 2013 10 1211 00009</v>
          </cell>
          <cell r="C842">
            <v>2032013121100110</v>
          </cell>
          <cell r="D842">
            <v>5.8823529411764712E-2</v>
          </cell>
          <cell r="F842">
            <v>0.94117647058823528</v>
          </cell>
          <cell r="G842">
            <v>0</v>
          </cell>
          <cell r="H842">
            <v>1</v>
          </cell>
        </row>
        <row r="843">
          <cell r="B843" t="str">
            <v>203 2011 10 1224 00003</v>
          </cell>
          <cell r="C843">
            <v>2032011122400000</v>
          </cell>
          <cell r="D843">
            <v>1</v>
          </cell>
          <cell r="F843">
            <v>0</v>
          </cell>
          <cell r="G843">
            <v>0</v>
          </cell>
          <cell r="H843">
            <v>1</v>
          </cell>
        </row>
        <row r="844">
          <cell r="B844" t="str">
            <v>203 2014 10 1211 00005</v>
          </cell>
          <cell r="C844">
            <v>2032014121100030</v>
          </cell>
          <cell r="D844">
            <v>5.4945054945054951E-2</v>
          </cell>
          <cell r="F844">
            <v>0.94505494505494503</v>
          </cell>
          <cell r="G844">
            <v>0</v>
          </cell>
          <cell r="H844">
            <v>1</v>
          </cell>
        </row>
        <row r="845">
          <cell r="B845" t="str">
            <v>203 2014 10 1212 00004</v>
          </cell>
          <cell r="C845">
            <v>2032014121200080</v>
          </cell>
          <cell r="D845">
            <v>1</v>
          </cell>
          <cell r="F845">
            <v>0</v>
          </cell>
          <cell r="G845">
            <v>0</v>
          </cell>
          <cell r="H845">
            <v>1</v>
          </cell>
        </row>
        <row r="846">
          <cell r="B846" t="str">
            <v>203 2012 10 1211 00009</v>
          </cell>
          <cell r="C846">
            <v>2032012121100070</v>
          </cell>
          <cell r="D846">
            <v>9.8039613804000364E-2</v>
          </cell>
          <cell r="F846">
            <v>0.90196038619599961</v>
          </cell>
          <cell r="G846">
            <v>0</v>
          </cell>
          <cell r="H846">
            <v>1</v>
          </cell>
        </row>
        <row r="847">
          <cell r="B847" t="str">
            <v>205 2013 10 1212 00016</v>
          </cell>
          <cell r="C847">
            <v>2052013121200010</v>
          </cell>
          <cell r="D847">
            <v>8.3459831647504992E-2</v>
          </cell>
          <cell r="F847">
            <v>0.91654016835249497</v>
          </cell>
          <cell r="G847">
            <v>0</v>
          </cell>
          <cell r="H847">
            <v>1</v>
          </cell>
        </row>
        <row r="848">
          <cell r="B848" t="str">
            <v>203 2013 10 1211 00003</v>
          </cell>
          <cell r="C848">
            <v>2032013121100000</v>
          </cell>
          <cell r="D848">
            <v>0.28239389219784183</v>
          </cell>
          <cell r="F848">
            <v>0.71760610780215817</v>
          </cell>
          <cell r="G848">
            <v>0</v>
          </cell>
          <cell r="H848">
            <v>1</v>
          </cell>
        </row>
        <row r="849">
          <cell r="B849" t="str">
            <v>204 2009 10 1211 00001</v>
          </cell>
          <cell r="C849">
            <v>2042009121100050</v>
          </cell>
          <cell r="D849">
            <v>0.03</v>
          </cell>
          <cell r="F849">
            <v>0</v>
          </cell>
          <cell r="G849">
            <v>0.97</v>
          </cell>
          <cell r="H849">
            <v>1</v>
          </cell>
        </row>
        <row r="850">
          <cell r="B850" t="str">
            <v>209 2013 10 1221 00007</v>
          </cell>
          <cell r="C850">
            <v>2092013122100000</v>
          </cell>
          <cell r="D850">
            <v>0.47336475996925548</v>
          </cell>
          <cell r="F850">
            <v>0.52663524003074458</v>
          </cell>
          <cell r="G850">
            <v>0</v>
          </cell>
          <cell r="H850">
            <v>1</v>
          </cell>
        </row>
        <row r="851">
          <cell r="B851" t="str">
            <v>205 2011 10 1212 00019</v>
          </cell>
          <cell r="C851">
            <v>2052011121200000</v>
          </cell>
          <cell r="D851">
            <v>7.335538251132484E-2</v>
          </cell>
          <cell r="F851">
            <v>0.9266446174886751</v>
          </cell>
          <cell r="G851">
            <v>0</v>
          </cell>
          <cell r="H851">
            <v>1</v>
          </cell>
        </row>
        <row r="852">
          <cell r="B852" t="str">
            <v>202 2012 10 1212 00002</v>
          </cell>
          <cell r="C852">
            <v>2022012121200010</v>
          </cell>
          <cell r="D852">
            <v>7.386615452799529E-2</v>
          </cell>
          <cell r="F852">
            <v>0.92613384547200472</v>
          </cell>
          <cell r="G852">
            <v>0</v>
          </cell>
          <cell r="H852">
            <v>1</v>
          </cell>
        </row>
        <row r="853">
          <cell r="B853" t="str">
            <v>203 2014 10 1211 00005</v>
          </cell>
          <cell r="C853">
            <v>2032014121100030</v>
          </cell>
          <cell r="D853">
            <v>5.4945054945054951E-2</v>
          </cell>
          <cell r="F853">
            <v>0.94505494505494503</v>
          </cell>
          <cell r="G853">
            <v>0</v>
          </cell>
          <cell r="H853">
            <v>1</v>
          </cell>
        </row>
        <row r="854">
          <cell r="B854" t="str">
            <v>203 2013 10 1211 00009</v>
          </cell>
          <cell r="C854">
            <v>2032013121100080</v>
          </cell>
          <cell r="D854">
            <v>5.8823529411764712E-2</v>
          </cell>
          <cell r="F854">
            <v>0.94117647058823528</v>
          </cell>
          <cell r="G854">
            <v>0</v>
          </cell>
          <cell r="H854">
            <v>1</v>
          </cell>
        </row>
        <row r="855">
          <cell r="B855" t="str">
            <v>203 2011 10 1211 00003</v>
          </cell>
          <cell r="C855">
            <v>2032011121100000</v>
          </cell>
          <cell r="D855">
            <v>1</v>
          </cell>
          <cell r="F855">
            <v>0</v>
          </cell>
          <cell r="G855">
            <v>0</v>
          </cell>
          <cell r="H855">
            <v>1</v>
          </cell>
        </row>
        <row r="856">
          <cell r="B856" t="str">
            <v>203 2012 10 1211 00011</v>
          </cell>
          <cell r="C856">
            <v>2032012121100050</v>
          </cell>
          <cell r="D856">
            <v>5.8823999999999994E-2</v>
          </cell>
          <cell r="F856">
            <v>0.94117600000000001</v>
          </cell>
          <cell r="G856">
            <v>0</v>
          </cell>
          <cell r="H856">
            <v>1</v>
          </cell>
        </row>
        <row r="857">
          <cell r="B857" t="str">
            <v>209 2013 10 1212 00006</v>
          </cell>
          <cell r="C857">
            <v>2092013121200000</v>
          </cell>
          <cell r="D857">
            <v>0.92019763769291774</v>
          </cell>
          <cell r="F857">
            <v>7.9802362307082264E-2</v>
          </cell>
          <cell r="G857">
            <v>0</v>
          </cell>
          <cell r="H857">
            <v>1</v>
          </cell>
        </row>
        <row r="858">
          <cell r="B858" t="str">
            <v>204 2010 10 1211 00007</v>
          </cell>
          <cell r="C858">
            <v>2042010121100010</v>
          </cell>
          <cell r="D858">
            <v>1.2206495225126183E-2</v>
          </cell>
          <cell r="F858">
            <v>0.10369157810625995</v>
          </cell>
          <cell r="G858">
            <v>0.88410192666861387</v>
          </cell>
          <cell r="H858">
            <v>1</v>
          </cell>
        </row>
        <row r="859">
          <cell r="B859" t="str">
            <v>203 2014 10 1212 00003</v>
          </cell>
          <cell r="C859">
            <v>2032014121200010</v>
          </cell>
          <cell r="D859">
            <v>2.3934698565896376E-2</v>
          </cell>
          <cell r="F859">
            <v>0.41167681533341766</v>
          </cell>
          <cell r="G859">
            <v>0.56438848610068604</v>
          </cell>
          <cell r="H859">
            <v>1</v>
          </cell>
        </row>
        <row r="860">
          <cell r="B860" t="str">
            <v>108 2006 10 1222   00005</v>
          </cell>
          <cell r="C860">
            <v>1082006122200000</v>
          </cell>
          <cell r="D860">
            <v>1</v>
          </cell>
          <cell r="E860">
            <v>0</v>
          </cell>
          <cell r="F860">
            <v>0</v>
          </cell>
          <cell r="G860">
            <v>0</v>
          </cell>
          <cell r="H860">
            <v>1</v>
          </cell>
        </row>
        <row r="861">
          <cell r="B861" t="str">
            <v>203 2007 10 1211 00009</v>
          </cell>
          <cell r="C861">
            <v>2032007121100160</v>
          </cell>
          <cell r="D861">
            <v>0.94330000000000003</v>
          </cell>
          <cell r="E861">
            <v>2.8000000000000004E-3</v>
          </cell>
          <cell r="F861">
            <v>5.3899999999999997E-2</v>
          </cell>
          <cell r="G861">
            <v>0</v>
          </cell>
          <cell r="H861">
            <v>1</v>
          </cell>
        </row>
        <row r="862">
          <cell r="B862" t="str">
            <v>205 2012 10 1212 00023</v>
          </cell>
          <cell r="C862">
            <v>2052013121200000</v>
          </cell>
          <cell r="D862">
            <v>1</v>
          </cell>
          <cell r="F862">
            <v>0</v>
          </cell>
          <cell r="G862">
            <v>0</v>
          </cell>
          <cell r="H862">
            <v>1</v>
          </cell>
        </row>
        <row r="863">
          <cell r="B863" t="str">
            <v>203 2013 10 1211 00006</v>
          </cell>
          <cell r="C863">
            <v>2032013121100000</v>
          </cell>
          <cell r="D863">
            <v>0.2098339255043955</v>
          </cell>
          <cell r="F863">
            <v>0.7901660744956045</v>
          </cell>
          <cell r="G863">
            <v>0</v>
          </cell>
          <cell r="H863">
            <v>1</v>
          </cell>
        </row>
        <row r="864">
          <cell r="B864" t="str">
            <v>203 2013 10 1211 00009</v>
          </cell>
          <cell r="C864">
            <v>2032013121100070</v>
          </cell>
          <cell r="D864">
            <v>5.8823529411764712E-2</v>
          </cell>
          <cell r="F864">
            <v>0.94117647058823528</v>
          </cell>
          <cell r="G864">
            <v>0</v>
          </cell>
          <cell r="H864">
            <v>1</v>
          </cell>
        </row>
        <row r="865">
          <cell r="B865" t="str">
            <v>205 2013 10 1212 00013</v>
          </cell>
          <cell r="C865">
            <v>2052013121200000</v>
          </cell>
          <cell r="D865">
            <v>1</v>
          </cell>
          <cell r="F865">
            <v>0</v>
          </cell>
          <cell r="G865">
            <v>0</v>
          </cell>
          <cell r="H865">
            <v>1</v>
          </cell>
        </row>
        <row r="866">
          <cell r="B866" t="str">
            <v>204 2013 88 1211 00037</v>
          </cell>
          <cell r="C866">
            <v>2042013121100020</v>
          </cell>
          <cell r="D866">
            <v>1</v>
          </cell>
          <cell r="F866">
            <v>0</v>
          </cell>
          <cell r="G866">
            <v>0</v>
          </cell>
          <cell r="H866">
            <v>1</v>
          </cell>
        </row>
        <row r="867">
          <cell r="B867" t="str">
            <v>203 2013 10 1211 00009</v>
          </cell>
          <cell r="C867">
            <v>2032013121100060</v>
          </cell>
          <cell r="D867">
            <v>5.8823529411764712E-2</v>
          </cell>
          <cell r="F867">
            <v>0.94117647058823528</v>
          </cell>
          <cell r="G867">
            <v>0</v>
          </cell>
          <cell r="H867">
            <v>1</v>
          </cell>
        </row>
        <row r="868">
          <cell r="B868" t="str">
            <v>205 2013 10 1212 00015</v>
          </cell>
          <cell r="C868">
            <v>2052013121200010</v>
          </cell>
          <cell r="D868">
            <v>7.2463768115942032E-2</v>
          </cell>
          <cell r="F868">
            <v>0.92753623188405798</v>
          </cell>
          <cell r="G868">
            <v>0</v>
          </cell>
          <cell r="H868">
            <v>1</v>
          </cell>
        </row>
        <row r="869">
          <cell r="B869" t="str">
            <v>205 2014 10 1221 00005</v>
          </cell>
          <cell r="C869">
            <v>2052014122100000</v>
          </cell>
          <cell r="D869">
            <v>0.12972291271207567</v>
          </cell>
          <cell r="F869">
            <v>0.8702770872879243</v>
          </cell>
          <cell r="G869">
            <v>0</v>
          </cell>
          <cell r="H869">
            <v>1</v>
          </cell>
        </row>
        <row r="870">
          <cell r="B870" t="str">
            <v>203 2014 10 1211 00005</v>
          </cell>
          <cell r="C870">
            <v>2032014121100030</v>
          </cell>
          <cell r="D870">
            <v>5.4945054945054951E-2</v>
          </cell>
          <cell r="F870">
            <v>0.94505494505494503</v>
          </cell>
          <cell r="G870">
            <v>0</v>
          </cell>
          <cell r="H870">
            <v>1</v>
          </cell>
        </row>
        <row r="871">
          <cell r="B871" t="str">
            <v>203 2014 10 1212 00012</v>
          </cell>
          <cell r="C871">
            <v>2032014121200070</v>
          </cell>
          <cell r="D871">
            <v>0.11155616929252038</v>
          </cell>
          <cell r="F871">
            <v>0.88844383070747956</v>
          </cell>
          <cell r="G871">
            <v>0</v>
          </cell>
          <cell r="H871">
            <v>1</v>
          </cell>
        </row>
        <row r="872">
          <cell r="B872" t="str">
            <v>204 2012 10 1211 00015</v>
          </cell>
          <cell r="C872">
            <v>2042013121100000</v>
          </cell>
          <cell r="D872">
            <v>2.5644042960282325E-2</v>
          </cell>
          <cell r="F872">
            <v>0.3143559570397228</v>
          </cell>
          <cell r="G872">
            <v>0.65999999999999481</v>
          </cell>
          <cell r="H872">
            <v>1</v>
          </cell>
        </row>
        <row r="873">
          <cell r="B873" t="str">
            <v>203 2014 10 1212 00003</v>
          </cell>
          <cell r="C873">
            <v>2032014121200020</v>
          </cell>
          <cell r="D873">
            <v>2.3934698565896376E-2</v>
          </cell>
          <cell r="F873">
            <v>0.41167681533341766</v>
          </cell>
          <cell r="G873">
            <v>0.56438848610068604</v>
          </cell>
          <cell r="H873">
            <v>1</v>
          </cell>
        </row>
        <row r="874">
          <cell r="B874" t="str">
            <v>204 2014 10 1221 00001</v>
          </cell>
          <cell r="C874">
            <v>2042014122100000</v>
          </cell>
          <cell r="D874">
            <v>1</v>
          </cell>
          <cell r="F874">
            <v>0</v>
          </cell>
          <cell r="G874">
            <v>0</v>
          </cell>
          <cell r="H874">
            <v>1</v>
          </cell>
        </row>
        <row r="875">
          <cell r="B875" t="str">
            <v>205 2014 10 1212 00003</v>
          </cell>
          <cell r="C875">
            <v>2052014121200010</v>
          </cell>
          <cell r="D875">
            <v>1</v>
          </cell>
          <cell r="F875">
            <v>0</v>
          </cell>
          <cell r="G875">
            <v>0</v>
          </cell>
          <cell r="H875">
            <v>1</v>
          </cell>
        </row>
        <row r="876">
          <cell r="B876" t="str">
            <v>206 2014 10 1224 00002</v>
          </cell>
          <cell r="C876">
            <v>2062014122400000</v>
          </cell>
          <cell r="D876">
            <v>1</v>
          </cell>
          <cell r="F876">
            <v>0</v>
          </cell>
          <cell r="G876">
            <v>0</v>
          </cell>
          <cell r="H876">
            <v>1</v>
          </cell>
        </row>
        <row r="877">
          <cell r="B877" t="str">
            <v>203 2013 10 1211 00009</v>
          </cell>
          <cell r="C877">
            <v>2032013121100060</v>
          </cell>
          <cell r="D877">
            <v>5.8823529411764712E-2</v>
          </cell>
          <cell r="F877">
            <v>0.94117647058823528</v>
          </cell>
          <cell r="G877">
            <v>0</v>
          </cell>
          <cell r="H877">
            <v>1</v>
          </cell>
        </row>
        <row r="878">
          <cell r="B878" t="str">
            <v>205 2013 10 1212 00015</v>
          </cell>
          <cell r="C878">
            <v>2052014121200000</v>
          </cell>
          <cell r="D878">
            <v>7.2463768115942032E-2</v>
          </cell>
          <cell r="F878">
            <v>0.92753623188405798</v>
          </cell>
          <cell r="G878">
            <v>0</v>
          </cell>
          <cell r="H878">
            <v>1</v>
          </cell>
        </row>
        <row r="879">
          <cell r="B879" t="str">
            <v>204 2013 10 1211 00001</v>
          </cell>
          <cell r="C879">
            <v>2042013121100010</v>
          </cell>
          <cell r="D879">
            <v>5.8823529411764705E-2</v>
          </cell>
          <cell r="F879">
            <v>0.94117647058823495</v>
          </cell>
          <cell r="G879">
            <v>0</v>
          </cell>
          <cell r="H879">
            <v>0.99999999999999967</v>
          </cell>
        </row>
        <row r="880">
          <cell r="B880" t="str">
            <v>204 2011 60 1223 00001</v>
          </cell>
          <cell r="C880">
            <v>2042011122300000</v>
          </cell>
          <cell r="D880">
            <v>7.2727272727272724E-2</v>
          </cell>
          <cell r="F880">
            <v>0.92727272727272725</v>
          </cell>
          <cell r="G880">
            <v>0</v>
          </cell>
          <cell r="H880">
            <v>1</v>
          </cell>
        </row>
        <row r="881">
          <cell r="B881" t="str">
            <v>205 2013 10 1212 00013</v>
          </cell>
          <cell r="C881">
            <v>2052013121200010</v>
          </cell>
          <cell r="D881">
            <v>1</v>
          </cell>
          <cell r="F881">
            <v>0</v>
          </cell>
          <cell r="G881">
            <v>0</v>
          </cell>
          <cell r="H881">
            <v>1</v>
          </cell>
        </row>
        <row r="882">
          <cell r="B882" t="str">
            <v>205 2013 10 1212 00003</v>
          </cell>
          <cell r="C882">
            <v>2052013121200010</v>
          </cell>
          <cell r="D882">
            <v>4.2089107809661699E-2</v>
          </cell>
          <cell r="F882">
            <v>0.53874057996366898</v>
          </cell>
          <cell r="G882">
            <v>0.41917031222666934</v>
          </cell>
          <cell r="H882">
            <v>1</v>
          </cell>
        </row>
        <row r="883">
          <cell r="B883" t="str">
            <v>203 2014 10 1212 00003</v>
          </cell>
          <cell r="C883">
            <v>2032014121200020</v>
          </cell>
          <cell r="D883">
            <v>2.3934698565896376E-2</v>
          </cell>
          <cell r="F883">
            <v>0.41167681533341766</v>
          </cell>
          <cell r="G883">
            <v>0.56438848610068604</v>
          </cell>
          <cell r="H883">
            <v>1</v>
          </cell>
        </row>
        <row r="884">
          <cell r="B884" t="str">
            <v>203 2013 10 1211 00009</v>
          </cell>
          <cell r="C884">
            <v>2032013121100060</v>
          </cell>
          <cell r="D884">
            <v>5.8823529411764712E-2</v>
          </cell>
          <cell r="F884">
            <v>0.94117647058823528</v>
          </cell>
          <cell r="G884">
            <v>0</v>
          </cell>
          <cell r="H884">
            <v>1</v>
          </cell>
        </row>
        <row r="885">
          <cell r="B885" t="str">
            <v>205 2013 10 1212 00015</v>
          </cell>
          <cell r="C885">
            <v>2052014121200000</v>
          </cell>
          <cell r="D885">
            <v>7.2463768115942032E-2</v>
          </cell>
          <cell r="F885">
            <v>0.92753623188405798</v>
          </cell>
          <cell r="G885">
            <v>0</v>
          </cell>
          <cell r="H885">
            <v>1</v>
          </cell>
        </row>
        <row r="886">
          <cell r="B886" t="str">
            <v>205 2013 10 1221 00013</v>
          </cell>
          <cell r="C886">
            <v>2052014122100000</v>
          </cell>
          <cell r="D886">
            <v>1</v>
          </cell>
          <cell r="F886">
            <v>0</v>
          </cell>
          <cell r="G886">
            <v>0</v>
          </cell>
          <cell r="H886">
            <v>1</v>
          </cell>
        </row>
        <row r="887">
          <cell r="B887" t="str">
            <v>203 2014 10 1211 00005</v>
          </cell>
          <cell r="C887">
            <v>2032014121100020</v>
          </cell>
          <cell r="D887">
            <v>5.4945054945054951E-2</v>
          </cell>
          <cell r="F887">
            <v>0.94505494505494503</v>
          </cell>
          <cell r="G887">
            <v>0</v>
          </cell>
          <cell r="H887">
            <v>1</v>
          </cell>
        </row>
        <row r="888">
          <cell r="B888" t="str">
            <v>203 2014 10 1211 00005</v>
          </cell>
          <cell r="C888">
            <v>2032014121100100</v>
          </cell>
          <cell r="D888">
            <v>5.4945054945054951E-2</v>
          </cell>
          <cell r="F888">
            <v>0.94505494505494503</v>
          </cell>
          <cell r="G888">
            <v>0</v>
          </cell>
          <cell r="H888">
            <v>1</v>
          </cell>
        </row>
        <row r="889">
          <cell r="B889" t="str">
            <v>203 2008 10 1211 00005</v>
          </cell>
          <cell r="C889">
            <v>2032008121100020</v>
          </cell>
          <cell r="D889">
            <v>0.17420000000000002</v>
          </cell>
          <cell r="E889">
            <v>8.2699999999999996E-2</v>
          </cell>
          <cell r="F889">
            <v>0.74309999999999998</v>
          </cell>
          <cell r="G889">
            <v>0</v>
          </cell>
          <cell r="H889">
            <v>1</v>
          </cell>
        </row>
        <row r="890">
          <cell r="B890" t="str">
            <v>203 2012 10 1211 00011</v>
          </cell>
          <cell r="C890">
            <v>2032012121100060</v>
          </cell>
          <cell r="D890">
            <v>5.8823999999999994E-2</v>
          </cell>
          <cell r="F890">
            <v>0.94117600000000001</v>
          </cell>
          <cell r="G890">
            <v>0</v>
          </cell>
          <cell r="H890">
            <v>1</v>
          </cell>
        </row>
        <row r="891">
          <cell r="B891" t="str">
            <v>205 2013 10 1212 00001</v>
          </cell>
          <cell r="C891">
            <v>2052013121200000</v>
          </cell>
          <cell r="D891">
            <v>2.42459298218194E-2</v>
          </cell>
          <cell r="F891">
            <v>0.28654007017818062</v>
          </cell>
          <cell r="G891">
            <v>0.68921399999999999</v>
          </cell>
          <cell r="H891">
            <v>1</v>
          </cell>
        </row>
        <row r="892">
          <cell r="B892" t="str">
            <v>204 2013 10 1211 00001</v>
          </cell>
          <cell r="C892">
            <v>2042013121100010</v>
          </cell>
          <cell r="D892">
            <v>5.8823529411764705E-2</v>
          </cell>
          <cell r="F892">
            <v>0.94117647058823495</v>
          </cell>
          <cell r="G892">
            <v>0</v>
          </cell>
          <cell r="H892">
            <v>0.99999999999999967</v>
          </cell>
        </row>
        <row r="893">
          <cell r="B893" t="str">
            <v>206 2013 10 1212 00004</v>
          </cell>
          <cell r="C893">
            <v>2062013121200010</v>
          </cell>
          <cell r="D893">
            <v>0.42143996695576202</v>
          </cell>
          <cell r="F893">
            <v>0.57856003304423798</v>
          </cell>
          <cell r="G893">
            <v>0</v>
          </cell>
          <cell r="H893">
            <v>1</v>
          </cell>
        </row>
        <row r="894">
          <cell r="B894" t="str">
            <v>206 2013 10 1212 00019</v>
          </cell>
          <cell r="C894">
            <v>2062013121200000</v>
          </cell>
          <cell r="D894">
            <v>0.10512292380461102</v>
          </cell>
          <cell r="F894">
            <v>0.89487707619538903</v>
          </cell>
          <cell r="G894">
            <v>0</v>
          </cell>
          <cell r="H894">
            <v>1</v>
          </cell>
        </row>
        <row r="895">
          <cell r="B895" t="str">
            <v>203 2014 10 1211 00005</v>
          </cell>
          <cell r="C895">
            <v>2032014121100070</v>
          </cell>
          <cell r="D895">
            <v>5.4945054945054951E-2</v>
          </cell>
          <cell r="F895">
            <v>0.94505494505494503</v>
          </cell>
          <cell r="G895">
            <v>0</v>
          </cell>
          <cell r="H895">
            <v>1</v>
          </cell>
        </row>
        <row r="896">
          <cell r="B896" t="str">
            <v>100 2005 10 1211 00001</v>
          </cell>
          <cell r="C896">
            <v>1002005121100040</v>
          </cell>
          <cell r="H896">
            <v>0</v>
          </cell>
        </row>
        <row r="897">
          <cell r="B897" t="str">
            <v>112 2010 10 1212 00002</v>
          </cell>
          <cell r="C897">
            <v>1122011121200000</v>
          </cell>
          <cell r="D897">
            <v>1</v>
          </cell>
          <cell r="F897">
            <v>0</v>
          </cell>
          <cell r="G897">
            <v>0</v>
          </cell>
          <cell r="H897">
            <v>1</v>
          </cell>
        </row>
        <row r="898">
          <cell r="B898" t="str">
            <v>203 2014 10 1212 00009</v>
          </cell>
          <cell r="C898">
            <v>2032014121200030</v>
          </cell>
          <cell r="D898">
            <v>5.9565902215354273E-2</v>
          </cell>
          <cell r="F898">
            <v>0.83392263101495978</v>
          </cell>
          <cell r="G898">
            <v>0.10651146676968593</v>
          </cell>
          <cell r="H898">
            <v>1</v>
          </cell>
        </row>
        <row r="899">
          <cell r="B899" t="str">
            <v>100 2001 10 1211 00026</v>
          </cell>
          <cell r="C899">
            <v>1002001121100030</v>
          </cell>
          <cell r="D899">
            <v>2.5000000000000001E-2</v>
          </cell>
          <cell r="F899">
            <v>0</v>
          </cell>
          <cell r="G899">
            <v>0.97499999999999998</v>
          </cell>
          <cell r="H899">
            <v>1</v>
          </cell>
        </row>
        <row r="900">
          <cell r="B900" t="str">
            <v>502 2011 10 1223 00001</v>
          </cell>
          <cell r="C900">
            <v>5022011122300000</v>
          </cell>
          <cell r="D900">
            <v>6.0351029647433684E-2</v>
          </cell>
          <cell r="F900">
            <v>0.93964897035256634</v>
          </cell>
          <cell r="G900">
            <v>0</v>
          </cell>
          <cell r="H900">
            <v>1</v>
          </cell>
        </row>
        <row r="901">
          <cell r="B901" t="str">
            <v>206 2012 10 1221 00004</v>
          </cell>
          <cell r="C901">
            <v>2062012122100000</v>
          </cell>
          <cell r="D901">
            <v>0.28286494669692946</v>
          </cell>
          <cell r="F901">
            <v>0.71713505330307048</v>
          </cell>
          <cell r="G901">
            <v>0</v>
          </cell>
          <cell r="H901">
            <v>1</v>
          </cell>
        </row>
        <row r="902">
          <cell r="B902" t="str">
            <v>502 2010 10 1223 00001</v>
          </cell>
          <cell r="C902">
            <v>5022010122300010</v>
          </cell>
          <cell r="D902">
            <v>5.062112490193859E-2</v>
          </cell>
          <cell r="E902">
            <v>4.7468943754903077E-2</v>
          </cell>
          <cell r="F902">
            <v>0.90190993134315833</v>
          </cell>
          <cell r="G902">
            <v>0</v>
          </cell>
          <cell r="H902">
            <v>1</v>
          </cell>
        </row>
        <row r="903">
          <cell r="B903" t="str">
            <v>304 2013 10 1212 00002</v>
          </cell>
          <cell r="C903">
            <v>3042013121200000</v>
          </cell>
          <cell r="D903">
            <v>1</v>
          </cell>
          <cell r="F903">
            <v>0</v>
          </cell>
          <cell r="G903">
            <v>0</v>
          </cell>
          <cell r="H903">
            <v>1</v>
          </cell>
        </row>
        <row r="904">
          <cell r="B904" t="str">
            <v>205 2014 10 1212 00003</v>
          </cell>
          <cell r="C904">
            <v>2052014121200000</v>
          </cell>
          <cell r="D904">
            <v>1</v>
          </cell>
          <cell r="F904">
            <v>0</v>
          </cell>
          <cell r="G904">
            <v>0</v>
          </cell>
          <cell r="H904">
            <v>1</v>
          </cell>
        </row>
        <row r="905">
          <cell r="B905" t="str">
            <v>205 2014 10 1212 00003</v>
          </cell>
          <cell r="C905">
            <v>2052014121200000</v>
          </cell>
          <cell r="D905">
            <v>1</v>
          </cell>
          <cell r="F905">
            <v>0</v>
          </cell>
          <cell r="G905">
            <v>0</v>
          </cell>
          <cell r="H905">
            <v>1</v>
          </cell>
        </row>
        <row r="906">
          <cell r="B906" t="str">
            <v>503 2013 60 1221 00002</v>
          </cell>
          <cell r="C906">
            <v>5032013122100000</v>
          </cell>
          <cell r="D906">
            <v>1</v>
          </cell>
          <cell r="F906">
            <v>0</v>
          </cell>
          <cell r="G906">
            <v>0</v>
          </cell>
          <cell r="H906">
            <v>1</v>
          </cell>
        </row>
        <row r="907">
          <cell r="B907" t="str">
            <v>503 2014 10 1211 00002</v>
          </cell>
          <cell r="C907">
            <v>5032014121100010</v>
          </cell>
          <cell r="D907">
            <v>0.23427661275443901</v>
          </cell>
          <cell r="F907">
            <v>0.76572338724556099</v>
          </cell>
          <cell r="G907">
            <v>0</v>
          </cell>
          <cell r="H907">
            <v>1</v>
          </cell>
        </row>
        <row r="908">
          <cell r="B908" t="str">
            <v>503 2014 10 1211 00005</v>
          </cell>
          <cell r="C908">
            <v>5032014121100020</v>
          </cell>
          <cell r="D908">
            <v>0.21973202882775583</v>
          </cell>
          <cell r="F908">
            <v>0.78026797117224422</v>
          </cell>
          <cell r="G908">
            <v>0</v>
          </cell>
          <cell r="H908">
            <v>1</v>
          </cell>
        </row>
        <row r="909">
          <cell r="B909" t="str">
            <v>503 2014 10 1211 00006</v>
          </cell>
          <cell r="C909">
            <v>5032014121100030</v>
          </cell>
          <cell r="D909">
            <v>0.19722841456988308</v>
          </cell>
          <cell r="F909">
            <v>0.80277158543011695</v>
          </cell>
          <cell r="G909">
            <v>0</v>
          </cell>
          <cell r="H909">
            <v>1</v>
          </cell>
        </row>
        <row r="910">
          <cell r="B910" t="str">
            <v>503 2014 10 1211 00003</v>
          </cell>
          <cell r="C910">
            <v>5032014121100030</v>
          </cell>
          <cell r="D910">
            <v>0.23526704079101265</v>
          </cell>
          <cell r="F910">
            <v>0.76473295920898732</v>
          </cell>
          <cell r="G910">
            <v>0</v>
          </cell>
          <cell r="H910">
            <v>1</v>
          </cell>
        </row>
        <row r="911">
          <cell r="B911" t="str">
            <v>503 2013 10 1211 00013</v>
          </cell>
          <cell r="C911">
            <v>5032013121100070</v>
          </cell>
          <cell r="D911">
            <v>0.23670133100850968</v>
          </cell>
          <cell r="F911">
            <v>0.76329866899149035</v>
          </cell>
          <cell r="G911">
            <v>0</v>
          </cell>
          <cell r="H911">
            <v>1</v>
          </cell>
        </row>
        <row r="912">
          <cell r="B912" t="str">
            <v>205 2011 10 1212 00019</v>
          </cell>
          <cell r="C912">
            <v>2052012121200000</v>
          </cell>
          <cell r="D912">
            <v>7.335538251132484E-2</v>
          </cell>
          <cell r="F912">
            <v>0.9266446174886751</v>
          </cell>
          <cell r="G912">
            <v>0</v>
          </cell>
          <cell r="H912">
            <v>1</v>
          </cell>
        </row>
        <row r="913">
          <cell r="B913" t="str">
            <v>209 2013 60 1212 00011</v>
          </cell>
          <cell r="C913">
            <v>2092013121200000</v>
          </cell>
          <cell r="D913">
            <v>1</v>
          </cell>
          <cell r="F913">
            <v>0</v>
          </cell>
          <cell r="G913">
            <v>0</v>
          </cell>
          <cell r="H913">
            <v>1</v>
          </cell>
        </row>
        <row r="914">
          <cell r="B914" t="str">
            <v>205 2011 10 1212 00019</v>
          </cell>
          <cell r="C914">
            <v>2052012121200000</v>
          </cell>
          <cell r="D914">
            <v>7.335538251132484E-2</v>
          </cell>
          <cell r="F914">
            <v>0.9266446174886751</v>
          </cell>
          <cell r="G914">
            <v>0</v>
          </cell>
          <cell r="H914">
            <v>1</v>
          </cell>
        </row>
        <row r="915">
          <cell r="B915" t="str">
            <v>502 2010 10 1223 00001</v>
          </cell>
          <cell r="C915">
            <v>5022010122300020</v>
          </cell>
          <cell r="D915">
            <v>5.062112490193859E-2</v>
          </cell>
          <cell r="E915">
            <v>4.7468943754903077E-2</v>
          </cell>
          <cell r="F915">
            <v>0.90190993134315833</v>
          </cell>
          <cell r="G915">
            <v>0</v>
          </cell>
          <cell r="H915">
            <v>1</v>
          </cell>
        </row>
        <row r="916">
          <cell r="B916" t="str">
            <v>204 2014 10 1211 00009</v>
          </cell>
          <cell r="C916">
            <v>2042014121100000</v>
          </cell>
          <cell r="D916">
            <v>0.03</v>
          </cell>
          <cell r="F916">
            <v>0</v>
          </cell>
          <cell r="G916">
            <v>0.97</v>
          </cell>
          <cell r="H916">
            <v>1</v>
          </cell>
        </row>
        <row r="917">
          <cell r="B917" t="str">
            <v>205 2014 10 1221 00005</v>
          </cell>
          <cell r="C917">
            <v>2052014122100000</v>
          </cell>
          <cell r="D917">
            <v>0.12972291271207567</v>
          </cell>
          <cell r="F917">
            <v>0.8702770872879243</v>
          </cell>
          <cell r="G917">
            <v>0</v>
          </cell>
          <cell r="H917">
            <v>1</v>
          </cell>
        </row>
        <row r="918">
          <cell r="B918" t="str">
            <v>204 2013 10 1211 00003</v>
          </cell>
          <cell r="C918">
            <v>2042013121100000</v>
          </cell>
          <cell r="D918">
            <v>0.01</v>
          </cell>
          <cell r="F918">
            <v>0</v>
          </cell>
          <cell r="G918">
            <v>0.99</v>
          </cell>
          <cell r="H918">
            <v>1</v>
          </cell>
        </row>
        <row r="919">
          <cell r="B919" t="str">
            <v>203 2014 10 1211 00005</v>
          </cell>
          <cell r="C919">
            <v>2032014121100050</v>
          </cell>
          <cell r="D919">
            <v>5.4945054945054951E-2</v>
          </cell>
          <cell r="F919">
            <v>0.94505494505494503</v>
          </cell>
          <cell r="G919">
            <v>0</v>
          </cell>
          <cell r="H919">
            <v>1</v>
          </cell>
        </row>
        <row r="920">
          <cell r="B920" t="str">
            <v>204 2014 88 1211 00043</v>
          </cell>
          <cell r="C920">
            <v>2042014121100000</v>
          </cell>
          <cell r="D920">
            <v>5.4945054945054951E-2</v>
          </cell>
          <cell r="F920">
            <v>0.94505494505494503</v>
          </cell>
          <cell r="G920">
            <v>0</v>
          </cell>
          <cell r="H920">
            <v>1</v>
          </cell>
        </row>
        <row r="921">
          <cell r="B921" t="str">
            <v>204 2012 10 1211 00014</v>
          </cell>
          <cell r="C921">
            <v>2042012121100020</v>
          </cell>
          <cell r="D921">
            <v>5.8823999999999994E-2</v>
          </cell>
          <cell r="F921">
            <v>0.94117600000000001</v>
          </cell>
          <cell r="G921">
            <v>0</v>
          </cell>
          <cell r="H921">
            <v>1</v>
          </cell>
        </row>
        <row r="922">
          <cell r="B922" t="str">
            <v>203 2014 10 1211 00005</v>
          </cell>
          <cell r="C922">
            <v>2032014121100020</v>
          </cell>
          <cell r="D922">
            <v>5.4945054945054951E-2</v>
          </cell>
          <cell r="F922">
            <v>0.94505494505494503</v>
          </cell>
          <cell r="G922">
            <v>0</v>
          </cell>
          <cell r="H922">
            <v>1</v>
          </cell>
        </row>
        <row r="923">
          <cell r="B923" t="str">
            <v>203 2014 10 1212 00003</v>
          </cell>
          <cell r="C923">
            <v>2032014121200060</v>
          </cell>
          <cell r="D923">
            <v>2.3934698565896376E-2</v>
          </cell>
          <cell r="F923">
            <v>0.41167681533341766</v>
          </cell>
          <cell r="G923">
            <v>0.56438848610068604</v>
          </cell>
          <cell r="H923">
            <v>1</v>
          </cell>
        </row>
        <row r="924">
          <cell r="B924" t="str">
            <v>108 2011 10 1224 00003</v>
          </cell>
          <cell r="C924">
            <v>1082012122400000</v>
          </cell>
          <cell r="D924">
            <v>1</v>
          </cell>
          <cell r="F924">
            <v>0</v>
          </cell>
          <cell r="G924">
            <v>0</v>
          </cell>
          <cell r="H924">
            <v>1</v>
          </cell>
        </row>
        <row r="925">
          <cell r="B925" t="str">
            <v>203 2012 10 1211 00015</v>
          </cell>
          <cell r="C925">
            <v>2032012121100060</v>
          </cell>
          <cell r="D925">
            <v>0.77511650551410594</v>
          </cell>
          <cell r="F925">
            <v>0.22488349448589406</v>
          </cell>
          <cell r="G925">
            <v>0</v>
          </cell>
          <cell r="H925">
            <v>1</v>
          </cell>
        </row>
        <row r="926">
          <cell r="B926" t="str">
            <v>203 2008 10 1211 00005</v>
          </cell>
          <cell r="C926">
            <v>2032008121100120</v>
          </cell>
          <cell r="D926">
            <v>7.5208000000000011E-2</v>
          </cell>
          <cell r="E926">
            <v>9.2499999999999999E-2</v>
          </cell>
          <cell r="F926">
            <v>0.83229200000000003</v>
          </cell>
          <cell r="G926">
            <v>0</v>
          </cell>
          <cell r="H926">
            <v>1</v>
          </cell>
        </row>
        <row r="927">
          <cell r="B927" t="str">
            <v>204 2013 10 1211 00011</v>
          </cell>
          <cell r="C927">
            <v>2042013121100010</v>
          </cell>
          <cell r="D927">
            <v>0.03</v>
          </cell>
          <cell r="F927">
            <v>0</v>
          </cell>
          <cell r="G927">
            <v>0.97</v>
          </cell>
          <cell r="H927">
            <v>1</v>
          </cell>
        </row>
        <row r="928">
          <cell r="B928" t="str">
            <v>304 2013 10 1212 00002</v>
          </cell>
          <cell r="C928">
            <v>3042014121200000</v>
          </cell>
          <cell r="D928">
            <v>1</v>
          </cell>
          <cell r="F928">
            <v>0</v>
          </cell>
          <cell r="G928">
            <v>0</v>
          </cell>
          <cell r="H928">
            <v>1</v>
          </cell>
        </row>
        <row r="929">
          <cell r="B929" t="str">
            <v>304 2013 10 1212 00002</v>
          </cell>
          <cell r="C929">
            <v>3042014121200000</v>
          </cell>
          <cell r="D929">
            <v>1</v>
          </cell>
          <cell r="F929">
            <v>0</v>
          </cell>
          <cell r="G929">
            <v>0</v>
          </cell>
          <cell r="H929">
            <v>1</v>
          </cell>
        </row>
        <row r="930">
          <cell r="B930" t="str">
            <v>203 2008 10 1211 00005</v>
          </cell>
          <cell r="C930">
            <v>2032008121100090</v>
          </cell>
          <cell r="D930">
            <v>0.22539999999999999</v>
          </cell>
          <cell r="E930">
            <v>7.7460000000000001E-2</v>
          </cell>
          <cell r="F930">
            <v>0.69713999999999998</v>
          </cell>
          <cell r="G930">
            <v>0</v>
          </cell>
          <cell r="H930">
            <v>1</v>
          </cell>
        </row>
        <row r="931">
          <cell r="B931" t="str">
            <v>204 2013 10 1211 00022</v>
          </cell>
          <cell r="C931">
            <v>2042013121100010</v>
          </cell>
          <cell r="D931">
            <v>3.1250000000000002E-3</v>
          </cell>
          <cell r="F931">
            <v>0.04</v>
          </cell>
          <cell r="G931">
            <v>0.95687499999999992</v>
          </cell>
          <cell r="H931">
            <v>0.99999999999999989</v>
          </cell>
        </row>
        <row r="932">
          <cell r="B932" t="str">
            <v>502 2011 10 1221 00003</v>
          </cell>
          <cell r="C932">
            <v>5022011122100000</v>
          </cell>
          <cell r="D932">
            <v>1</v>
          </cell>
          <cell r="F932">
            <v>0</v>
          </cell>
          <cell r="G932">
            <v>0</v>
          </cell>
          <cell r="H932">
            <v>1</v>
          </cell>
        </row>
        <row r="933">
          <cell r="B933" t="str">
            <v>206 2014 10 1221 00013</v>
          </cell>
          <cell r="C933">
            <v>2062014122100000</v>
          </cell>
          <cell r="D933">
            <v>0.96153846153846156</v>
          </cell>
          <cell r="F933">
            <v>3.8461538461538436E-2</v>
          </cell>
          <cell r="G933">
            <v>0</v>
          </cell>
          <cell r="H933">
            <v>1</v>
          </cell>
        </row>
        <row r="934">
          <cell r="B934" t="str">
            <v>304 2013 10 1212 00001</v>
          </cell>
          <cell r="C934">
            <v>3042013121200000</v>
          </cell>
          <cell r="D934">
            <v>0.100779560241988</v>
          </cell>
          <cell r="F934">
            <v>0.89922043975801202</v>
          </cell>
          <cell r="G934">
            <v>0</v>
          </cell>
          <cell r="H934">
            <v>1</v>
          </cell>
        </row>
        <row r="935">
          <cell r="B935" t="str">
            <v>304 2014 61 1212 00003</v>
          </cell>
          <cell r="C935">
            <v>3042014121200000</v>
          </cell>
          <cell r="D935">
            <v>0.100779560241988</v>
          </cell>
          <cell r="F935">
            <v>0.89922043975801202</v>
          </cell>
          <cell r="G935">
            <v>0</v>
          </cell>
          <cell r="H935">
            <v>1</v>
          </cell>
        </row>
        <row r="936">
          <cell r="B936" t="str">
            <v>502 2013 10 1221 00001</v>
          </cell>
          <cell r="C936">
            <v>5022013122100000</v>
          </cell>
          <cell r="D936">
            <v>1</v>
          </cell>
          <cell r="F936">
            <v>0</v>
          </cell>
          <cell r="G936">
            <v>0</v>
          </cell>
          <cell r="H936">
            <v>1</v>
          </cell>
        </row>
        <row r="937">
          <cell r="B937" t="str">
            <v>203 2013 10 1211 00009</v>
          </cell>
          <cell r="C937">
            <v>2032013121100100</v>
          </cell>
          <cell r="D937">
            <v>5.8823529411764712E-2</v>
          </cell>
          <cell r="F937">
            <v>0.94117647058823528</v>
          </cell>
          <cell r="G937">
            <v>0</v>
          </cell>
          <cell r="H937">
            <v>1</v>
          </cell>
        </row>
        <row r="938">
          <cell r="B938" t="str">
            <v>205 2011 10 1211 00002</v>
          </cell>
          <cell r="C938">
            <v>2052012121100000</v>
          </cell>
          <cell r="D938">
            <v>5.5002025136064094E-2</v>
          </cell>
          <cell r="F938">
            <v>0.94499797486393589</v>
          </cell>
          <cell r="G938">
            <v>0</v>
          </cell>
          <cell r="H938">
            <v>1</v>
          </cell>
        </row>
        <row r="939">
          <cell r="B939" t="str">
            <v>303 2013 10 1212 00001</v>
          </cell>
          <cell r="C939">
            <v>3032013121200000</v>
          </cell>
          <cell r="D939">
            <v>1</v>
          </cell>
          <cell r="F939">
            <v>0</v>
          </cell>
          <cell r="G939">
            <v>0</v>
          </cell>
          <cell r="H939">
            <v>1</v>
          </cell>
        </row>
        <row r="940">
          <cell r="B940" t="str">
            <v>304 2013 10 1212 00001</v>
          </cell>
          <cell r="C940">
            <v>3042013121200000</v>
          </cell>
          <cell r="D940">
            <v>0.100779560241988</v>
          </cell>
          <cell r="F940">
            <v>0.89922043975801202</v>
          </cell>
          <cell r="G940">
            <v>0</v>
          </cell>
          <cell r="H940">
            <v>1</v>
          </cell>
        </row>
        <row r="941">
          <cell r="B941" t="str">
            <v>203 2013 10 1211 00009</v>
          </cell>
          <cell r="C941">
            <v>2032013121100070</v>
          </cell>
          <cell r="D941">
            <v>5.8823529411764712E-2</v>
          </cell>
          <cell r="F941">
            <v>0.94117647058823528</v>
          </cell>
          <cell r="G941">
            <v>0</v>
          </cell>
          <cell r="H941">
            <v>1</v>
          </cell>
        </row>
        <row r="942">
          <cell r="B942" t="str">
            <v>502 2011 10 1221 00002</v>
          </cell>
          <cell r="C942">
            <v>5022011122100000</v>
          </cell>
          <cell r="D942">
            <v>1</v>
          </cell>
          <cell r="F942">
            <v>0</v>
          </cell>
          <cell r="G942">
            <v>0</v>
          </cell>
          <cell r="H942">
            <v>1</v>
          </cell>
        </row>
        <row r="943">
          <cell r="B943" t="str">
            <v>303 2013 10 1212 00002</v>
          </cell>
          <cell r="C943">
            <v>3032013121200000</v>
          </cell>
          <cell r="D943">
            <v>8.3359746182065902E-2</v>
          </cell>
          <cell r="F943">
            <v>0.91664025381793413</v>
          </cell>
          <cell r="G943">
            <v>0</v>
          </cell>
          <cell r="H943">
            <v>1</v>
          </cell>
        </row>
        <row r="944">
          <cell r="B944" t="str">
            <v>304 2014 10 1212 00007</v>
          </cell>
          <cell r="C944">
            <v>3042014121200000</v>
          </cell>
          <cell r="D944">
            <v>1</v>
          </cell>
          <cell r="F944">
            <v>0</v>
          </cell>
          <cell r="G944">
            <v>0</v>
          </cell>
          <cell r="H944">
            <v>1</v>
          </cell>
        </row>
        <row r="945">
          <cell r="B945" t="str">
            <v>203 2014 10 1211 00006</v>
          </cell>
          <cell r="C945">
            <v>2032014121100090</v>
          </cell>
          <cell r="D945">
            <v>0.28239389219784183</v>
          </cell>
          <cell r="F945">
            <v>0.71760610780215817</v>
          </cell>
          <cell r="G945">
            <v>0</v>
          </cell>
          <cell r="H945">
            <v>1</v>
          </cell>
        </row>
        <row r="946">
          <cell r="B946" t="str">
            <v>100 2006 10 1211 00007</v>
          </cell>
          <cell r="C946">
            <v>2042007121100010</v>
          </cell>
          <cell r="H946">
            <v>0</v>
          </cell>
        </row>
        <row r="947">
          <cell r="B947" t="str">
            <v>204 2013 88 1211 00037</v>
          </cell>
          <cell r="C947">
            <v>2042013121100020</v>
          </cell>
          <cell r="D947">
            <v>1</v>
          </cell>
          <cell r="F947">
            <v>0</v>
          </cell>
          <cell r="G947">
            <v>0</v>
          </cell>
          <cell r="H947">
            <v>1</v>
          </cell>
        </row>
        <row r="948">
          <cell r="B948" t="str">
            <v>206 2013 10 1212 00016</v>
          </cell>
          <cell r="C948">
            <v>2062013121200000</v>
          </cell>
          <cell r="D948">
            <v>7.2463768115942032E-2</v>
          </cell>
          <cell r="F948">
            <v>0.92753623188405798</v>
          </cell>
          <cell r="G948">
            <v>0</v>
          </cell>
          <cell r="H948">
            <v>1</v>
          </cell>
        </row>
        <row r="949">
          <cell r="B949" t="str">
            <v>203 2013 10 1211 00009</v>
          </cell>
          <cell r="C949">
            <v>2032013121100110</v>
          </cell>
          <cell r="D949">
            <v>5.8823529411764712E-2</v>
          </cell>
          <cell r="F949">
            <v>0.94117647058823528</v>
          </cell>
          <cell r="G949">
            <v>0</v>
          </cell>
          <cell r="H949">
            <v>1</v>
          </cell>
        </row>
        <row r="950">
          <cell r="B950" t="str">
            <v>206 2014 10 1212 00015</v>
          </cell>
          <cell r="C950">
            <v>2062014121200000</v>
          </cell>
          <cell r="D950">
            <v>9.6899224806201556E-2</v>
          </cell>
          <cell r="F950">
            <v>0.9031007751937985</v>
          </cell>
          <cell r="G950">
            <v>0</v>
          </cell>
          <cell r="H950">
            <v>1</v>
          </cell>
        </row>
        <row r="951">
          <cell r="B951" t="str">
            <v>502 2010 10 1223 00001</v>
          </cell>
          <cell r="C951">
            <v>5022010122300010</v>
          </cell>
          <cell r="D951">
            <v>5.062112490193859E-2</v>
          </cell>
          <cell r="E951">
            <v>4.7468943754903077E-2</v>
          </cell>
          <cell r="F951">
            <v>0.90190993134315833</v>
          </cell>
          <cell r="G951">
            <v>0</v>
          </cell>
          <cell r="H951">
            <v>1</v>
          </cell>
        </row>
        <row r="952">
          <cell r="B952" t="str">
            <v>502 2012 10 1211 00008</v>
          </cell>
          <cell r="C952">
            <v>5022013121100000</v>
          </cell>
          <cell r="D952">
            <v>0.14905974796491736</v>
          </cell>
          <cell r="F952">
            <v>0.85094025203508261</v>
          </cell>
          <cell r="G952">
            <v>0</v>
          </cell>
          <cell r="H952">
            <v>1</v>
          </cell>
        </row>
        <row r="953">
          <cell r="B953" t="str">
            <v>502 2010 10 1223 00001</v>
          </cell>
          <cell r="C953">
            <v>5022010122300000</v>
          </cell>
          <cell r="D953">
            <v>5.062112490193859E-2</v>
          </cell>
          <cell r="E953">
            <v>4.7468943754903077E-2</v>
          </cell>
          <cell r="F953">
            <v>0.90190993134315833</v>
          </cell>
          <cell r="G953">
            <v>0</v>
          </cell>
          <cell r="H953">
            <v>1</v>
          </cell>
        </row>
        <row r="954">
          <cell r="B954" t="str">
            <v>206 2013 10 1212 00006</v>
          </cell>
          <cell r="C954">
            <v>2062013121200000</v>
          </cell>
          <cell r="D954">
            <v>0.11470520761642579</v>
          </cell>
          <cell r="F954">
            <v>0.88529479238357422</v>
          </cell>
          <cell r="G954">
            <v>0</v>
          </cell>
          <cell r="H954">
            <v>1</v>
          </cell>
        </row>
        <row r="955">
          <cell r="B955" t="str">
            <v>303 2013 10 1212 00002</v>
          </cell>
          <cell r="C955">
            <v>3032013121200010</v>
          </cell>
          <cell r="D955">
            <v>8.3359746182065902E-2</v>
          </cell>
          <cell r="F955">
            <v>0.91664025381793413</v>
          </cell>
          <cell r="G955">
            <v>0</v>
          </cell>
          <cell r="H955">
            <v>1</v>
          </cell>
        </row>
        <row r="956">
          <cell r="B956" t="str">
            <v>206 2014 10 1212 00004</v>
          </cell>
          <cell r="C956">
            <v>2062014121200000</v>
          </cell>
          <cell r="D956">
            <v>1</v>
          </cell>
          <cell r="F956">
            <v>0</v>
          </cell>
          <cell r="G956">
            <v>0</v>
          </cell>
          <cell r="H956">
            <v>1</v>
          </cell>
        </row>
        <row r="957">
          <cell r="B957" t="str">
            <v>203 2014 10 1212 00004</v>
          </cell>
          <cell r="C957">
            <v>2032014121200020</v>
          </cell>
          <cell r="D957">
            <v>1</v>
          </cell>
          <cell r="F957">
            <v>0</v>
          </cell>
          <cell r="G957">
            <v>0</v>
          </cell>
          <cell r="H957">
            <v>1</v>
          </cell>
        </row>
        <row r="958">
          <cell r="B958" t="str">
            <v>203 2012 10 1211 00015</v>
          </cell>
          <cell r="C958">
            <v>2032012121100060</v>
          </cell>
          <cell r="D958">
            <v>0.77511650551410594</v>
          </cell>
          <cell r="F958">
            <v>0.22488349448589406</v>
          </cell>
          <cell r="G958">
            <v>0</v>
          </cell>
          <cell r="H958">
            <v>1</v>
          </cell>
        </row>
        <row r="959">
          <cell r="B959" t="str">
            <v>206 2013 10 1212 00006</v>
          </cell>
          <cell r="C959">
            <v>2062013121200010</v>
          </cell>
          <cell r="D959">
            <v>0.11470520761642579</v>
          </cell>
          <cell r="F959">
            <v>0.88529479238357422</v>
          </cell>
          <cell r="G959">
            <v>0</v>
          </cell>
          <cell r="H959">
            <v>1</v>
          </cell>
        </row>
        <row r="960">
          <cell r="B960" t="str">
            <v>203 2014 10 1211 00004</v>
          </cell>
          <cell r="C960">
            <v>2032014121100060</v>
          </cell>
          <cell r="D960">
            <v>5.5426939491429725E-2</v>
          </cell>
          <cell r="F960">
            <v>0.94457306050857026</v>
          </cell>
          <cell r="G960">
            <v>0</v>
          </cell>
          <cell r="H960">
            <v>1</v>
          </cell>
        </row>
        <row r="961">
          <cell r="B961" t="str">
            <v>204 2013 10 1211 00001</v>
          </cell>
          <cell r="C961">
            <v>2042013121100010</v>
          </cell>
          <cell r="D961">
            <v>5.8823529411764705E-2</v>
          </cell>
          <cell r="F961">
            <v>0.94117647058823495</v>
          </cell>
          <cell r="G961">
            <v>0</v>
          </cell>
          <cell r="H961">
            <v>0.99999999999999967</v>
          </cell>
        </row>
        <row r="962">
          <cell r="B962" t="str">
            <v>204 2013 10 1211 00012</v>
          </cell>
          <cell r="C962">
            <v>2042013121100010</v>
          </cell>
          <cell r="D962">
            <v>8.4459459459459499E-3</v>
          </cell>
          <cell r="F962">
            <v>7.0101351351351246E-2</v>
          </cell>
          <cell r="G962">
            <v>0.92145270270270285</v>
          </cell>
          <cell r="H962">
            <v>1</v>
          </cell>
        </row>
        <row r="963">
          <cell r="B963" t="str">
            <v>205 2014 10 1212 00019</v>
          </cell>
          <cell r="C963">
            <v>2052014121200000</v>
          </cell>
          <cell r="D963">
            <v>5.4945054945054944E-2</v>
          </cell>
          <cell r="F963">
            <v>0.94505494505494503</v>
          </cell>
          <cell r="G963">
            <v>0</v>
          </cell>
          <cell r="H963">
            <v>1</v>
          </cell>
        </row>
        <row r="964">
          <cell r="B964" t="str">
            <v>203 2014 10 1211 00005</v>
          </cell>
          <cell r="C964">
            <v>2032014121100020</v>
          </cell>
          <cell r="D964">
            <v>5.4945054945054951E-2</v>
          </cell>
          <cell r="F964">
            <v>0.94505494505494503</v>
          </cell>
          <cell r="G964">
            <v>0</v>
          </cell>
          <cell r="H964">
            <v>1</v>
          </cell>
        </row>
        <row r="965">
          <cell r="B965" t="str">
            <v>205 2014 10 1212 00003</v>
          </cell>
          <cell r="C965">
            <v>2052014121200000</v>
          </cell>
          <cell r="D965">
            <v>1</v>
          </cell>
          <cell r="F965">
            <v>0</v>
          </cell>
          <cell r="G965">
            <v>0</v>
          </cell>
          <cell r="H965">
            <v>1</v>
          </cell>
        </row>
        <row r="966">
          <cell r="B966" t="str">
            <v>204 2012 10 1211 00003</v>
          </cell>
          <cell r="C966">
            <v>2042013121100000</v>
          </cell>
          <cell r="D966">
            <v>1.500104856395851E-2</v>
          </cell>
          <cell r="F966">
            <v>0.19201342161866891</v>
          </cell>
          <cell r="G966">
            <v>0.79298552981737247</v>
          </cell>
          <cell r="H966">
            <v>0.99999999999999989</v>
          </cell>
        </row>
        <row r="967">
          <cell r="B967" t="str">
            <v>205 2014 10 1212 00004</v>
          </cell>
          <cell r="C967">
            <v>2052014121200000</v>
          </cell>
          <cell r="D967">
            <v>1</v>
          </cell>
          <cell r="F967">
            <v>0</v>
          </cell>
          <cell r="G967">
            <v>0</v>
          </cell>
          <cell r="H967">
            <v>1</v>
          </cell>
        </row>
        <row r="968">
          <cell r="B968" t="str">
            <v>203 2013 10 1211 00009</v>
          </cell>
          <cell r="C968">
            <v>2032013121100110</v>
          </cell>
          <cell r="D968">
            <v>5.8823529411764712E-2</v>
          </cell>
          <cell r="F968">
            <v>0.94117647058823528</v>
          </cell>
          <cell r="G968">
            <v>0</v>
          </cell>
          <cell r="H968">
            <v>1</v>
          </cell>
        </row>
        <row r="969">
          <cell r="B969" t="str">
            <v>203 2014 10 1212 00002</v>
          </cell>
          <cell r="C969">
            <v>2032014121200060</v>
          </cell>
          <cell r="D969">
            <v>6.9160007392485526E-2</v>
          </cell>
          <cell r="F969">
            <v>0.93083999260751449</v>
          </cell>
          <cell r="G969">
            <v>0</v>
          </cell>
          <cell r="H969">
            <v>1</v>
          </cell>
        </row>
        <row r="970">
          <cell r="B970" t="str">
            <v>204 2014 10 1211 00005</v>
          </cell>
          <cell r="C970">
            <v>2042014121100000</v>
          </cell>
          <cell r="D970">
            <v>5.1630000000000001E-3</v>
          </cell>
          <cell r="F970">
            <v>0</v>
          </cell>
          <cell r="G970">
            <v>0.99483699999999997</v>
          </cell>
          <cell r="H970">
            <v>1</v>
          </cell>
        </row>
        <row r="971">
          <cell r="B971" t="str">
            <v>206 2014 10 1212 00002</v>
          </cell>
          <cell r="C971">
            <v>2062014121200000</v>
          </cell>
          <cell r="D971">
            <v>0.15046988736426112</v>
          </cell>
          <cell r="F971">
            <v>0.84953011263573885</v>
          </cell>
          <cell r="G971">
            <v>0</v>
          </cell>
          <cell r="H971">
            <v>1</v>
          </cell>
        </row>
        <row r="972">
          <cell r="B972" t="str">
            <v>502 2011 10 1223 00001</v>
          </cell>
          <cell r="C972">
            <v>5022011122300000</v>
          </cell>
          <cell r="D972">
            <v>6.0351029647433684E-2</v>
          </cell>
          <cell r="F972">
            <v>0.93964897035256634</v>
          </cell>
          <cell r="G972">
            <v>0</v>
          </cell>
          <cell r="H972">
            <v>1</v>
          </cell>
        </row>
        <row r="973">
          <cell r="B973" t="str">
            <v>209 2014 10 1221 00003</v>
          </cell>
          <cell r="C973">
            <v>2092014122100000</v>
          </cell>
          <cell r="D973">
            <v>0.69871436556735611</v>
          </cell>
          <cell r="F973">
            <v>0.30128563443264389</v>
          </cell>
          <cell r="G973">
            <v>0</v>
          </cell>
          <cell r="H973">
            <v>1</v>
          </cell>
        </row>
        <row r="974">
          <cell r="B974" t="str">
            <v>503 2012 10 1211 00003</v>
          </cell>
          <cell r="C974">
            <v>5032012121100010</v>
          </cell>
          <cell r="D974">
            <v>0.24075842432216951</v>
          </cell>
          <cell r="F974">
            <v>0.75924157567783046</v>
          </cell>
          <cell r="G974">
            <v>0</v>
          </cell>
          <cell r="H974">
            <v>1</v>
          </cell>
        </row>
        <row r="975">
          <cell r="B975" t="str">
            <v>504 2013 10 1211 00004</v>
          </cell>
          <cell r="C975">
            <v>5042014121100000</v>
          </cell>
          <cell r="D975">
            <v>0.625</v>
          </cell>
          <cell r="F975">
            <v>0.375</v>
          </cell>
          <cell r="G975">
            <v>0</v>
          </cell>
          <cell r="H975">
            <v>1</v>
          </cell>
        </row>
        <row r="976">
          <cell r="B976" t="str">
            <v>209 2013 10 1222 00011</v>
          </cell>
          <cell r="C976">
            <v>2092014122200000</v>
          </cell>
          <cell r="D976">
            <v>1</v>
          </cell>
          <cell r="F976">
            <v>0</v>
          </cell>
          <cell r="G976">
            <v>0</v>
          </cell>
          <cell r="H976">
            <v>1</v>
          </cell>
        </row>
        <row r="977">
          <cell r="B977" t="str">
            <v>502 2011 10 1223 00001</v>
          </cell>
          <cell r="C977">
            <v>5022011122300020</v>
          </cell>
          <cell r="D977">
            <v>6.0351029647433684E-2</v>
          </cell>
          <cell r="F977">
            <v>0.93964897035256634</v>
          </cell>
          <cell r="G977">
            <v>0</v>
          </cell>
          <cell r="H977">
            <v>1</v>
          </cell>
        </row>
        <row r="978">
          <cell r="B978" t="str">
            <v>303 2013 10 1212 00002</v>
          </cell>
          <cell r="C978">
            <v>3032013121200000</v>
          </cell>
          <cell r="D978">
            <v>8.3359746182065902E-2</v>
          </cell>
          <cell r="F978">
            <v>0.91664025381793413</v>
          </cell>
          <cell r="G978">
            <v>0</v>
          </cell>
          <cell r="H978">
            <v>1</v>
          </cell>
        </row>
        <row r="979">
          <cell r="B979" t="str">
            <v>204 2012 10 1211 00015</v>
          </cell>
          <cell r="C979">
            <v>2042013121100000</v>
          </cell>
          <cell r="D979">
            <v>2.5644042960277062E-2</v>
          </cell>
          <cell r="F979">
            <v>0.3143559570397228</v>
          </cell>
          <cell r="G979">
            <v>0.66000000000000014</v>
          </cell>
          <cell r="H979">
            <v>1</v>
          </cell>
        </row>
        <row r="980">
          <cell r="B980" t="str">
            <v>502 2011 10 1223 00001</v>
          </cell>
          <cell r="C980">
            <v>5022011122300010</v>
          </cell>
          <cell r="D980">
            <v>6.0351029647433684E-2</v>
          </cell>
          <cell r="F980">
            <v>0.93964897035256634</v>
          </cell>
          <cell r="G980">
            <v>0</v>
          </cell>
          <cell r="H980">
            <v>1</v>
          </cell>
        </row>
        <row r="981">
          <cell r="B981" t="str">
            <v>504 2013 10 1211 00004</v>
          </cell>
          <cell r="C981">
            <v>5042014121100000</v>
          </cell>
          <cell r="D981">
            <v>0.625</v>
          </cell>
          <cell r="F981">
            <v>0.375</v>
          </cell>
          <cell r="G981">
            <v>0</v>
          </cell>
          <cell r="H981">
            <v>1</v>
          </cell>
        </row>
        <row r="982">
          <cell r="B982" t="str">
            <v>504 2012 10 1211 00010</v>
          </cell>
          <cell r="C982">
            <v>5042012121100010</v>
          </cell>
          <cell r="D982">
            <v>0.25</v>
          </cell>
          <cell r="F982">
            <v>0.75</v>
          </cell>
          <cell r="G982">
            <v>0</v>
          </cell>
          <cell r="H982">
            <v>1</v>
          </cell>
        </row>
        <row r="983">
          <cell r="B983" t="str">
            <v>303 2014 10 1212 00001</v>
          </cell>
          <cell r="C983">
            <v>3032014121200000</v>
          </cell>
          <cell r="D983">
            <v>7.7277041592788434E-2</v>
          </cell>
          <cell r="F983">
            <v>0.92272295840721152</v>
          </cell>
          <cell r="G983">
            <v>0</v>
          </cell>
          <cell r="H983">
            <v>1</v>
          </cell>
        </row>
        <row r="984">
          <cell r="B984" t="str">
            <v>204 2014 10 1211 00009</v>
          </cell>
          <cell r="C984">
            <v>2042014121100000</v>
          </cell>
          <cell r="D984">
            <v>0.03</v>
          </cell>
          <cell r="F984">
            <v>0</v>
          </cell>
          <cell r="G984">
            <v>0.97</v>
          </cell>
          <cell r="H984">
            <v>1</v>
          </cell>
        </row>
        <row r="985">
          <cell r="B985" t="str">
            <v>203 2007 10 1211 00003</v>
          </cell>
          <cell r="C985">
            <v>2032007121100060</v>
          </cell>
          <cell r="D985">
            <v>1</v>
          </cell>
          <cell r="E985">
            <v>0</v>
          </cell>
          <cell r="F985">
            <v>0</v>
          </cell>
          <cell r="G985">
            <v>0</v>
          </cell>
          <cell r="H985">
            <v>1</v>
          </cell>
        </row>
        <row r="986">
          <cell r="B986" t="str">
            <v>502 2010 10 1223 00001</v>
          </cell>
          <cell r="C986">
            <v>5022010122300000</v>
          </cell>
          <cell r="D986">
            <v>5.062112490193859E-2</v>
          </cell>
          <cell r="E986">
            <v>4.7468943754903077E-2</v>
          </cell>
          <cell r="F986">
            <v>0.90190993134315833</v>
          </cell>
          <cell r="G986">
            <v>0</v>
          </cell>
          <cell r="H986">
            <v>1</v>
          </cell>
        </row>
        <row r="987">
          <cell r="B987" t="str">
            <v>203 2014 10 1211 00004</v>
          </cell>
          <cell r="C987">
            <v>2032014121100060</v>
          </cell>
          <cell r="D987">
            <v>5.5426939491429725E-2</v>
          </cell>
          <cell r="F987">
            <v>0.94457306050857026</v>
          </cell>
          <cell r="G987">
            <v>0</v>
          </cell>
          <cell r="H987">
            <v>1</v>
          </cell>
        </row>
        <row r="988">
          <cell r="B988" t="str">
            <v>203 2013 10 1211 00003</v>
          </cell>
          <cell r="C988">
            <v>2032013121100120</v>
          </cell>
          <cell r="D988">
            <v>0.28239389219784183</v>
          </cell>
          <cell r="F988">
            <v>0.71760610780215817</v>
          </cell>
          <cell r="G988">
            <v>0</v>
          </cell>
          <cell r="H988">
            <v>1</v>
          </cell>
        </row>
        <row r="989">
          <cell r="B989" t="str">
            <v>201 2014 10 1211 00006</v>
          </cell>
          <cell r="C989">
            <v>2012014121100080</v>
          </cell>
          <cell r="D989">
            <v>5.4945054945054937E-2</v>
          </cell>
          <cell r="F989">
            <v>0.94505494505494503</v>
          </cell>
          <cell r="G989">
            <v>0</v>
          </cell>
          <cell r="H989">
            <v>1</v>
          </cell>
        </row>
        <row r="990">
          <cell r="B990" t="str">
            <v>203 2014 10 1211 00004</v>
          </cell>
          <cell r="C990">
            <v>2032014121100000</v>
          </cell>
          <cell r="D990">
            <v>5.5426939491429725E-2</v>
          </cell>
          <cell r="F990">
            <v>0.94457306050857026</v>
          </cell>
          <cell r="G990">
            <v>0</v>
          </cell>
          <cell r="H990">
            <v>1</v>
          </cell>
        </row>
        <row r="991">
          <cell r="B991" t="str">
            <v>203 2014 10 1212 00003</v>
          </cell>
          <cell r="C991">
            <v>2032014121200040</v>
          </cell>
          <cell r="D991">
            <v>2.3934698565896376E-2</v>
          </cell>
          <cell r="F991">
            <v>0.41167681533341766</v>
          </cell>
          <cell r="G991">
            <v>0.56438848610068604</v>
          </cell>
          <cell r="H991">
            <v>1</v>
          </cell>
        </row>
        <row r="992">
          <cell r="B992" t="str">
            <v>204 2012 10 1211 00010</v>
          </cell>
          <cell r="C992">
            <v>2042012121100010</v>
          </cell>
          <cell r="D992">
            <v>8.4459459459459499E-3</v>
          </cell>
          <cell r="F992">
            <v>7.5337837837837748E-2</v>
          </cell>
          <cell r="G992">
            <v>0.91621621621621629</v>
          </cell>
          <cell r="H992">
            <v>1</v>
          </cell>
        </row>
        <row r="993">
          <cell r="B993" t="str">
            <v>206 2013 10 1212 00019</v>
          </cell>
          <cell r="C993">
            <v>2062014121200000</v>
          </cell>
          <cell r="D993">
            <v>0.10512292380461102</v>
          </cell>
          <cell r="F993">
            <v>0.89487707619538903</v>
          </cell>
          <cell r="G993">
            <v>0</v>
          </cell>
          <cell r="H993">
            <v>1</v>
          </cell>
        </row>
        <row r="994">
          <cell r="B994" t="str">
            <v>303 2013 10 1212 00002</v>
          </cell>
          <cell r="C994">
            <v>3032013121200000</v>
          </cell>
          <cell r="D994">
            <v>8.3359746182065902E-2</v>
          </cell>
          <cell r="F994">
            <v>0.91664025381793413</v>
          </cell>
          <cell r="G994">
            <v>0</v>
          </cell>
          <cell r="H994">
            <v>1</v>
          </cell>
        </row>
        <row r="995">
          <cell r="B995" t="str">
            <v>504 2014 10 1221 00002</v>
          </cell>
          <cell r="C995">
            <v>5042014122100000</v>
          </cell>
          <cell r="D995">
            <v>1</v>
          </cell>
          <cell r="F995">
            <v>0</v>
          </cell>
          <cell r="G995">
            <v>0</v>
          </cell>
          <cell r="H995">
            <v>1</v>
          </cell>
        </row>
        <row r="996">
          <cell r="B996" t="str">
            <v>504 2013 10 1211 00004</v>
          </cell>
          <cell r="C996">
            <v>5042013121100010</v>
          </cell>
          <cell r="D996">
            <v>0.625</v>
          </cell>
          <cell r="F996">
            <v>0.375</v>
          </cell>
          <cell r="G996">
            <v>0</v>
          </cell>
          <cell r="H996">
            <v>1</v>
          </cell>
        </row>
        <row r="997">
          <cell r="B997" t="str">
            <v>504 2014 10 1211 00004</v>
          </cell>
          <cell r="C997">
            <v>5042014121100010</v>
          </cell>
          <cell r="D997">
            <v>0.625</v>
          </cell>
          <cell r="F997">
            <v>0.375</v>
          </cell>
          <cell r="G997">
            <v>0</v>
          </cell>
          <cell r="H997">
            <v>1</v>
          </cell>
        </row>
        <row r="998">
          <cell r="B998" t="str">
            <v>108 2005 10 1221   00012</v>
          </cell>
          <cell r="C998">
            <v>1082006122100000</v>
          </cell>
          <cell r="D998">
            <v>1</v>
          </cell>
          <cell r="E998">
            <v>0</v>
          </cell>
          <cell r="F998">
            <v>0</v>
          </cell>
          <cell r="G998">
            <v>0</v>
          </cell>
          <cell r="H998">
            <v>1</v>
          </cell>
        </row>
        <row r="999">
          <cell r="B999" t="str">
            <v>502 2010 10 1223 00001</v>
          </cell>
          <cell r="C999">
            <v>5022010122300010</v>
          </cell>
          <cell r="D999">
            <v>5.062112490193859E-2</v>
          </cell>
          <cell r="E999">
            <v>4.7468943754903077E-2</v>
          </cell>
          <cell r="F999">
            <v>0.90190993134315833</v>
          </cell>
          <cell r="G999">
            <v>0</v>
          </cell>
          <cell r="H999">
            <v>1</v>
          </cell>
        </row>
        <row r="1000">
          <cell r="B1000" t="str">
            <v>502 2011 10 1223 00001</v>
          </cell>
          <cell r="C1000">
            <v>5022011122300010</v>
          </cell>
          <cell r="D1000">
            <v>6.0351029647433684E-2</v>
          </cell>
          <cell r="F1000">
            <v>0.93964897035256634</v>
          </cell>
          <cell r="G1000">
            <v>0</v>
          </cell>
          <cell r="H1000">
            <v>1</v>
          </cell>
        </row>
        <row r="1001">
          <cell r="B1001" t="str">
            <v>502 2011 10 1223 00001</v>
          </cell>
          <cell r="C1001">
            <v>5022011122300030</v>
          </cell>
          <cell r="D1001">
            <v>6.0351029647433684E-2</v>
          </cell>
          <cell r="F1001">
            <v>0.93964897035256634</v>
          </cell>
          <cell r="G1001">
            <v>0</v>
          </cell>
          <cell r="H1001">
            <v>1</v>
          </cell>
        </row>
        <row r="1002">
          <cell r="B1002" t="str">
            <v>204 2011 10 1211 00008</v>
          </cell>
          <cell r="C1002">
            <v>2042012121100000</v>
          </cell>
          <cell r="D1002">
            <v>7.2553897180762744E-2</v>
          </cell>
          <cell r="F1002">
            <v>0</v>
          </cell>
          <cell r="G1002">
            <v>0.92744610281923723</v>
          </cell>
          <cell r="H1002">
            <v>1</v>
          </cell>
        </row>
        <row r="1003">
          <cell r="B1003" t="str">
            <v>206 2014 10 1221 00010</v>
          </cell>
          <cell r="C1003">
            <v>2062014122100000</v>
          </cell>
          <cell r="D1003">
            <v>0.59523809523809523</v>
          </cell>
          <cell r="F1003">
            <v>0.40476190476190477</v>
          </cell>
          <cell r="G1003">
            <v>0</v>
          </cell>
          <cell r="H1003">
            <v>1</v>
          </cell>
        </row>
        <row r="1004">
          <cell r="B1004" t="str">
            <v>502 2011 10 1223 00001</v>
          </cell>
          <cell r="C1004">
            <v>5022011122300020</v>
          </cell>
          <cell r="D1004">
            <v>6.0351029647433684E-2</v>
          </cell>
          <cell r="F1004">
            <v>0.93964897035256634</v>
          </cell>
          <cell r="G1004">
            <v>0</v>
          </cell>
          <cell r="H1004">
            <v>1</v>
          </cell>
        </row>
        <row r="1005">
          <cell r="B1005" t="str">
            <v>203 2012 10 1211 00009</v>
          </cell>
          <cell r="C1005">
            <v>2032012121100060</v>
          </cell>
          <cell r="D1005">
            <v>9.8039613804000364E-2</v>
          </cell>
          <cell r="F1005">
            <v>0.90196038619599961</v>
          </cell>
          <cell r="G1005">
            <v>0</v>
          </cell>
          <cell r="H1005">
            <v>1</v>
          </cell>
        </row>
        <row r="1006">
          <cell r="B1006" t="str">
            <v>504 2012 10 1211 00010</v>
          </cell>
          <cell r="C1006">
            <v>5042012121100010</v>
          </cell>
          <cell r="D1006">
            <v>0.25</v>
          </cell>
          <cell r="F1006">
            <v>0.75</v>
          </cell>
          <cell r="G1006">
            <v>0</v>
          </cell>
          <cell r="H1006">
            <v>1</v>
          </cell>
        </row>
        <row r="1007">
          <cell r="B1007" t="str">
            <v>504 2012 10 1211 00010</v>
          </cell>
          <cell r="C1007">
            <v>5042012121100010</v>
          </cell>
          <cell r="D1007">
            <v>0.25</v>
          </cell>
          <cell r="F1007">
            <v>0.75</v>
          </cell>
          <cell r="G1007">
            <v>0</v>
          </cell>
          <cell r="H1007">
            <v>1</v>
          </cell>
        </row>
        <row r="1008">
          <cell r="B1008" t="str">
            <v>204 2008 10 1211 00003</v>
          </cell>
          <cell r="C1008">
            <v>2042009121100060</v>
          </cell>
          <cell r="D1008">
            <v>4.0000000000000001E-3</v>
          </cell>
          <cell r="F1008">
            <v>3.6000000000000004E-2</v>
          </cell>
          <cell r="G1008">
            <v>0.96</v>
          </cell>
          <cell r="H1008">
            <v>1</v>
          </cell>
        </row>
        <row r="1009">
          <cell r="B1009" t="str">
            <v>209 2013 10 1212 00006</v>
          </cell>
          <cell r="C1009">
            <v>2092013121200000</v>
          </cell>
          <cell r="D1009">
            <v>0.92019763769291774</v>
          </cell>
          <cell r="F1009">
            <v>7.9802362307082264E-2</v>
          </cell>
          <cell r="G1009">
            <v>0</v>
          </cell>
          <cell r="H1009">
            <v>1</v>
          </cell>
        </row>
        <row r="1010">
          <cell r="B1010" t="str">
            <v>503 2014 10 1211 00005</v>
          </cell>
          <cell r="C1010">
            <v>5032014121100010</v>
          </cell>
          <cell r="D1010">
            <v>0.21973202882775583</v>
          </cell>
          <cell r="F1010">
            <v>0.78026797117224422</v>
          </cell>
          <cell r="G1010">
            <v>0</v>
          </cell>
          <cell r="H1010">
            <v>1</v>
          </cell>
        </row>
        <row r="1011">
          <cell r="B1011" t="str">
            <v>503 2014 10 1211 00002</v>
          </cell>
          <cell r="C1011">
            <v>5032014121100010</v>
          </cell>
          <cell r="D1011">
            <v>0.23427661275443901</v>
          </cell>
          <cell r="F1011">
            <v>0.76572338724556099</v>
          </cell>
          <cell r="G1011">
            <v>0</v>
          </cell>
          <cell r="H1011">
            <v>1</v>
          </cell>
        </row>
        <row r="1012">
          <cell r="B1012" t="str">
            <v>503 2014 10 1211 00004</v>
          </cell>
          <cell r="C1012">
            <v>5032014121100010</v>
          </cell>
          <cell r="D1012">
            <v>0.23433295795786754</v>
          </cell>
          <cell r="F1012">
            <v>0.76566704204213243</v>
          </cell>
          <cell r="G1012">
            <v>0</v>
          </cell>
          <cell r="H1012">
            <v>1</v>
          </cell>
        </row>
        <row r="1013">
          <cell r="B1013" t="str">
            <v>503 2013 10 1211 00003</v>
          </cell>
          <cell r="C1013">
            <v>5032013121100010</v>
          </cell>
          <cell r="D1013">
            <v>0.52246603970741901</v>
          </cell>
          <cell r="F1013">
            <v>0.47753396029258099</v>
          </cell>
          <cell r="G1013">
            <v>0</v>
          </cell>
          <cell r="H1013">
            <v>1</v>
          </cell>
        </row>
        <row r="1014">
          <cell r="B1014" t="str">
            <v>304 2013 10 1212 00001</v>
          </cell>
          <cell r="C1014">
            <v>3042013121200000</v>
          </cell>
          <cell r="D1014">
            <v>0.100779560241988</v>
          </cell>
          <cell r="F1014">
            <v>0.89922043975801202</v>
          </cell>
          <cell r="G1014">
            <v>0</v>
          </cell>
          <cell r="H1014">
            <v>1</v>
          </cell>
        </row>
        <row r="1015">
          <cell r="B1015" t="str">
            <v>502 2013 10 1221 00001</v>
          </cell>
          <cell r="C1015">
            <v>5022013122100000</v>
          </cell>
          <cell r="D1015">
            <v>1</v>
          </cell>
          <cell r="F1015">
            <v>0</v>
          </cell>
          <cell r="G1015">
            <v>0</v>
          </cell>
          <cell r="H1015">
            <v>1</v>
          </cell>
        </row>
        <row r="1016">
          <cell r="B1016" t="str">
            <v>503 2013 10 1211 00014</v>
          </cell>
          <cell r="C1016">
            <v>5032013121100060</v>
          </cell>
          <cell r="D1016">
            <v>0.23580974912075339</v>
          </cell>
          <cell r="F1016">
            <v>0.76419025087924664</v>
          </cell>
          <cell r="G1016">
            <v>0</v>
          </cell>
          <cell r="H1016">
            <v>1</v>
          </cell>
        </row>
        <row r="1017">
          <cell r="B1017" t="str">
            <v>205 2014 10 1212 00002</v>
          </cell>
          <cell r="C1017">
            <v>2052014121200010</v>
          </cell>
          <cell r="D1017">
            <v>0.26906603940095325</v>
          </cell>
          <cell r="F1017">
            <v>0.73093396059904681</v>
          </cell>
          <cell r="G1017">
            <v>0</v>
          </cell>
          <cell r="H1017">
            <v>1</v>
          </cell>
        </row>
        <row r="1018">
          <cell r="B1018" t="str">
            <v>205 2013 10 1212 00016</v>
          </cell>
          <cell r="C1018">
            <v>2052013121200010</v>
          </cell>
          <cell r="D1018">
            <v>8.3459831647504992E-2</v>
          </cell>
          <cell r="F1018">
            <v>0.91654016835249497</v>
          </cell>
          <cell r="G1018">
            <v>0</v>
          </cell>
          <cell r="H1018">
            <v>1</v>
          </cell>
        </row>
        <row r="1019">
          <cell r="B1019" t="str">
            <v>503 2014 10 1211 00005</v>
          </cell>
          <cell r="C1019">
            <v>5032014121100010</v>
          </cell>
          <cell r="D1019">
            <v>0.21973202882775583</v>
          </cell>
          <cell r="F1019">
            <v>0.78026797117224422</v>
          </cell>
          <cell r="G1019">
            <v>0</v>
          </cell>
          <cell r="H1019">
            <v>1</v>
          </cell>
        </row>
        <row r="1020">
          <cell r="B1020" t="str">
            <v>503 2014 10 1211 00006</v>
          </cell>
          <cell r="C1020">
            <v>5032014121100020</v>
          </cell>
          <cell r="D1020">
            <v>0.19722841456988308</v>
          </cell>
          <cell r="F1020">
            <v>0.80277158543011695</v>
          </cell>
          <cell r="G1020">
            <v>0</v>
          </cell>
          <cell r="H1020">
            <v>1</v>
          </cell>
        </row>
        <row r="1021">
          <cell r="B1021" t="str">
            <v>112 2012 10 1212 00009</v>
          </cell>
          <cell r="C1021">
            <v>1122012121200000</v>
          </cell>
          <cell r="D1021">
            <v>1</v>
          </cell>
          <cell r="F1021">
            <v>0</v>
          </cell>
          <cell r="G1021">
            <v>0</v>
          </cell>
          <cell r="H1021">
            <v>1</v>
          </cell>
        </row>
        <row r="1022">
          <cell r="B1022" t="str">
            <v>108 2005 10 1221   00012</v>
          </cell>
          <cell r="C1022">
            <v>1082006122100000</v>
          </cell>
          <cell r="D1022">
            <v>1</v>
          </cell>
          <cell r="E1022">
            <v>0</v>
          </cell>
          <cell r="F1022">
            <v>0</v>
          </cell>
          <cell r="G1022">
            <v>0</v>
          </cell>
          <cell r="H1022">
            <v>1</v>
          </cell>
        </row>
        <row r="1023">
          <cell r="B1023" t="str">
            <v>502 2010 10 1223 00001</v>
          </cell>
          <cell r="C1023">
            <v>5022010122300020</v>
          </cell>
          <cell r="D1023">
            <v>5.062112490193859E-2</v>
          </cell>
          <cell r="E1023">
            <v>4.7468943754903077E-2</v>
          </cell>
          <cell r="F1023">
            <v>0.90190993134315833</v>
          </cell>
          <cell r="G1023">
            <v>0</v>
          </cell>
          <cell r="H1023">
            <v>1</v>
          </cell>
        </row>
        <row r="1024">
          <cell r="B1024" t="str">
            <v>504 2013 10 1212 00001</v>
          </cell>
          <cell r="C1024">
            <v>5042013121200000</v>
          </cell>
          <cell r="D1024">
            <v>0.38921038323877505</v>
          </cell>
          <cell r="F1024">
            <v>0.61078961676122501</v>
          </cell>
          <cell r="G1024">
            <v>0</v>
          </cell>
          <cell r="H1024">
            <v>1</v>
          </cell>
        </row>
        <row r="1025">
          <cell r="B1025" t="str">
            <v>504 2012 10 1211 00007</v>
          </cell>
          <cell r="C1025">
            <v>5042012121100000</v>
          </cell>
          <cell r="D1025">
            <v>1</v>
          </cell>
          <cell r="F1025">
            <v>0</v>
          </cell>
          <cell r="G1025">
            <v>0</v>
          </cell>
          <cell r="H1025">
            <v>1</v>
          </cell>
        </row>
        <row r="1026">
          <cell r="B1026" t="str">
            <v>504 2014 10 1211 00004</v>
          </cell>
          <cell r="C1026">
            <v>5042014121100010</v>
          </cell>
          <cell r="D1026">
            <v>0.625</v>
          </cell>
          <cell r="F1026">
            <v>0.375</v>
          </cell>
          <cell r="G1026">
            <v>0</v>
          </cell>
          <cell r="H1026">
            <v>1</v>
          </cell>
        </row>
        <row r="1027">
          <cell r="B1027" t="str">
            <v>504 2013 10 1211 00004</v>
          </cell>
          <cell r="C1027">
            <v>5042014121100000</v>
          </cell>
          <cell r="D1027">
            <v>0.625</v>
          </cell>
          <cell r="F1027">
            <v>0.375</v>
          </cell>
          <cell r="G1027">
            <v>0</v>
          </cell>
          <cell r="H1027">
            <v>1</v>
          </cell>
        </row>
        <row r="1028">
          <cell r="B1028" t="str">
            <v>504 2012 10 1211 00010</v>
          </cell>
          <cell r="C1028">
            <v>5042013121100000</v>
          </cell>
          <cell r="D1028">
            <v>0.25</v>
          </cell>
          <cell r="F1028">
            <v>0.75</v>
          </cell>
          <cell r="G1028">
            <v>0</v>
          </cell>
          <cell r="H1028">
            <v>1</v>
          </cell>
        </row>
        <row r="1029">
          <cell r="B1029" t="str">
            <v>504 2014 10 1211 00004</v>
          </cell>
          <cell r="C1029">
            <v>5042014121100000</v>
          </cell>
          <cell r="D1029">
            <v>0.625</v>
          </cell>
          <cell r="F1029">
            <v>0.375</v>
          </cell>
          <cell r="G1029">
            <v>0</v>
          </cell>
          <cell r="H1029">
            <v>1</v>
          </cell>
        </row>
        <row r="1030">
          <cell r="B1030" t="str">
            <v>504 2013 10 1211 00004</v>
          </cell>
          <cell r="C1030">
            <v>5042013121100010</v>
          </cell>
          <cell r="D1030">
            <v>0.625</v>
          </cell>
          <cell r="F1030">
            <v>0.375</v>
          </cell>
          <cell r="G1030">
            <v>0</v>
          </cell>
          <cell r="H1030">
            <v>1</v>
          </cell>
        </row>
        <row r="1031">
          <cell r="B1031" t="str">
            <v>502 2010 10 1223 00001</v>
          </cell>
          <cell r="C1031">
            <v>5022010122300020</v>
          </cell>
          <cell r="D1031">
            <v>5.062112490193859E-2</v>
          </cell>
          <cell r="E1031">
            <v>4.7468943754903077E-2</v>
          </cell>
          <cell r="F1031">
            <v>0.90190993134315833</v>
          </cell>
          <cell r="G1031">
            <v>0</v>
          </cell>
          <cell r="H1031">
            <v>1</v>
          </cell>
        </row>
        <row r="1032">
          <cell r="B1032" t="str">
            <v>505 2012 10 1211 00014</v>
          </cell>
          <cell r="C1032">
            <v>5052012121100000</v>
          </cell>
          <cell r="D1032">
            <v>0.41666666666666669</v>
          </cell>
          <cell r="F1032">
            <v>0.58333333333333326</v>
          </cell>
          <cell r="G1032">
            <v>0</v>
          </cell>
          <cell r="H1032">
            <v>1</v>
          </cell>
        </row>
        <row r="1033">
          <cell r="B1033" t="str">
            <v>505 2014 10 1212 00002</v>
          </cell>
          <cell r="C1033">
            <v>5052014121200010</v>
          </cell>
          <cell r="D1033">
            <v>1</v>
          </cell>
          <cell r="F1033">
            <v>0</v>
          </cell>
          <cell r="G1033">
            <v>0</v>
          </cell>
          <cell r="H1033">
            <v>1</v>
          </cell>
        </row>
        <row r="1034">
          <cell r="B1034" t="str">
            <v>505 2014 10 1211 00019</v>
          </cell>
          <cell r="C1034">
            <v>5052014121100020</v>
          </cell>
          <cell r="D1034">
            <v>0.77524408715132775</v>
          </cell>
          <cell r="F1034">
            <v>0.22475591284867225</v>
          </cell>
          <cell r="G1034">
            <v>0</v>
          </cell>
          <cell r="H1034">
            <v>1</v>
          </cell>
        </row>
        <row r="1035">
          <cell r="B1035" t="str">
            <v>505 2014 10 1211 00023</v>
          </cell>
          <cell r="C1035">
            <v>5052014121100030</v>
          </cell>
          <cell r="D1035">
            <v>0.32341549364147415</v>
          </cell>
          <cell r="F1035">
            <v>0.67658450635852585</v>
          </cell>
          <cell r="G1035">
            <v>0</v>
          </cell>
          <cell r="H1035">
            <v>1</v>
          </cell>
        </row>
        <row r="1036">
          <cell r="B1036" t="str">
            <v>505 2014 10 1211 00007</v>
          </cell>
          <cell r="C1036">
            <v>5052014121100030</v>
          </cell>
          <cell r="D1036">
            <v>1</v>
          </cell>
          <cell r="F1036">
            <v>0</v>
          </cell>
          <cell r="G1036">
            <v>0</v>
          </cell>
          <cell r="H1036">
            <v>1</v>
          </cell>
        </row>
        <row r="1037">
          <cell r="B1037" t="str">
            <v>503 2014 10 1211 00002</v>
          </cell>
          <cell r="C1037">
            <v>5032014121100000</v>
          </cell>
          <cell r="D1037">
            <v>0.23427661275443901</v>
          </cell>
          <cell r="F1037">
            <v>0.76572338724556099</v>
          </cell>
          <cell r="G1037">
            <v>0</v>
          </cell>
          <cell r="H1037">
            <v>1</v>
          </cell>
        </row>
        <row r="1038">
          <cell r="B1038" t="str">
            <v>503 2014 10 1211 00006</v>
          </cell>
          <cell r="C1038">
            <v>5032014121100010</v>
          </cell>
          <cell r="D1038">
            <v>0.19722841456988308</v>
          </cell>
          <cell r="F1038">
            <v>0.80277158543011695</v>
          </cell>
          <cell r="G1038">
            <v>0</v>
          </cell>
          <cell r="H1038">
            <v>1</v>
          </cell>
        </row>
        <row r="1039">
          <cell r="B1039" t="str">
            <v>503 2013 10 1211 00004</v>
          </cell>
          <cell r="C1039">
            <v>5032013121100020</v>
          </cell>
          <cell r="D1039">
            <v>0.43936731107205623</v>
          </cell>
          <cell r="F1039">
            <v>0.56063268892794382</v>
          </cell>
          <cell r="G1039">
            <v>0</v>
          </cell>
          <cell r="H1039">
            <v>1</v>
          </cell>
        </row>
        <row r="1040">
          <cell r="B1040" t="str">
            <v>503 2013 10 1211 00006</v>
          </cell>
          <cell r="C1040">
            <v>5032013121100090</v>
          </cell>
          <cell r="D1040">
            <v>0.33849737527239626</v>
          </cell>
          <cell r="F1040">
            <v>0.66150262472760368</v>
          </cell>
          <cell r="G1040">
            <v>0</v>
          </cell>
          <cell r="H1040">
            <v>1</v>
          </cell>
        </row>
        <row r="1041">
          <cell r="B1041" t="str">
            <v>206 2013 10 1212 00011</v>
          </cell>
          <cell r="C1041">
            <v>2062013121200000</v>
          </cell>
          <cell r="D1041">
            <v>0.20957818373329049</v>
          </cell>
          <cell r="F1041">
            <v>0.79042181626670949</v>
          </cell>
          <cell r="G1041">
            <v>0</v>
          </cell>
          <cell r="H1041">
            <v>1</v>
          </cell>
        </row>
        <row r="1042">
          <cell r="B1042" t="str">
            <v>503 2014 10 1211 00006</v>
          </cell>
          <cell r="C1042">
            <v>5032014121100010</v>
          </cell>
          <cell r="D1042">
            <v>0.19722841456988308</v>
          </cell>
          <cell r="F1042">
            <v>0.80277158543011695</v>
          </cell>
          <cell r="G1042">
            <v>0</v>
          </cell>
          <cell r="H1042">
            <v>1</v>
          </cell>
        </row>
        <row r="1043">
          <cell r="B1043" t="str">
            <v>503 2014 10 1211 00006</v>
          </cell>
          <cell r="C1043">
            <v>5032014121100020</v>
          </cell>
          <cell r="D1043">
            <v>0.19722841456988308</v>
          </cell>
          <cell r="F1043">
            <v>0.80277158543011695</v>
          </cell>
          <cell r="G1043">
            <v>0</v>
          </cell>
          <cell r="H1043">
            <v>1</v>
          </cell>
        </row>
        <row r="1044">
          <cell r="B1044" t="str">
            <v>504 2014 10 1211 00004</v>
          </cell>
          <cell r="C1044">
            <v>5042014121100000</v>
          </cell>
          <cell r="D1044">
            <v>0.625</v>
          </cell>
          <cell r="F1044">
            <v>0.375</v>
          </cell>
          <cell r="G1044">
            <v>0</v>
          </cell>
          <cell r="H1044">
            <v>1</v>
          </cell>
        </row>
        <row r="1045">
          <cell r="B1045" t="str">
            <v>504 2013 10 1211 00004</v>
          </cell>
          <cell r="C1045">
            <v>5042013121100000</v>
          </cell>
          <cell r="D1045">
            <v>0.625</v>
          </cell>
          <cell r="F1045">
            <v>0.375</v>
          </cell>
          <cell r="G1045">
            <v>0</v>
          </cell>
          <cell r="H1045">
            <v>1</v>
          </cell>
        </row>
        <row r="1046">
          <cell r="B1046" t="str">
            <v>504 2012 10 1211 00010</v>
          </cell>
          <cell r="C1046">
            <v>5042012121100010</v>
          </cell>
          <cell r="D1046">
            <v>0.25</v>
          </cell>
          <cell r="F1046">
            <v>0.75</v>
          </cell>
          <cell r="G1046">
            <v>0</v>
          </cell>
          <cell r="H1046">
            <v>1</v>
          </cell>
        </row>
        <row r="1047">
          <cell r="B1047" t="str">
            <v>504 2012 10 1211 00007</v>
          </cell>
          <cell r="C1047">
            <v>5042012121100010</v>
          </cell>
          <cell r="D1047">
            <v>1</v>
          </cell>
          <cell r="F1047">
            <v>0</v>
          </cell>
          <cell r="G1047">
            <v>0</v>
          </cell>
          <cell r="H1047">
            <v>1</v>
          </cell>
        </row>
        <row r="1048">
          <cell r="B1048" t="str">
            <v>112 2010 10 1212 00004</v>
          </cell>
          <cell r="C1048">
            <v>1122011121200000</v>
          </cell>
          <cell r="D1048">
            <v>1</v>
          </cell>
          <cell r="F1048">
            <v>0</v>
          </cell>
          <cell r="G1048">
            <v>0</v>
          </cell>
          <cell r="H1048">
            <v>1</v>
          </cell>
        </row>
        <row r="1049">
          <cell r="B1049" t="str">
            <v>504 2014 10 1212 00002</v>
          </cell>
          <cell r="C1049">
            <v>5042014121200000</v>
          </cell>
          <cell r="D1049">
            <v>0.48780487804878048</v>
          </cell>
          <cell r="F1049">
            <v>0.51219512195121952</v>
          </cell>
          <cell r="G1049">
            <v>0</v>
          </cell>
          <cell r="H1049">
            <v>1</v>
          </cell>
        </row>
        <row r="1050">
          <cell r="B1050" t="str">
            <v>504 2013 10 1211 00004</v>
          </cell>
          <cell r="C1050">
            <v>5042013121100000</v>
          </cell>
          <cell r="D1050">
            <v>0.625</v>
          </cell>
          <cell r="F1050">
            <v>0.375</v>
          </cell>
          <cell r="G1050">
            <v>0</v>
          </cell>
          <cell r="H1050">
            <v>1</v>
          </cell>
        </row>
        <row r="1051">
          <cell r="B1051" t="str">
            <v>304 2013 10 1212 00001</v>
          </cell>
          <cell r="C1051">
            <v>3042013121200000</v>
          </cell>
          <cell r="D1051">
            <v>0.100779560241988</v>
          </cell>
          <cell r="F1051">
            <v>0.89922043975801202</v>
          </cell>
          <cell r="G1051">
            <v>0</v>
          </cell>
          <cell r="H1051">
            <v>1</v>
          </cell>
        </row>
        <row r="1052">
          <cell r="B1052" t="str">
            <v>304 2013 10 1212 00001</v>
          </cell>
          <cell r="C1052">
            <v>3042014121200000</v>
          </cell>
          <cell r="D1052">
            <v>0.100779560241988</v>
          </cell>
          <cell r="F1052">
            <v>0.89922043975801202</v>
          </cell>
          <cell r="G1052">
            <v>0</v>
          </cell>
          <cell r="H1052">
            <v>1</v>
          </cell>
        </row>
        <row r="1053">
          <cell r="B1053" t="str">
            <v>503 2014 10 1211 00004</v>
          </cell>
          <cell r="C1053">
            <v>5032014121100030</v>
          </cell>
          <cell r="D1053">
            <v>0.23433295795786754</v>
          </cell>
          <cell r="F1053">
            <v>0.76566704204213243</v>
          </cell>
          <cell r="G1053">
            <v>0</v>
          </cell>
          <cell r="H1053">
            <v>1</v>
          </cell>
        </row>
        <row r="1054">
          <cell r="B1054" t="str">
            <v>201 2012 10 1211 00004</v>
          </cell>
          <cell r="C1054">
            <v>2012013121100000</v>
          </cell>
          <cell r="D1054">
            <v>1.4755744083876299E-2</v>
          </cell>
          <cell r="F1054">
            <v>0.12524425591612401</v>
          </cell>
          <cell r="G1054">
            <v>0.85999999999999976</v>
          </cell>
          <cell r="H1054">
            <v>1</v>
          </cell>
        </row>
        <row r="1055">
          <cell r="B1055" t="str">
            <v>201 2014 10 1211 00006</v>
          </cell>
          <cell r="C1055">
            <v>2012014121100030</v>
          </cell>
          <cell r="D1055">
            <v>5.4945054945054937E-2</v>
          </cell>
          <cell r="F1055">
            <v>0.94505494505494503</v>
          </cell>
          <cell r="G1055">
            <v>0</v>
          </cell>
          <cell r="H1055">
            <v>1</v>
          </cell>
        </row>
        <row r="1056">
          <cell r="B1056" t="str">
            <v>201 2013 10 1211 00006</v>
          </cell>
          <cell r="C1056">
            <v>2012013121100110</v>
          </cell>
          <cell r="D1056">
            <v>5.8823529411764705E-2</v>
          </cell>
          <cell r="F1056">
            <v>0.94117647058823528</v>
          </cell>
          <cell r="G1056">
            <v>0</v>
          </cell>
          <cell r="H1056">
            <v>1</v>
          </cell>
        </row>
        <row r="1057">
          <cell r="B1057" t="str">
            <v>108 2008 10 1222 00003</v>
          </cell>
          <cell r="C1057">
            <v>1082008122200000</v>
          </cell>
          <cell r="D1057">
            <v>1</v>
          </cell>
          <cell r="F1057">
            <v>0</v>
          </cell>
          <cell r="G1057">
            <v>0</v>
          </cell>
          <cell r="H1057">
            <v>1</v>
          </cell>
        </row>
        <row r="1058">
          <cell r="B1058" t="str">
            <v>503 2014 10 1212 00002</v>
          </cell>
          <cell r="C1058">
            <v>5032014121200000</v>
          </cell>
          <cell r="D1058">
            <v>0.30940631356652154</v>
          </cell>
          <cell r="F1058">
            <v>0.69059368643347852</v>
          </cell>
          <cell r="G1058">
            <v>0</v>
          </cell>
          <cell r="H1058">
            <v>1</v>
          </cell>
        </row>
        <row r="1059">
          <cell r="B1059" t="str">
            <v>505 2014 10 1211 00006</v>
          </cell>
          <cell r="C1059">
            <v>5052014121100000</v>
          </cell>
          <cell r="D1059">
            <v>5.8823529411764705E-2</v>
          </cell>
          <cell r="F1059">
            <v>0.94117647058823528</v>
          </cell>
          <cell r="G1059">
            <v>0</v>
          </cell>
          <cell r="H1059">
            <v>1</v>
          </cell>
        </row>
        <row r="1060">
          <cell r="B1060" t="str">
            <v>505 2013 10 1211 00016</v>
          </cell>
          <cell r="C1060">
            <v>5052013121100000</v>
          </cell>
          <cell r="D1060">
            <v>8.0904816241931299E-2</v>
          </cell>
          <cell r="F1060">
            <v>0.91909518375806876</v>
          </cell>
          <cell r="G1060">
            <v>0</v>
          </cell>
          <cell r="H1060">
            <v>1</v>
          </cell>
        </row>
        <row r="1061">
          <cell r="B1061" t="str">
            <v>505 2013 10 1212 00001</v>
          </cell>
          <cell r="C1061">
            <v>5052014121200000</v>
          </cell>
          <cell r="D1061">
            <v>1</v>
          </cell>
          <cell r="F1061">
            <v>0</v>
          </cell>
          <cell r="G1061">
            <v>0</v>
          </cell>
          <cell r="H1061">
            <v>1</v>
          </cell>
        </row>
        <row r="1062">
          <cell r="B1062" t="str">
            <v>304 2014 61 1212 00003</v>
          </cell>
          <cell r="C1062">
            <v>3042014121200000</v>
          </cell>
          <cell r="D1062">
            <v>0.100779560241988</v>
          </cell>
          <cell r="F1062">
            <v>0.89922043975801202</v>
          </cell>
          <cell r="G1062">
            <v>0</v>
          </cell>
          <cell r="H1062">
            <v>1</v>
          </cell>
        </row>
        <row r="1063">
          <cell r="B1063" t="str">
            <v>502 2009 10 1223 00001</v>
          </cell>
          <cell r="C1063">
            <v>5022009122300000</v>
          </cell>
          <cell r="D1063">
            <v>5.7745810851806433E-2</v>
          </cell>
          <cell r="E1063">
            <v>4.7112709457409675E-2</v>
          </cell>
          <cell r="F1063">
            <v>0.89514147969078395</v>
          </cell>
          <cell r="G1063">
            <v>0</v>
          </cell>
          <cell r="H1063">
            <v>1</v>
          </cell>
        </row>
        <row r="1064">
          <cell r="B1064" t="str">
            <v>504 2014 10 1211 00004</v>
          </cell>
          <cell r="C1064">
            <v>5042014121100010</v>
          </cell>
          <cell r="D1064">
            <v>0.625</v>
          </cell>
          <cell r="F1064">
            <v>0.375</v>
          </cell>
          <cell r="G1064">
            <v>0</v>
          </cell>
          <cell r="H1064">
            <v>1</v>
          </cell>
        </row>
        <row r="1065">
          <cell r="B1065" t="str">
            <v>206 2013 10 1212 00002</v>
          </cell>
          <cell r="C1065">
            <v>2062013121200000</v>
          </cell>
          <cell r="D1065">
            <v>0.1457725947521866</v>
          </cell>
          <cell r="F1065">
            <v>0.85422740524781338</v>
          </cell>
          <cell r="G1065">
            <v>0</v>
          </cell>
          <cell r="H1065">
            <v>1</v>
          </cell>
        </row>
        <row r="1066">
          <cell r="B1066" t="str">
            <v>304 2013 10 1212 00001</v>
          </cell>
          <cell r="C1066">
            <v>3042013121200000</v>
          </cell>
          <cell r="D1066">
            <v>0.100779560241988</v>
          </cell>
          <cell r="F1066">
            <v>0.89922043975801202</v>
          </cell>
          <cell r="G1066">
            <v>0</v>
          </cell>
          <cell r="H1066">
            <v>1</v>
          </cell>
        </row>
        <row r="1067">
          <cell r="B1067" t="str">
            <v>502 2013 10 1211 00004</v>
          </cell>
          <cell r="C1067">
            <v>5022014121100000</v>
          </cell>
          <cell r="D1067">
            <v>0.14905974796491736</v>
          </cell>
          <cell r="F1067">
            <v>0.85094025203508261</v>
          </cell>
          <cell r="G1067">
            <v>0</v>
          </cell>
          <cell r="H1067">
            <v>1</v>
          </cell>
        </row>
        <row r="1068">
          <cell r="B1068" t="str">
            <v>502 2009 10 1223 00001</v>
          </cell>
          <cell r="C1068">
            <v>5022009122300000</v>
          </cell>
          <cell r="D1068">
            <v>5.7745810851806433E-2</v>
          </cell>
          <cell r="E1068">
            <v>4.7112709457409675E-2</v>
          </cell>
          <cell r="F1068">
            <v>0.89514147969078395</v>
          </cell>
          <cell r="G1068">
            <v>0</v>
          </cell>
          <cell r="H1068">
            <v>1</v>
          </cell>
        </row>
        <row r="1069">
          <cell r="B1069" t="str">
            <v>201 2014 10 1211 00006</v>
          </cell>
          <cell r="C1069">
            <v>2012014121100070</v>
          </cell>
          <cell r="D1069">
            <v>5.4945054945054937E-2</v>
          </cell>
          <cell r="F1069">
            <v>0.94505494505494503</v>
          </cell>
          <cell r="G1069">
            <v>0</v>
          </cell>
          <cell r="H1069">
            <v>1</v>
          </cell>
        </row>
        <row r="1070">
          <cell r="B1070" t="str">
            <v>201 2013 10 1211 00006</v>
          </cell>
          <cell r="C1070">
            <v>2012013121100120</v>
          </cell>
          <cell r="D1070">
            <v>5.8823529411764705E-2</v>
          </cell>
          <cell r="F1070">
            <v>0.94117647058823528</v>
          </cell>
          <cell r="G1070">
            <v>0</v>
          </cell>
          <cell r="H1070">
            <v>1</v>
          </cell>
        </row>
        <row r="1071">
          <cell r="B1071" t="str">
            <v>203 2014 10 1212 00002</v>
          </cell>
          <cell r="C1071">
            <v>2032014121200000</v>
          </cell>
          <cell r="D1071">
            <v>6.9160007392485526E-2</v>
          </cell>
          <cell r="F1071">
            <v>0.93083999260751449</v>
          </cell>
          <cell r="G1071">
            <v>0</v>
          </cell>
          <cell r="H1071">
            <v>1</v>
          </cell>
        </row>
        <row r="1072">
          <cell r="B1072" t="str">
            <v>203 2014 10 1212 00003</v>
          </cell>
          <cell r="C1072">
            <v>2032014121200010</v>
          </cell>
          <cell r="D1072">
            <v>2.3934698565896376E-2</v>
          </cell>
          <cell r="F1072">
            <v>0.41167681533341766</v>
          </cell>
          <cell r="G1072">
            <v>0.56438848610068604</v>
          </cell>
          <cell r="H1072">
            <v>1</v>
          </cell>
        </row>
        <row r="1073">
          <cell r="B1073" t="str">
            <v>504 2012 10 1211 00010</v>
          </cell>
          <cell r="C1073">
            <v>5042013121100000</v>
          </cell>
          <cell r="D1073">
            <v>0.25</v>
          </cell>
          <cell r="F1073">
            <v>0.75</v>
          </cell>
          <cell r="G1073">
            <v>0</v>
          </cell>
          <cell r="H1073">
            <v>1</v>
          </cell>
        </row>
        <row r="1074">
          <cell r="B1074" t="str">
            <v>504 2014 10 1211 00004</v>
          </cell>
          <cell r="C1074">
            <v>5042014121100000</v>
          </cell>
          <cell r="D1074">
            <v>0.625</v>
          </cell>
          <cell r="F1074">
            <v>0.375</v>
          </cell>
          <cell r="G1074">
            <v>0</v>
          </cell>
          <cell r="H1074">
            <v>1</v>
          </cell>
        </row>
        <row r="1075">
          <cell r="B1075" t="str">
            <v>504 2012 10 1211 00007</v>
          </cell>
          <cell r="C1075">
            <v>5042012121100010</v>
          </cell>
          <cell r="D1075">
            <v>1</v>
          </cell>
          <cell r="F1075">
            <v>0</v>
          </cell>
          <cell r="G1075">
            <v>0</v>
          </cell>
          <cell r="H1075">
            <v>1</v>
          </cell>
        </row>
        <row r="1076">
          <cell r="B1076" t="str">
            <v>502 2010 10 1223 00001</v>
          </cell>
          <cell r="C1076">
            <v>5022010122300020</v>
          </cell>
          <cell r="D1076">
            <v>5.062112490193859E-2</v>
          </cell>
          <cell r="E1076">
            <v>4.7468943754903077E-2</v>
          </cell>
          <cell r="F1076">
            <v>0.90190993134315833</v>
          </cell>
          <cell r="G1076">
            <v>0</v>
          </cell>
          <cell r="H1076">
            <v>1</v>
          </cell>
        </row>
        <row r="1077">
          <cell r="B1077" t="str">
            <v>502 2010 10 1223 00001</v>
          </cell>
          <cell r="C1077">
            <v>5022010122300010</v>
          </cell>
          <cell r="D1077">
            <v>5.062112490193859E-2</v>
          </cell>
          <cell r="E1077">
            <v>4.7468943754903077E-2</v>
          </cell>
          <cell r="F1077">
            <v>0.90190993134315833</v>
          </cell>
          <cell r="G1077">
            <v>0</v>
          </cell>
          <cell r="H1077">
            <v>1</v>
          </cell>
        </row>
        <row r="1078">
          <cell r="B1078" t="str">
            <v>503 2014 10 1211 00006</v>
          </cell>
          <cell r="C1078">
            <v>5032014121100020</v>
          </cell>
          <cell r="D1078">
            <v>0.19722841456988308</v>
          </cell>
          <cell r="F1078">
            <v>0.80277158543011695</v>
          </cell>
          <cell r="G1078">
            <v>0</v>
          </cell>
          <cell r="H1078">
            <v>1</v>
          </cell>
        </row>
        <row r="1079">
          <cell r="B1079" t="str">
            <v>503 2014 10 1211 00004</v>
          </cell>
          <cell r="C1079">
            <v>5032014121100030</v>
          </cell>
          <cell r="D1079">
            <v>0.23433295795786754</v>
          </cell>
          <cell r="F1079">
            <v>0.76566704204213243</v>
          </cell>
          <cell r="G1079">
            <v>0</v>
          </cell>
          <cell r="H1079">
            <v>1</v>
          </cell>
        </row>
        <row r="1080">
          <cell r="B1080" t="str">
            <v>503 2014 10 1211 00006</v>
          </cell>
          <cell r="C1080">
            <v>5032014121100030</v>
          </cell>
          <cell r="D1080">
            <v>0.19722841456988308</v>
          </cell>
          <cell r="F1080">
            <v>0.80277158543011695</v>
          </cell>
          <cell r="G1080">
            <v>0</v>
          </cell>
          <cell r="H1080">
            <v>1</v>
          </cell>
        </row>
        <row r="1081">
          <cell r="B1081" t="str">
            <v>203 2014 10 1211 00005</v>
          </cell>
          <cell r="C1081">
            <v>2032014121100080</v>
          </cell>
          <cell r="D1081">
            <v>5.4945054945054951E-2</v>
          </cell>
          <cell r="F1081">
            <v>0.94505494505494503</v>
          </cell>
          <cell r="G1081">
            <v>0</v>
          </cell>
          <cell r="H1081">
            <v>1</v>
          </cell>
        </row>
        <row r="1082">
          <cell r="B1082" t="str">
            <v>202 2012 60 1211 00006</v>
          </cell>
          <cell r="C1082">
            <v>2022013121100000</v>
          </cell>
          <cell r="D1082">
            <v>0.19332408401318743</v>
          </cell>
          <cell r="F1082">
            <v>0.80667591598681254</v>
          </cell>
          <cell r="G1082">
            <v>0</v>
          </cell>
          <cell r="H1082">
            <v>1</v>
          </cell>
        </row>
        <row r="1083">
          <cell r="B1083" t="str">
            <v>304 2013 10 1212 00002</v>
          </cell>
          <cell r="C1083">
            <v>3042013121200000</v>
          </cell>
          <cell r="D1083">
            <v>1</v>
          </cell>
          <cell r="F1083">
            <v>0</v>
          </cell>
          <cell r="G1083">
            <v>0</v>
          </cell>
          <cell r="H1083">
            <v>1</v>
          </cell>
        </row>
        <row r="1084">
          <cell r="B1084" t="str">
            <v>505 2013 10 1211 00005</v>
          </cell>
          <cell r="C1084">
            <v>5052013121100040</v>
          </cell>
          <cell r="D1084">
            <v>0.33624747814391392</v>
          </cell>
          <cell r="F1084">
            <v>0.66375252185608602</v>
          </cell>
          <cell r="G1084">
            <v>0</v>
          </cell>
          <cell r="H1084">
            <v>1</v>
          </cell>
        </row>
        <row r="1085">
          <cell r="B1085" t="str">
            <v>505 2013 10 1211 00008</v>
          </cell>
          <cell r="C1085">
            <v>5052013121100050</v>
          </cell>
          <cell r="D1085">
            <v>0.33944331296673458</v>
          </cell>
          <cell r="F1085">
            <v>0.66055668703326542</v>
          </cell>
          <cell r="G1085">
            <v>0</v>
          </cell>
          <cell r="H1085">
            <v>1</v>
          </cell>
        </row>
        <row r="1086">
          <cell r="B1086" t="str">
            <v>505 2012 10 1211 00022</v>
          </cell>
          <cell r="C1086">
            <v>5052012121100010</v>
          </cell>
          <cell r="D1086">
            <v>1</v>
          </cell>
          <cell r="F1086">
            <v>0</v>
          </cell>
          <cell r="G1086">
            <v>0</v>
          </cell>
          <cell r="H1086">
            <v>1</v>
          </cell>
        </row>
        <row r="1087">
          <cell r="B1087" t="str">
            <v>505 2014 10 1211 00021</v>
          </cell>
          <cell r="C1087">
            <v>5052014121100020</v>
          </cell>
          <cell r="D1087">
            <v>0.32018465012912267</v>
          </cell>
          <cell r="F1087">
            <v>0.67981534987087733</v>
          </cell>
          <cell r="G1087">
            <v>0</v>
          </cell>
          <cell r="H1087">
            <v>1</v>
          </cell>
        </row>
        <row r="1088">
          <cell r="B1088" t="str">
            <v>505 2014 10 1211 00020</v>
          </cell>
          <cell r="C1088">
            <v>5052014121100020</v>
          </cell>
          <cell r="D1088">
            <v>0.28486827155001443</v>
          </cell>
          <cell r="F1088">
            <v>0.71513172844998563</v>
          </cell>
          <cell r="G1088">
            <v>0</v>
          </cell>
          <cell r="H1088">
            <v>1</v>
          </cell>
        </row>
        <row r="1089">
          <cell r="B1089" t="str">
            <v>505 2014 10 1211 00020</v>
          </cell>
          <cell r="C1089">
            <v>5052014121100030</v>
          </cell>
          <cell r="D1089">
            <v>0.28486827155001443</v>
          </cell>
          <cell r="F1089">
            <v>0.71513172844998563</v>
          </cell>
          <cell r="G1089">
            <v>0</v>
          </cell>
          <cell r="H1089">
            <v>1</v>
          </cell>
        </row>
        <row r="1090">
          <cell r="B1090" t="str">
            <v>505 2014 10 1211 00012</v>
          </cell>
          <cell r="C1090">
            <v>5052014121100050</v>
          </cell>
          <cell r="D1090">
            <v>1</v>
          </cell>
          <cell r="F1090">
            <v>0</v>
          </cell>
          <cell r="G1090">
            <v>0</v>
          </cell>
          <cell r="H1090">
            <v>1</v>
          </cell>
        </row>
        <row r="1091">
          <cell r="B1091" t="str">
            <v>505 2014 10 1211 00023</v>
          </cell>
          <cell r="C1091">
            <v>5052014121100050</v>
          </cell>
          <cell r="D1091">
            <v>0.32341549364147415</v>
          </cell>
          <cell r="F1091">
            <v>0.67658450635852585</v>
          </cell>
          <cell r="G1091">
            <v>0</v>
          </cell>
          <cell r="H1091">
            <v>1</v>
          </cell>
        </row>
        <row r="1092">
          <cell r="B1092" t="str">
            <v>505 2014 10 1211 00006</v>
          </cell>
          <cell r="C1092">
            <v>5052014121100000</v>
          </cell>
          <cell r="D1092">
            <v>5.8823529411764705E-2</v>
          </cell>
          <cell r="F1092">
            <v>0.94117647058823528</v>
          </cell>
          <cell r="G1092">
            <v>0</v>
          </cell>
          <cell r="H1092">
            <v>1</v>
          </cell>
        </row>
        <row r="1093">
          <cell r="B1093" t="str">
            <v>503 2013 10 1211 00004</v>
          </cell>
          <cell r="C1093">
            <v>5032013121100080</v>
          </cell>
          <cell r="D1093">
            <v>0.43936731107205623</v>
          </cell>
          <cell r="F1093">
            <v>0.56063268892794382</v>
          </cell>
          <cell r="G1093">
            <v>0</v>
          </cell>
          <cell r="H1093">
            <v>1</v>
          </cell>
        </row>
        <row r="1094">
          <cell r="B1094" t="str">
            <v>502 2010 10 1223 00001</v>
          </cell>
          <cell r="C1094">
            <v>5022010122300010</v>
          </cell>
          <cell r="D1094">
            <v>5.062112490193859E-2</v>
          </cell>
          <cell r="E1094">
            <v>4.7468943754903077E-2</v>
          </cell>
          <cell r="F1094">
            <v>0.90190993134315833</v>
          </cell>
          <cell r="G1094">
            <v>0</v>
          </cell>
          <cell r="H1094">
            <v>1</v>
          </cell>
        </row>
        <row r="1095">
          <cell r="B1095" t="str">
            <v>502 2011 10 1223 00001</v>
          </cell>
          <cell r="C1095">
            <v>5022011122300020</v>
          </cell>
          <cell r="D1095">
            <v>6.0351029647433684E-2</v>
          </cell>
          <cell r="F1095">
            <v>0.93964897035256634</v>
          </cell>
          <cell r="G1095">
            <v>0</v>
          </cell>
          <cell r="H1095">
            <v>1</v>
          </cell>
        </row>
        <row r="1096">
          <cell r="B1096" t="str">
            <v>203 2014 10 1212 00009</v>
          </cell>
          <cell r="C1096">
            <v>2032014121200040</v>
          </cell>
          <cell r="D1096">
            <v>5.9565902215354273E-2</v>
          </cell>
          <cell r="F1096">
            <v>0.83392263101495978</v>
          </cell>
          <cell r="G1096">
            <v>0.10651146676968593</v>
          </cell>
          <cell r="H1096">
            <v>1</v>
          </cell>
        </row>
        <row r="1097">
          <cell r="B1097" t="str">
            <v>203 2014 10 1212 00009</v>
          </cell>
          <cell r="C1097">
            <v>2032014121200090</v>
          </cell>
          <cell r="D1097">
            <v>5.9565902215354273E-2</v>
          </cell>
          <cell r="F1097">
            <v>0.83392263101495978</v>
          </cell>
          <cell r="G1097">
            <v>0.10651146676968593</v>
          </cell>
          <cell r="H1097">
            <v>1</v>
          </cell>
        </row>
        <row r="1098">
          <cell r="B1098" t="str">
            <v>201 2014 10 1211 00006</v>
          </cell>
          <cell r="C1098">
            <v>2012014121100040</v>
          </cell>
          <cell r="D1098">
            <v>5.4945054945054937E-2</v>
          </cell>
          <cell r="F1098">
            <v>0.94505494505494503</v>
          </cell>
          <cell r="G1098">
            <v>0</v>
          </cell>
          <cell r="H1098">
            <v>1</v>
          </cell>
        </row>
        <row r="1099">
          <cell r="B1099" t="str">
            <v>201 2013 10 1211 00006</v>
          </cell>
          <cell r="C1099">
            <v>2012013121100160</v>
          </cell>
          <cell r="D1099">
            <v>5.8823529411764705E-2</v>
          </cell>
          <cell r="F1099">
            <v>0.94117647058823528</v>
          </cell>
          <cell r="G1099">
            <v>0</v>
          </cell>
          <cell r="H1099">
            <v>1</v>
          </cell>
        </row>
        <row r="1100">
          <cell r="B1100" t="str">
            <v>202 2012 10 1212 00009</v>
          </cell>
          <cell r="C1100">
            <v>2022013121200000</v>
          </cell>
          <cell r="D1100">
            <v>0.61274509803921573</v>
          </cell>
          <cell r="F1100">
            <v>0.38725490196078427</v>
          </cell>
          <cell r="G1100">
            <v>0</v>
          </cell>
          <cell r="H1100">
            <v>1</v>
          </cell>
        </row>
        <row r="1101">
          <cell r="B1101" t="str">
            <v>505 2013 10 1211 00005</v>
          </cell>
          <cell r="C1101">
            <v>5052013121100060</v>
          </cell>
          <cell r="D1101">
            <v>0.33624747814391392</v>
          </cell>
          <cell r="F1101">
            <v>0.66375252185608602</v>
          </cell>
          <cell r="G1101">
            <v>0</v>
          </cell>
          <cell r="H1101">
            <v>1</v>
          </cell>
        </row>
        <row r="1102">
          <cell r="B1102" t="str">
            <v>505 2013 10 1211 00005</v>
          </cell>
          <cell r="C1102">
            <v>5052013121100060</v>
          </cell>
          <cell r="D1102">
            <v>0.33624747814391392</v>
          </cell>
          <cell r="F1102">
            <v>0.66375252185608602</v>
          </cell>
          <cell r="G1102">
            <v>0</v>
          </cell>
          <cell r="H1102">
            <v>1</v>
          </cell>
        </row>
        <row r="1103">
          <cell r="B1103" t="str">
            <v>502 2011 10 1223 00001</v>
          </cell>
          <cell r="C1103">
            <v>5022011122300000</v>
          </cell>
          <cell r="D1103">
            <v>6.0351029647433684E-2</v>
          </cell>
          <cell r="F1103">
            <v>0.93964897035256634</v>
          </cell>
          <cell r="G1103">
            <v>0</v>
          </cell>
          <cell r="H1103">
            <v>1</v>
          </cell>
        </row>
        <row r="1104">
          <cell r="B1104" t="str">
            <v>502 2009 10 1223 00001</v>
          </cell>
          <cell r="C1104">
            <v>5022009122300000</v>
          </cell>
          <cell r="D1104">
            <v>5.7745810851806433E-2</v>
          </cell>
          <cell r="E1104">
            <v>4.7112709457409675E-2</v>
          </cell>
          <cell r="F1104">
            <v>0.89514147969078395</v>
          </cell>
          <cell r="G1104">
            <v>0</v>
          </cell>
          <cell r="H1104">
            <v>1</v>
          </cell>
        </row>
        <row r="1105">
          <cell r="B1105" t="str">
            <v>502 2011 10 1223 00001</v>
          </cell>
          <cell r="C1105">
            <v>5022011122300000</v>
          </cell>
          <cell r="D1105">
            <v>6.0351029647433684E-2</v>
          </cell>
          <cell r="F1105">
            <v>0.93964897035256634</v>
          </cell>
          <cell r="G1105">
            <v>0</v>
          </cell>
          <cell r="H1105">
            <v>1</v>
          </cell>
        </row>
        <row r="1106">
          <cell r="B1106" t="str">
            <v>502 2011 10 1223 00001</v>
          </cell>
          <cell r="C1106">
            <v>5022011122300000</v>
          </cell>
          <cell r="D1106">
            <v>6.0351029647433684E-2</v>
          </cell>
          <cell r="F1106">
            <v>0.93964897035256634</v>
          </cell>
          <cell r="G1106">
            <v>0</v>
          </cell>
          <cell r="H1106">
            <v>1</v>
          </cell>
        </row>
        <row r="1107">
          <cell r="B1107" t="str">
            <v>503 2014 10 1211 00003</v>
          </cell>
          <cell r="C1107">
            <v>5032014121100000</v>
          </cell>
          <cell r="D1107">
            <v>0.23526704079101265</v>
          </cell>
          <cell r="F1107">
            <v>0.76473295920898732</v>
          </cell>
          <cell r="G1107">
            <v>0</v>
          </cell>
          <cell r="H1107">
            <v>1</v>
          </cell>
        </row>
        <row r="1108">
          <cell r="B1108" t="str">
            <v>503 2014 10 1211 00003</v>
          </cell>
          <cell r="C1108">
            <v>5032014121100010</v>
          </cell>
          <cell r="D1108">
            <v>0.23526704079101265</v>
          </cell>
          <cell r="F1108">
            <v>0.76473295920898732</v>
          </cell>
          <cell r="G1108">
            <v>0</v>
          </cell>
          <cell r="H1108">
            <v>1</v>
          </cell>
        </row>
        <row r="1109">
          <cell r="B1109" t="str">
            <v>505 2013 10 1212 00001</v>
          </cell>
          <cell r="C1109">
            <v>5052014121200000</v>
          </cell>
          <cell r="D1109">
            <v>1</v>
          </cell>
          <cell r="F1109">
            <v>0</v>
          </cell>
          <cell r="G1109">
            <v>0</v>
          </cell>
          <cell r="H1109">
            <v>1</v>
          </cell>
        </row>
        <row r="1110">
          <cell r="B1110" t="str">
            <v>505 2014 10 1211 00006</v>
          </cell>
          <cell r="C1110">
            <v>5052014121100060</v>
          </cell>
          <cell r="D1110">
            <v>5.8823529411764705E-2</v>
          </cell>
          <cell r="F1110">
            <v>0.94117647058823528</v>
          </cell>
          <cell r="G1110">
            <v>0</v>
          </cell>
          <cell r="H1110">
            <v>1</v>
          </cell>
        </row>
        <row r="1111">
          <cell r="B1111" t="str">
            <v>505 2013 10 1211 00007</v>
          </cell>
          <cell r="C1111">
            <v>5052013121100070</v>
          </cell>
          <cell r="D1111">
            <v>0.33944331296673458</v>
          </cell>
          <cell r="F1111">
            <v>0.66055668703326542</v>
          </cell>
          <cell r="G1111">
            <v>0</v>
          </cell>
          <cell r="H1111">
            <v>1</v>
          </cell>
        </row>
        <row r="1112">
          <cell r="B1112" t="str">
            <v>505 2014 10 1211 00028</v>
          </cell>
          <cell r="C1112">
            <v>5052014121100050</v>
          </cell>
          <cell r="D1112">
            <v>1</v>
          </cell>
          <cell r="F1112">
            <v>0</v>
          </cell>
          <cell r="G1112">
            <v>0</v>
          </cell>
          <cell r="H1112">
            <v>1</v>
          </cell>
        </row>
        <row r="1113">
          <cell r="B1113" t="str">
            <v>505 2014 10 1211 00022</v>
          </cell>
          <cell r="C1113">
            <v>5052014121100070</v>
          </cell>
          <cell r="D1113">
            <v>0.32341549364147415</v>
          </cell>
          <cell r="F1113">
            <v>0.67658450635852585</v>
          </cell>
          <cell r="G1113">
            <v>0</v>
          </cell>
          <cell r="H1113">
            <v>1</v>
          </cell>
        </row>
        <row r="1114">
          <cell r="B1114" t="str">
            <v>505 2013 10 1211 00016</v>
          </cell>
          <cell r="C1114">
            <v>5052013121100000</v>
          </cell>
          <cell r="D1114">
            <v>8.0904816241931299E-2</v>
          </cell>
          <cell r="F1114">
            <v>0.91909518375806876</v>
          </cell>
          <cell r="G1114">
            <v>0</v>
          </cell>
          <cell r="H1114">
            <v>1</v>
          </cell>
        </row>
        <row r="1115">
          <cell r="B1115" t="str">
            <v>505 2014 10 1211 00023</v>
          </cell>
          <cell r="C1115">
            <v>5052014121100010</v>
          </cell>
          <cell r="D1115">
            <v>0.32341549364147415</v>
          </cell>
          <cell r="F1115">
            <v>0.67658450635852585</v>
          </cell>
          <cell r="G1115">
            <v>0</v>
          </cell>
          <cell r="H1115">
            <v>1</v>
          </cell>
        </row>
        <row r="1116">
          <cell r="B1116" t="str">
            <v>505 2014 10 1211 00020</v>
          </cell>
          <cell r="C1116">
            <v>5052014121100010</v>
          </cell>
          <cell r="D1116">
            <v>0.28486827155001443</v>
          </cell>
          <cell r="F1116">
            <v>0.71513172844998563</v>
          </cell>
          <cell r="G1116">
            <v>0</v>
          </cell>
          <cell r="H1116">
            <v>1</v>
          </cell>
        </row>
        <row r="1117">
          <cell r="B1117" t="str">
            <v>505 2014 10 1211 00006</v>
          </cell>
          <cell r="C1117">
            <v>5052014121100040</v>
          </cell>
          <cell r="D1117">
            <v>5.8823529411764705E-2</v>
          </cell>
          <cell r="F1117">
            <v>0.94117647058823528</v>
          </cell>
          <cell r="G1117">
            <v>0</v>
          </cell>
          <cell r="H1117">
            <v>1</v>
          </cell>
        </row>
        <row r="1118">
          <cell r="B1118" t="str">
            <v>504 2013 10 1212 00001</v>
          </cell>
          <cell r="C1118">
            <v>5042013121200000</v>
          </cell>
          <cell r="D1118">
            <v>0.38921038323877505</v>
          </cell>
          <cell r="F1118">
            <v>0.61078961676122501</v>
          </cell>
          <cell r="G1118">
            <v>0</v>
          </cell>
          <cell r="H1118">
            <v>1</v>
          </cell>
        </row>
        <row r="1119">
          <cell r="B1119" t="str">
            <v>504 2014 10 1221 00001</v>
          </cell>
          <cell r="C1119">
            <v>5042014122100000</v>
          </cell>
          <cell r="D1119">
            <v>1</v>
          </cell>
          <cell r="F1119">
            <v>0</v>
          </cell>
          <cell r="G1119">
            <v>0</v>
          </cell>
          <cell r="H1119">
            <v>1</v>
          </cell>
        </row>
        <row r="1120">
          <cell r="B1120" t="str">
            <v>504 2013 10 1211 00004</v>
          </cell>
          <cell r="C1120">
            <v>5042013121100010</v>
          </cell>
          <cell r="D1120">
            <v>0.625</v>
          </cell>
          <cell r="F1120">
            <v>0.375</v>
          </cell>
          <cell r="G1120">
            <v>0</v>
          </cell>
          <cell r="H1120">
            <v>1</v>
          </cell>
        </row>
        <row r="1121">
          <cell r="B1121" t="str">
            <v>504 2014 10 1211 00003</v>
          </cell>
          <cell r="C1121">
            <v>5042014121100010</v>
          </cell>
          <cell r="D1121">
            <v>1</v>
          </cell>
          <cell r="F1121">
            <v>0</v>
          </cell>
          <cell r="G1121">
            <v>0</v>
          </cell>
          <cell r="H1121">
            <v>1</v>
          </cell>
        </row>
        <row r="1122">
          <cell r="B1122" t="str">
            <v>505 2014 10 1211 00023</v>
          </cell>
          <cell r="C1122">
            <v>5052014121100070</v>
          </cell>
          <cell r="D1122">
            <v>0.32341549364147415</v>
          </cell>
          <cell r="F1122">
            <v>0.67658450635852585</v>
          </cell>
          <cell r="G1122">
            <v>0</v>
          </cell>
          <cell r="H1122">
            <v>1</v>
          </cell>
        </row>
        <row r="1123">
          <cell r="B1123" t="str">
            <v>203 2013 10 1211 00003</v>
          </cell>
          <cell r="C1123">
            <v>2032013121100120</v>
          </cell>
          <cell r="D1123">
            <v>0.28239389219784183</v>
          </cell>
          <cell r="F1123">
            <v>0.71760610780215817</v>
          </cell>
          <cell r="G1123">
            <v>0</v>
          </cell>
          <cell r="H1123">
            <v>1</v>
          </cell>
        </row>
        <row r="1124">
          <cell r="B1124" t="str">
            <v>201 2012 10 1211 00006</v>
          </cell>
          <cell r="C1124">
            <v>2012012121100000</v>
          </cell>
          <cell r="D1124">
            <v>7.2738201232028885E-2</v>
          </cell>
          <cell r="F1124">
            <v>0.9272617987679711</v>
          </cell>
          <cell r="G1124">
            <v>0</v>
          </cell>
          <cell r="H1124">
            <v>1</v>
          </cell>
        </row>
        <row r="1125">
          <cell r="B1125" t="str">
            <v>201 2013 10 1211 00006</v>
          </cell>
          <cell r="C1125">
            <v>2012013121100070</v>
          </cell>
          <cell r="D1125">
            <v>5.8823529411764705E-2</v>
          </cell>
          <cell r="F1125">
            <v>0.94117647058823528</v>
          </cell>
          <cell r="G1125">
            <v>0</v>
          </cell>
          <cell r="H1125">
            <v>1</v>
          </cell>
        </row>
        <row r="1126">
          <cell r="B1126" t="str">
            <v>201 2013 10 1211 00006</v>
          </cell>
          <cell r="C1126">
            <v>2012013121100210</v>
          </cell>
          <cell r="D1126">
            <v>5.8823529411764705E-2</v>
          </cell>
          <cell r="F1126">
            <v>0.94117647058823528</v>
          </cell>
          <cell r="G1126">
            <v>0</v>
          </cell>
          <cell r="H1126">
            <v>1</v>
          </cell>
        </row>
        <row r="1127">
          <cell r="B1127" t="str">
            <v>503 2013 10 1211 00013</v>
          </cell>
          <cell r="C1127">
            <v>5032013121100060</v>
          </cell>
          <cell r="D1127">
            <v>0.23670133100850968</v>
          </cell>
          <cell r="F1127">
            <v>0.76329866899149035</v>
          </cell>
          <cell r="G1127">
            <v>0</v>
          </cell>
          <cell r="H1127">
            <v>1</v>
          </cell>
        </row>
        <row r="1128">
          <cell r="B1128" t="str">
            <v>112 2010 10 1212 00003</v>
          </cell>
          <cell r="C1128">
            <v>1122011121200000</v>
          </cell>
          <cell r="D1128">
            <v>1</v>
          </cell>
          <cell r="F1128">
            <v>0</v>
          </cell>
          <cell r="G1128">
            <v>0</v>
          </cell>
          <cell r="H1128">
            <v>1</v>
          </cell>
        </row>
        <row r="1129">
          <cell r="B1129" t="str">
            <v>505 2014 10 1211 00006</v>
          </cell>
          <cell r="C1129">
            <v>5052014121100060</v>
          </cell>
          <cell r="D1129">
            <v>5.8823529411764705E-2</v>
          </cell>
          <cell r="F1129">
            <v>0.94117647058823528</v>
          </cell>
          <cell r="G1129">
            <v>0</v>
          </cell>
          <cell r="H1129">
            <v>1</v>
          </cell>
        </row>
        <row r="1130">
          <cell r="B1130" t="str">
            <v>505 2013 10 1211 00016</v>
          </cell>
          <cell r="C1130">
            <v>5052013121100010</v>
          </cell>
          <cell r="D1130">
            <v>8.0904816241931299E-2</v>
          </cell>
          <cell r="F1130">
            <v>0.91909518375806876</v>
          </cell>
          <cell r="G1130">
            <v>0</v>
          </cell>
          <cell r="H1130">
            <v>1</v>
          </cell>
        </row>
        <row r="1131">
          <cell r="B1131" t="str">
            <v>505 2012 10 1211 00005</v>
          </cell>
          <cell r="C1131">
            <v>5052012121100020</v>
          </cell>
          <cell r="D1131">
            <v>1</v>
          </cell>
          <cell r="F1131">
            <v>0</v>
          </cell>
          <cell r="G1131">
            <v>0</v>
          </cell>
          <cell r="H1131">
            <v>1</v>
          </cell>
        </row>
        <row r="1132">
          <cell r="B1132" t="str">
            <v>505 2013 10 1211 00011</v>
          </cell>
          <cell r="C1132">
            <v>5052013121100020</v>
          </cell>
          <cell r="D1132">
            <v>1</v>
          </cell>
          <cell r="F1132">
            <v>0</v>
          </cell>
          <cell r="G1132">
            <v>0</v>
          </cell>
          <cell r="H1132">
            <v>1</v>
          </cell>
        </row>
        <row r="1133">
          <cell r="B1133" t="str">
            <v>505 2014 10 1211 00006</v>
          </cell>
          <cell r="C1133">
            <v>5052014121100030</v>
          </cell>
          <cell r="D1133">
            <v>5.8823529411764705E-2</v>
          </cell>
          <cell r="F1133">
            <v>0.94117647058823528</v>
          </cell>
          <cell r="G1133">
            <v>0</v>
          </cell>
          <cell r="H1133">
            <v>1</v>
          </cell>
        </row>
        <row r="1134">
          <cell r="B1134" t="str">
            <v>505 2014 10 1211 00006</v>
          </cell>
          <cell r="C1134">
            <v>5052014121100040</v>
          </cell>
          <cell r="D1134">
            <v>5.8823529411764705E-2</v>
          </cell>
          <cell r="F1134">
            <v>0.94117647058823528</v>
          </cell>
          <cell r="G1134">
            <v>0</v>
          </cell>
          <cell r="H1134">
            <v>1</v>
          </cell>
        </row>
        <row r="1135">
          <cell r="B1135" t="str">
            <v>505 2013 10 1211 00006</v>
          </cell>
          <cell r="C1135">
            <v>5052013121100050</v>
          </cell>
          <cell r="D1135">
            <v>0.33624747814391392</v>
          </cell>
          <cell r="F1135">
            <v>0.66375252185608602</v>
          </cell>
          <cell r="G1135">
            <v>0</v>
          </cell>
          <cell r="H1135">
            <v>1</v>
          </cell>
        </row>
        <row r="1136">
          <cell r="B1136" t="str">
            <v>505 2014 10 1211 00022</v>
          </cell>
          <cell r="C1136">
            <v>5052014121100060</v>
          </cell>
          <cell r="D1136">
            <v>0.32341549364147415</v>
          </cell>
          <cell r="F1136">
            <v>0.67658450635852585</v>
          </cell>
          <cell r="G1136">
            <v>0</v>
          </cell>
          <cell r="H1136">
            <v>1</v>
          </cell>
        </row>
        <row r="1137">
          <cell r="B1137" t="str">
            <v>505 2013 10 1211 00005</v>
          </cell>
          <cell r="C1137">
            <v>5052013121100050</v>
          </cell>
          <cell r="D1137">
            <v>0.33624747814391392</v>
          </cell>
          <cell r="F1137">
            <v>0.66375252185608602</v>
          </cell>
          <cell r="G1137">
            <v>0</v>
          </cell>
          <cell r="H1137">
            <v>1</v>
          </cell>
        </row>
        <row r="1138">
          <cell r="B1138" t="str">
            <v>505 2014 10 1211 00020</v>
          </cell>
          <cell r="C1138">
            <v>5052014121100060</v>
          </cell>
          <cell r="D1138">
            <v>0.28486827155001443</v>
          </cell>
          <cell r="F1138">
            <v>0.71513172844998563</v>
          </cell>
          <cell r="G1138">
            <v>0</v>
          </cell>
          <cell r="H1138">
            <v>1</v>
          </cell>
        </row>
        <row r="1139">
          <cell r="B1139" t="str">
            <v>505 2014 10 1211 00006</v>
          </cell>
          <cell r="C1139">
            <v>5052014121100060</v>
          </cell>
          <cell r="D1139">
            <v>5.8823529411764705E-2</v>
          </cell>
          <cell r="F1139">
            <v>0.94117647058823528</v>
          </cell>
          <cell r="G1139">
            <v>0</v>
          </cell>
          <cell r="H1139">
            <v>1</v>
          </cell>
        </row>
        <row r="1140">
          <cell r="B1140" t="str">
            <v>504 2014 10 1212 00001</v>
          </cell>
          <cell r="C1140">
            <v>5042014121200000</v>
          </cell>
          <cell r="D1140">
            <v>6.6666666666666666E-2</v>
          </cell>
          <cell r="F1140">
            <v>0.93333333333333335</v>
          </cell>
          <cell r="G1140">
            <v>0</v>
          </cell>
          <cell r="H1140">
            <v>1</v>
          </cell>
        </row>
        <row r="1141">
          <cell r="B1141" t="str">
            <v>505 2013 10 1211 00006</v>
          </cell>
          <cell r="C1141">
            <v>5052013121100060</v>
          </cell>
          <cell r="D1141">
            <v>0.33624747814391392</v>
          </cell>
          <cell r="F1141">
            <v>0.66375252185608602</v>
          </cell>
          <cell r="G1141">
            <v>0</v>
          </cell>
          <cell r="H1141">
            <v>1</v>
          </cell>
        </row>
        <row r="1142">
          <cell r="B1142" t="str">
            <v>505 2013 10 1211 00016</v>
          </cell>
          <cell r="C1142">
            <v>5052013121100070</v>
          </cell>
          <cell r="D1142">
            <v>8.0904816241931299E-2</v>
          </cell>
          <cell r="F1142">
            <v>0.91909518375806876</v>
          </cell>
          <cell r="G1142">
            <v>0</v>
          </cell>
          <cell r="H1142">
            <v>1</v>
          </cell>
        </row>
        <row r="1143">
          <cell r="B1143" t="str">
            <v>110 2014 10 1222 00008</v>
          </cell>
          <cell r="C1143">
            <v>1102014122200000</v>
          </cell>
          <cell r="D1143">
            <v>1</v>
          </cell>
          <cell r="F1143">
            <v>0</v>
          </cell>
          <cell r="G1143">
            <v>0</v>
          </cell>
          <cell r="H1143">
            <v>1</v>
          </cell>
        </row>
        <row r="1144">
          <cell r="B1144" t="str">
            <v>502 2011 10 1223 00001</v>
          </cell>
          <cell r="C1144">
            <v>5022011122300020</v>
          </cell>
          <cell r="D1144">
            <v>6.0351029647433684E-2</v>
          </cell>
          <cell r="F1144">
            <v>0.93964897035256634</v>
          </cell>
          <cell r="G1144">
            <v>0</v>
          </cell>
          <cell r="H1144">
            <v>1</v>
          </cell>
        </row>
        <row r="1145">
          <cell r="B1145" t="str">
            <v>505 2014 10 1211 00006</v>
          </cell>
          <cell r="C1145">
            <v>5052014121100050</v>
          </cell>
          <cell r="D1145">
            <v>5.8823529411764705E-2</v>
          </cell>
          <cell r="F1145">
            <v>0.94117647058823528</v>
          </cell>
          <cell r="G1145">
            <v>0</v>
          </cell>
          <cell r="H1145">
            <v>1</v>
          </cell>
        </row>
        <row r="1146">
          <cell r="B1146" t="str">
            <v>505 2013 60 1211 00001</v>
          </cell>
          <cell r="C1146">
            <v>5052013121100060</v>
          </cell>
          <cell r="D1146">
            <v>0.31290076486414181</v>
          </cell>
          <cell r="F1146">
            <v>0.68709923513585824</v>
          </cell>
          <cell r="G1146">
            <v>0</v>
          </cell>
          <cell r="H1146">
            <v>1</v>
          </cell>
        </row>
        <row r="1147">
          <cell r="B1147" t="str">
            <v>505 2014 10 1211 00006</v>
          </cell>
          <cell r="C1147">
            <v>5052014121100070</v>
          </cell>
          <cell r="D1147">
            <v>5.8823529411764705E-2</v>
          </cell>
          <cell r="F1147">
            <v>0.94117647058823528</v>
          </cell>
          <cell r="G1147">
            <v>0</v>
          </cell>
          <cell r="H1147">
            <v>1</v>
          </cell>
        </row>
        <row r="1148">
          <cell r="B1148" t="str">
            <v>504 2014 10 1221 00002</v>
          </cell>
          <cell r="C1148">
            <v>5042014122100000</v>
          </cell>
          <cell r="D1148">
            <v>1</v>
          </cell>
          <cell r="F1148">
            <v>0</v>
          </cell>
          <cell r="G1148">
            <v>0</v>
          </cell>
          <cell r="H1148">
            <v>1</v>
          </cell>
        </row>
        <row r="1149">
          <cell r="B1149" t="str">
            <v>504 2014 10 1211 00004</v>
          </cell>
          <cell r="C1149">
            <v>5042014121100000</v>
          </cell>
          <cell r="D1149">
            <v>0.625</v>
          </cell>
          <cell r="F1149">
            <v>0.375</v>
          </cell>
          <cell r="G1149">
            <v>0</v>
          </cell>
          <cell r="H1149">
            <v>1</v>
          </cell>
        </row>
        <row r="1150">
          <cell r="B1150" t="str">
            <v>504 2014 10 1211 00004</v>
          </cell>
          <cell r="C1150">
            <v>5042014121100010</v>
          </cell>
          <cell r="D1150">
            <v>0.625</v>
          </cell>
          <cell r="F1150">
            <v>0.375</v>
          </cell>
          <cell r="G1150">
            <v>0</v>
          </cell>
          <cell r="H1150">
            <v>1</v>
          </cell>
        </row>
        <row r="1151">
          <cell r="B1151" t="str">
            <v>504 2014 10 1211 00004</v>
          </cell>
          <cell r="C1151">
            <v>5042014121100010</v>
          </cell>
          <cell r="D1151">
            <v>0.625</v>
          </cell>
          <cell r="F1151">
            <v>0.375</v>
          </cell>
          <cell r="G1151">
            <v>0</v>
          </cell>
          <cell r="H1151">
            <v>1</v>
          </cell>
        </row>
        <row r="1152">
          <cell r="B1152" t="str">
            <v>304 2013 10 1212 00001</v>
          </cell>
          <cell r="C1152">
            <v>3042013121200000</v>
          </cell>
          <cell r="D1152">
            <v>0.100779560241988</v>
          </cell>
          <cell r="F1152">
            <v>0.89922043975801202</v>
          </cell>
          <cell r="G1152">
            <v>0</v>
          </cell>
          <cell r="H1152">
            <v>1</v>
          </cell>
        </row>
        <row r="1153">
          <cell r="B1153" t="str">
            <v>502 2010 10 1223 00001</v>
          </cell>
          <cell r="C1153">
            <v>5022010122300000</v>
          </cell>
          <cell r="D1153">
            <v>5.062112490193859E-2</v>
          </cell>
          <cell r="E1153">
            <v>4.7468943754903077E-2</v>
          </cell>
          <cell r="F1153">
            <v>0.90190993134315833</v>
          </cell>
          <cell r="G1153">
            <v>0</v>
          </cell>
          <cell r="H1153">
            <v>1</v>
          </cell>
        </row>
        <row r="1154">
          <cell r="B1154" t="str">
            <v>209 2013 10 1222 00006</v>
          </cell>
          <cell r="C1154">
            <v>2092014122200000</v>
          </cell>
          <cell r="D1154">
            <v>1</v>
          </cell>
          <cell r="F1154">
            <v>0</v>
          </cell>
          <cell r="G1154">
            <v>0</v>
          </cell>
          <cell r="H1154">
            <v>1</v>
          </cell>
        </row>
        <row r="1155">
          <cell r="B1155" t="str">
            <v>505 2014 10 1211 00012</v>
          </cell>
          <cell r="C1155">
            <v>5052014121100060</v>
          </cell>
          <cell r="D1155">
            <v>1</v>
          </cell>
          <cell r="F1155">
            <v>0</v>
          </cell>
          <cell r="G1155">
            <v>0</v>
          </cell>
          <cell r="H1155">
            <v>1</v>
          </cell>
        </row>
        <row r="1156">
          <cell r="B1156" t="str">
            <v>505 2014 10 1211 00006</v>
          </cell>
          <cell r="C1156">
            <v>5052014121100070</v>
          </cell>
          <cell r="D1156">
            <v>5.8823529411764705E-2</v>
          </cell>
          <cell r="F1156">
            <v>0.94117647058823528</v>
          </cell>
          <cell r="G1156">
            <v>0</v>
          </cell>
          <cell r="H1156">
            <v>1</v>
          </cell>
        </row>
        <row r="1157">
          <cell r="B1157" t="str">
            <v>505 2013 10 1211 00005</v>
          </cell>
          <cell r="C1157">
            <v>5052013121100070</v>
          </cell>
          <cell r="D1157">
            <v>0.33624747814391392</v>
          </cell>
          <cell r="F1157">
            <v>0.66375252185608602</v>
          </cell>
          <cell r="G1157">
            <v>0</v>
          </cell>
          <cell r="H1157">
            <v>1</v>
          </cell>
        </row>
        <row r="1158">
          <cell r="B1158" t="str">
            <v>505 2014 10 1211 00011</v>
          </cell>
          <cell r="C1158">
            <v>5052014121100070</v>
          </cell>
          <cell r="D1158">
            <v>1</v>
          </cell>
          <cell r="F1158">
            <v>0</v>
          </cell>
          <cell r="G1158">
            <v>0</v>
          </cell>
          <cell r="H1158">
            <v>1</v>
          </cell>
        </row>
        <row r="1159">
          <cell r="B1159" t="str">
            <v>110 2013 60 1212 00002</v>
          </cell>
          <cell r="C1159">
            <v>1102013121200000</v>
          </cell>
          <cell r="D1159">
            <v>0.19263368777931886</v>
          </cell>
          <cell r="F1159">
            <v>0.80736631222068111</v>
          </cell>
          <cell r="G1159">
            <v>0</v>
          </cell>
          <cell r="H1159">
            <v>1</v>
          </cell>
        </row>
        <row r="1160">
          <cell r="B1160" t="str">
            <v>110 2013 60 1211 00002</v>
          </cell>
          <cell r="C1160">
            <v>1102013121100000</v>
          </cell>
          <cell r="D1160">
            <v>1</v>
          </cell>
          <cell r="F1160">
            <v>0</v>
          </cell>
          <cell r="G1160">
            <v>0</v>
          </cell>
          <cell r="H1160">
            <v>1</v>
          </cell>
        </row>
        <row r="1161">
          <cell r="B1161" t="str">
            <v>504 2012 10 1222 00001</v>
          </cell>
          <cell r="C1161">
            <v>5042012122200000</v>
          </cell>
          <cell r="D1161">
            <v>1</v>
          </cell>
          <cell r="F1161">
            <v>0</v>
          </cell>
          <cell r="G1161">
            <v>0</v>
          </cell>
          <cell r="H1161">
            <v>1</v>
          </cell>
        </row>
        <row r="1162">
          <cell r="B1162" t="str">
            <v>304 2013 10 1212 00001</v>
          </cell>
          <cell r="C1162">
            <v>3042014121200000</v>
          </cell>
          <cell r="D1162">
            <v>0.100779560241988</v>
          </cell>
          <cell r="F1162">
            <v>0.89922043975801202</v>
          </cell>
          <cell r="G1162">
            <v>0</v>
          </cell>
          <cell r="H1162">
            <v>1</v>
          </cell>
        </row>
        <row r="1163">
          <cell r="B1163" t="str">
            <v>502 2012 10 1211 00008</v>
          </cell>
          <cell r="C1163">
            <v>5022012121100000</v>
          </cell>
          <cell r="D1163">
            <v>0.14905974796491736</v>
          </cell>
          <cell r="F1163">
            <v>0.85094025203508261</v>
          </cell>
          <cell r="G1163">
            <v>0</v>
          </cell>
          <cell r="H1163">
            <v>1</v>
          </cell>
        </row>
        <row r="1164">
          <cell r="B1164" t="str">
            <v>204 2012 10 1211 00016</v>
          </cell>
          <cell r="C1164">
            <v>2042013121100000</v>
          </cell>
          <cell r="D1164">
            <v>1.6128605630431711E-2</v>
          </cell>
          <cell r="F1164">
            <v>0.18387139436956823</v>
          </cell>
          <cell r="G1164">
            <v>0.8</v>
          </cell>
          <cell r="H1164">
            <v>1</v>
          </cell>
        </row>
        <row r="1165">
          <cell r="B1165" t="str">
            <v>110 2014 60 1212 00001</v>
          </cell>
          <cell r="C1165">
            <v>1102014121200000</v>
          </cell>
          <cell r="D1165">
            <v>0.19263368777931886</v>
          </cell>
          <cell r="F1165">
            <v>0.80736631222068111</v>
          </cell>
          <cell r="G1165">
            <v>0</v>
          </cell>
          <cell r="H1165">
            <v>1</v>
          </cell>
        </row>
        <row r="1166">
          <cell r="B1166" t="str">
            <v>505 2014 10 1211 00022</v>
          </cell>
          <cell r="C1166">
            <v>5052014121100060</v>
          </cell>
          <cell r="D1166">
            <v>0.32341549364147415</v>
          </cell>
          <cell r="F1166">
            <v>0.67658450635852585</v>
          </cell>
          <cell r="G1166">
            <v>0</v>
          </cell>
          <cell r="H1166">
            <v>1</v>
          </cell>
        </row>
        <row r="1167">
          <cell r="B1167" t="str">
            <v>505 2014 10 1211 00023</v>
          </cell>
          <cell r="C1167">
            <v>5052014121100070</v>
          </cell>
          <cell r="D1167">
            <v>0.32341549364147415</v>
          </cell>
          <cell r="F1167">
            <v>0.67658450635852585</v>
          </cell>
          <cell r="G1167">
            <v>0</v>
          </cell>
          <cell r="H1167">
            <v>1</v>
          </cell>
        </row>
        <row r="1168">
          <cell r="B1168" t="str">
            <v>505 2013 10 1211 00012</v>
          </cell>
          <cell r="C1168">
            <v>5052013121100070</v>
          </cell>
          <cell r="D1168">
            <v>1</v>
          </cell>
          <cell r="F1168">
            <v>0</v>
          </cell>
          <cell r="G1168">
            <v>0</v>
          </cell>
          <cell r="H1168">
            <v>1</v>
          </cell>
        </row>
        <row r="1169">
          <cell r="B1169" t="str">
            <v>207 2010 10 1211 00001</v>
          </cell>
          <cell r="C1169">
            <v>2072010121100000</v>
          </cell>
          <cell r="D1169">
            <v>5.6740349906406799E-2</v>
          </cell>
          <cell r="E1169">
            <v>4.7162982504679665E-2</v>
          </cell>
          <cell r="F1169">
            <v>0.8960966675889136</v>
          </cell>
          <cell r="G1169">
            <v>0</v>
          </cell>
          <cell r="H1169">
            <v>1</v>
          </cell>
        </row>
        <row r="1170">
          <cell r="B1170" t="str">
            <v>207 2012 10 1212 00003</v>
          </cell>
          <cell r="C1170">
            <v>2072013121200000</v>
          </cell>
          <cell r="D1170">
            <v>0.28104822252156691</v>
          </cell>
          <cell r="F1170">
            <v>0.71895177747843309</v>
          </cell>
          <cell r="G1170">
            <v>0</v>
          </cell>
          <cell r="H1170">
            <v>1</v>
          </cell>
        </row>
        <row r="1171">
          <cell r="B1171" t="str">
            <v>504 2014 10 1211 00004</v>
          </cell>
          <cell r="C1171">
            <v>5042014121100000</v>
          </cell>
          <cell r="D1171">
            <v>0.625</v>
          </cell>
          <cell r="F1171">
            <v>0.375</v>
          </cell>
          <cell r="G1171">
            <v>0</v>
          </cell>
          <cell r="H1171">
            <v>1</v>
          </cell>
        </row>
        <row r="1172">
          <cell r="B1172" t="str">
            <v>504 2014 10 1211 00003</v>
          </cell>
          <cell r="C1172">
            <v>5042014121100010</v>
          </cell>
          <cell r="D1172">
            <v>1</v>
          </cell>
          <cell r="F1172">
            <v>0</v>
          </cell>
          <cell r="G1172">
            <v>0</v>
          </cell>
          <cell r="H1172">
            <v>1</v>
          </cell>
        </row>
        <row r="1173">
          <cell r="B1173" t="str">
            <v>505 2012 10 1212 00001</v>
          </cell>
          <cell r="C1173">
            <v>5052013121200000</v>
          </cell>
          <cell r="D1173">
            <v>1</v>
          </cell>
          <cell r="F1173">
            <v>0</v>
          </cell>
          <cell r="G1173">
            <v>0</v>
          </cell>
          <cell r="H1173">
            <v>1</v>
          </cell>
        </row>
        <row r="1174">
          <cell r="B1174" t="str">
            <v>505 2013 10 1212 00001</v>
          </cell>
          <cell r="C1174">
            <v>5052014121200000</v>
          </cell>
          <cell r="D1174">
            <v>1</v>
          </cell>
          <cell r="F1174">
            <v>0</v>
          </cell>
          <cell r="G1174">
            <v>0</v>
          </cell>
          <cell r="H1174">
            <v>1</v>
          </cell>
        </row>
        <row r="1175">
          <cell r="B1175" t="str">
            <v>505 2014 10 1211 00019</v>
          </cell>
          <cell r="C1175">
            <v>5052014121100010</v>
          </cell>
          <cell r="D1175">
            <v>0.77524408715132775</v>
          </cell>
          <cell r="F1175">
            <v>0.22475591284867225</v>
          </cell>
          <cell r="G1175">
            <v>0</v>
          </cell>
          <cell r="H1175">
            <v>1</v>
          </cell>
        </row>
        <row r="1176">
          <cell r="B1176" t="str">
            <v>505 2014 10 1211 00023</v>
          </cell>
          <cell r="C1176">
            <v>5052014121100010</v>
          </cell>
          <cell r="D1176">
            <v>0.32341549364147415</v>
          </cell>
          <cell r="F1176">
            <v>0.67658450635852585</v>
          </cell>
          <cell r="G1176">
            <v>0</v>
          </cell>
          <cell r="H1176">
            <v>1</v>
          </cell>
        </row>
        <row r="1177">
          <cell r="B1177" t="str">
            <v>505 2013 10 1211 00012</v>
          </cell>
          <cell r="C1177">
            <v>5052013121100010</v>
          </cell>
          <cell r="D1177">
            <v>1</v>
          </cell>
          <cell r="F1177">
            <v>0</v>
          </cell>
          <cell r="G1177">
            <v>0</v>
          </cell>
          <cell r="H1177">
            <v>1</v>
          </cell>
        </row>
        <row r="1178">
          <cell r="B1178" t="str">
            <v>503 2013 10 1211 00006</v>
          </cell>
          <cell r="C1178">
            <v>5032013121100040</v>
          </cell>
          <cell r="D1178">
            <v>0.33849737527239626</v>
          </cell>
          <cell r="F1178">
            <v>0.66150262472760368</v>
          </cell>
          <cell r="G1178">
            <v>0</v>
          </cell>
          <cell r="H1178">
            <v>1</v>
          </cell>
        </row>
        <row r="1179">
          <cell r="B1179" t="str">
            <v>503 2013 10 1211 00008</v>
          </cell>
          <cell r="C1179">
            <v>5032013121100080</v>
          </cell>
          <cell r="D1179">
            <v>0.93283582089552242</v>
          </cell>
          <cell r="F1179">
            <v>6.7164179104477584E-2</v>
          </cell>
          <cell r="G1179">
            <v>0</v>
          </cell>
          <cell r="H1179">
            <v>1</v>
          </cell>
        </row>
        <row r="1180">
          <cell r="B1180" t="str">
            <v>505 2014 10 1211 00020</v>
          </cell>
          <cell r="C1180">
            <v>5052014121100040</v>
          </cell>
          <cell r="D1180">
            <v>0.28486827155001443</v>
          </cell>
          <cell r="F1180">
            <v>0.71513172844998563</v>
          </cell>
          <cell r="G1180">
            <v>0</v>
          </cell>
          <cell r="H1180">
            <v>1</v>
          </cell>
        </row>
        <row r="1181">
          <cell r="B1181" t="str">
            <v>505 2014 10 1211 00018</v>
          </cell>
          <cell r="C1181">
            <v>5052014121100060</v>
          </cell>
          <cell r="D1181">
            <v>1</v>
          </cell>
          <cell r="F1181">
            <v>0</v>
          </cell>
          <cell r="G1181">
            <v>0</v>
          </cell>
          <cell r="H1181">
            <v>1</v>
          </cell>
        </row>
        <row r="1182">
          <cell r="B1182" t="str">
            <v>505 2013 10 1211 00016</v>
          </cell>
          <cell r="C1182">
            <v>5052013121100070</v>
          </cell>
          <cell r="D1182">
            <v>8.0904816241931299E-2</v>
          </cell>
          <cell r="F1182">
            <v>0.91909518375806876</v>
          </cell>
          <cell r="G1182">
            <v>0</v>
          </cell>
          <cell r="H1182">
            <v>1</v>
          </cell>
        </row>
        <row r="1183">
          <cell r="B1183" t="str">
            <v>502 2010 10 1223 00001</v>
          </cell>
          <cell r="C1183">
            <v>5022010122300010</v>
          </cell>
          <cell r="D1183">
            <v>5.062112490193859E-2</v>
          </cell>
          <cell r="E1183">
            <v>4.7468943754903077E-2</v>
          </cell>
          <cell r="F1183">
            <v>0.90190993134315833</v>
          </cell>
          <cell r="G1183">
            <v>0</v>
          </cell>
          <cell r="H1183">
            <v>1</v>
          </cell>
        </row>
        <row r="1184">
          <cell r="B1184" t="str">
            <v>502 2011 10 1223 00001</v>
          </cell>
          <cell r="C1184">
            <v>5022011122300020</v>
          </cell>
          <cell r="D1184">
            <v>6.0351029647433684E-2</v>
          </cell>
          <cell r="F1184">
            <v>0.93964897035256634</v>
          </cell>
          <cell r="G1184">
            <v>0</v>
          </cell>
          <cell r="H1184">
            <v>1</v>
          </cell>
        </row>
        <row r="1185">
          <cell r="B1185" t="str">
            <v>505 2012 10 1212 00001</v>
          </cell>
          <cell r="C1185">
            <v>5052013121200000</v>
          </cell>
          <cell r="D1185">
            <v>1</v>
          </cell>
          <cell r="F1185">
            <v>0</v>
          </cell>
          <cell r="G1185">
            <v>0</v>
          </cell>
          <cell r="H1185">
            <v>1</v>
          </cell>
        </row>
        <row r="1186">
          <cell r="B1186" t="str">
            <v>505 2014 10 1211 00019</v>
          </cell>
          <cell r="C1186">
            <v>5052014121100060</v>
          </cell>
          <cell r="D1186">
            <v>0.77524408715132775</v>
          </cell>
          <cell r="F1186">
            <v>0.22475591284867225</v>
          </cell>
          <cell r="G1186">
            <v>0</v>
          </cell>
          <cell r="H1186">
            <v>1</v>
          </cell>
        </row>
        <row r="1187">
          <cell r="B1187" t="str">
            <v>505 2014 10 1211 00006</v>
          </cell>
          <cell r="C1187">
            <v>5052014121100060</v>
          </cell>
          <cell r="D1187">
            <v>5.8823529411764705E-2</v>
          </cell>
          <cell r="F1187">
            <v>0.94117647058823528</v>
          </cell>
          <cell r="G1187">
            <v>0</v>
          </cell>
          <cell r="H1187">
            <v>1</v>
          </cell>
        </row>
        <row r="1188">
          <cell r="B1188" t="str">
            <v>505 2013 10 1211 00020</v>
          </cell>
          <cell r="C1188">
            <v>5052013121100070</v>
          </cell>
          <cell r="D1188">
            <v>0.77524408715132775</v>
          </cell>
          <cell r="F1188">
            <v>0.22475591284867225</v>
          </cell>
          <cell r="G1188">
            <v>0</v>
          </cell>
          <cell r="H1188">
            <v>1</v>
          </cell>
        </row>
        <row r="1189">
          <cell r="B1189" t="str">
            <v>505 2014 10 1211 00009</v>
          </cell>
          <cell r="C1189">
            <v>5052014121100070</v>
          </cell>
          <cell r="D1189">
            <v>1</v>
          </cell>
          <cell r="F1189">
            <v>0</v>
          </cell>
          <cell r="G1189">
            <v>0</v>
          </cell>
          <cell r="H1189">
            <v>1</v>
          </cell>
        </row>
        <row r="1190">
          <cell r="B1190" t="str">
            <v>113 2013 10 1222 00004</v>
          </cell>
          <cell r="C1190">
            <v>1132013122200000</v>
          </cell>
          <cell r="D1190">
            <v>1</v>
          </cell>
          <cell r="F1190">
            <v>0</v>
          </cell>
          <cell r="G1190">
            <v>0</v>
          </cell>
          <cell r="H1190">
            <v>1</v>
          </cell>
        </row>
        <row r="1191">
          <cell r="B1191" t="str">
            <v>503 2012 10 1211 00003</v>
          </cell>
          <cell r="C1191">
            <v>5032012121100010</v>
          </cell>
          <cell r="D1191">
            <v>0.24075842432216951</v>
          </cell>
          <cell r="F1191">
            <v>0.75924157567783046</v>
          </cell>
          <cell r="G1191">
            <v>0</v>
          </cell>
          <cell r="H1191">
            <v>1</v>
          </cell>
        </row>
        <row r="1192">
          <cell r="B1192" t="str">
            <v>201 2014 10 1221 00004</v>
          </cell>
          <cell r="C1192">
            <v>2012014122100000</v>
          </cell>
          <cell r="D1192">
            <v>0.75306526631710335</v>
          </cell>
          <cell r="F1192">
            <v>0.24693473368289665</v>
          </cell>
          <cell r="G1192">
            <v>0</v>
          </cell>
          <cell r="H1192">
            <v>1</v>
          </cell>
        </row>
        <row r="1193">
          <cell r="B1193" t="str">
            <v>201 2013 10 1212 00004</v>
          </cell>
          <cell r="C1193">
            <v>2012013121200020</v>
          </cell>
          <cell r="D1193">
            <v>7.2463768115942032E-2</v>
          </cell>
          <cell r="F1193">
            <v>0.92753623188405798</v>
          </cell>
          <cell r="G1193">
            <v>0</v>
          </cell>
          <cell r="H1193">
            <v>1</v>
          </cell>
        </row>
        <row r="1194">
          <cell r="B1194" t="str">
            <v>201 2014 10 1211 00006</v>
          </cell>
          <cell r="C1194">
            <v>2012014121100120</v>
          </cell>
          <cell r="D1194">
            <v>5.4945054945054937E-2</v>
          </cell>
          <cell r="F1194">
            <v>0.94505494505494503</v>
          </cell>
          <cell r="G1194">
            <v>0</v>
          </cell>
          <cell r="H1194">
            <v>1</v>
          </cell>
        </row>
        <row r="1195">
          <cell r="B1195" t="str">
            <v>207 2014 10 1212 00001</v>
          </cell>
          <cell r="C1195">
            <v>2072014121200000</v>
          </cell>
          <cell r="D1195">
            <v>5.4945054945054944E-2</v>
          </cell>
          <cell r="F1195">
            <v>0.94505494505494503</v>
          </cell>
          <cell r="G1195">
            <v>0</v>
          </cell>
          <cell r="H1195">
            <v>1</v>
          </cell>
        </row>
        <row r="1196">
          <cell r="B1196" t="str">
            <v>207 2012 10 1212 00003</v>
          </cell>
          <cell r="C1196">
            <v>2072012121200000</v>
          </cell>
          <cell r="D1196">
            <v>0.28104822252156691</v>
          </cell>
          <cell r="F1196">
            <v>0.71895177747843309</v>
          </cell>
          <cell r="G1196">
            <v>0</v>
          </cell>
          <cell r="H1196">
            <v>1</v>
          </cell>
        </row>
        <row r="1197">
          <cell r="B1197" t="str">
            <v>207 2014 10 1212 00001</v>
          </cell>
          <cell r="C1197">
            <v>2072014121200000</v>
          </cell>
          <cell r="D1197">
            <v>5.4945054945054944E-2</v>
          </cell>
          <cell r="F1197">
            <v>0.94505494505494503</v>
          </cell>
          <cell r="G1197">
            <v>0</v>
          </cell>
          <cell r="H1197">
            <v>1</v>
          </cell>
        </row>
        <row r="1198">
          <cell r="B1198" t="str">
            <v>503 2014 10 1211 00005</v>
          </cell>
          <cell r="C1198">
            <v>5032014121100010</v>
          </cell>
          <cell r="D1198">
            <v>0.21973202882775583</v>
          </cell>
          <cell r="F1198">
            <v>0.78026797117224422</v>
          </cell>
          <cell r="G1198">
            <v>0</v>
          </cell>
          <cell r="H1198">
            <v>1</v>
          </cell>
        </row>
        <row r="1199">
          <cell r="B1199" t="str">
            <v>503 2014 10 1211 00003</v>
          </cell>
          <cell r="C1199">
            <v>5032014121100020</v>
          </cell>
          <cell r="D1199">
            <v>0.23526704079101265</v>
          </cell>
          <cell r="F1199">
            <v>0.76473295920898732</v>
          </cell>
          <cell r="G1199">
            <v>0</v>
          </cell>
          <cell r="H1199">
            <v>1</v>
          </cell>
        </row>
        <row r="1200">
          <cell r="B1200" t="str">
            <v>503 2013 10 1211 00015</v>
          </cell>
          <cell r="C1200">
            <v>5032013121100060</v>
          </cell>
          <cell r="D1200">
            <v>0.23719670219846067</v>
          </cell>
          <cell r="F1200">
            <v>0.76280329780153933</v>
          </cell>
          <cell r="G1200">
            <v>0</v>
          </cell>
          <cell r="H1200">
            <v>1</v>
          </cell>
        </row>
        <row r="1201">
          <cell r="B1201" t="str">
            <v>503 2013 10 1211 00004</v>
          </cell>
          <cell r="C1201">
            <v>5032013121100030</v>
          </cell>
          <cell r="D1201">
            <v>0.43936731107205623</v>
          </cell>
          <cell r="F1201">
            <v>0.56063268892794382</v>
          </cell>
          <cell r="G1201">
            <v>0</v>
          </cell>
          <cell r="H1201">
            <v>1</v>
          </cell>
        </row>
        <row r="1202">
          <cell r="B1202" t="str">
            <v>503 2014 10 1211 00005</v>
          </cell>
          <cell r="C1202">
            <v>5032014121100020</v>
          </cell>
          <cell r="D1202">
            <v>0.21973202882775583</v>
          </cell>
          <cell r="F1202">
            <v>0.78026797117224422</v>
          </cell>
          <cell r="G1202">
            <v>0</v>
          </cell>
          <cell r="H1202">
            <v>1</v>
          </cell>
        </row>
        <row r="1203">
          <cell r="B1203" t="str">
            <v>503 2013 10 1211 00018</v>
          </cell>
          <cell r="C1203">
            <v>5032014121100020</v>
          </cell>
          <cell r="D1203">
            <v>0.18115942028985507</v>
          </cell>
          <cell r="F1203">
            <v>0.8188405797101449</v>
          </cell>
          <cell r="G1203">
            <v>0</v>
          </cell>
          <cell r="H1203">
            <v>1</v>
          </cell>
        </row>
        <row r="1204">
          <cell r="B1204" t="str">
            <v>503 2013 10 1211 00016</v>
          </cell>
          <cell r="C1204">
            <v>5032013121100070</v>
          </cell>
          <cell r="D1204">
            <v>0.23104349318716322</v>
          </cell>
          <cell r="F1204">
            <v>0.76895650681283678</v>
          </cell>
          <cell r="G1204">
            <v>0</v>
          </cell>
          <cell r="H1204">
            <v>1</v>
          </cell>
        </row>
        <row r="1205">
          <cell r="B1205" t="str">
            <v>207 2012 10 1221 00004</v>
          </cell>
          <cell r="C1205">
            <v>2072013122100000</v>
          </cell>
          <cell r="D1205">
            <v>1</v>
          </cell>
          <cell r="F1205">
            <v>0</v>
          </cell>
          <cell r="G1205">
            <v>0</v>
          </cell>
          <cell r="H1205">
            <v>1</v>
          </cell>
        </row>
        <row r="1206">
          <cell r="B1206" t="str">
            <v>503 2014 10 1211 00006</v>
          </cell>
          <cell r="C1206">
            <v>5032014121100010</v>
          </cell>
          <cell r="D1206">
            <v>0.19722841456988308</v>
          </cell>
          <cell r="F1206">
            <v>0.80277158543011695</v>
          </cell>
          <cell r="G1206">
            <v>0</v>
          </cell>
          <cell r="H1206">
            <v>1</v>
          </cell>
        </row>
        <row r="1207">
          <cell r="B1207" t="str">
            <v>503 2014 10 1211 00004</v>
          </cell>
          <cell r="C1207">
            <v>5032014121100030</v>
          </cell>
          <cell r="D1207">
            <v>0.23433295795786754</v>
          </cell>
          <cell r="F1207">
            <v>0.76566704204213243</v>
          </cell>
          <cell r="G1207">
            <v>0</v>
          </cell>
          <cell r="H1207">
            <v>1</v>
          </cell>
        </row>
        <row r="1208">
          <cell r="B1208" t="str">
            <v>503 2014 10 1211 00006</v>
          </cell>
          <cell r="C1208">
            <v>5032014121100030</v>
          </cell>
          <cell r="D1208">
            <v>0.19722841456988308</v>
          </cell>
          <cell r="F1208">
            <v>0.80277158543011695</v>
          </cell>
          <cell r="G1208">
            <v>0</v>
          </cell>
          <cell r="H1208">
            <v>1</v>
          </cell>
        </row>
        <row r="1209">
          <cell r="B1209" t="str">
            <v>503 2013 10 1211 00001</v>
          </cell>
          <cell r="C1209">
            <v>5032013121100060</v>
          </cell>
          <cell r="D1209">
            <v>1</v>
          </cell>
          <cell r="F1209">
            <v>0</v>
          </cell>
          <cell r="G1209">
            <v>0</v>
          </cell>
          <cell r="H1209">
            <v>1</v>
          </cell>
        </row>
        <row r="1210">
          <cell r="B1210" t="str">
            <v>503 2013 10 1211 00013</v>
          </cell>
          <cell r="C1210">
            <v>5032013121100080</v>
          </cell>
          <cell r="D1210">
            <v>0.23670133100850968</v>
          </cell>
          <cell r="F1210">
            <v>0.76329866899149035</v>
          </cell>
          <cell r="G1210">
            <v>0</v>
          </cell>
          <cell r="H1210">
            <v>1</v>
          </cell>
        </row>
        <row r="1211">
          <cell r="B1211" t="str">
            <v>503 2014 10 1211 00003</v>
          </cell>
          <cell r="C1211">
            <v>5032014121100030</v>
          </cell>
          <cell r="D1211">
            <v>0.23526704079101265</v>
          </cell>
          <cell r="F1211">
            <v>0.76473295920898732</v>
          </cell>
          <cell r="G1211">
            <v>0</v>
          </cell>
          <cell r="H1211">
            <v>1</v>
          </cell>
        </row>
        <row r="1212">
          <cell r="B1212" t="str">
            <v>504 2013 10 1211 00003</v>
          </cell>
          <cell r="C1212">
            <v>5042014121100000</v>
          </cell>
          <cell r="D1212">
            <v>1</v>
          </cell>
          <cell r="F1212">
            <v>0</v>
          </cell>
          <cell r="G1212">
            <v>0</v>
          </cell>
          <cell r="H1212">
            <v>1</v>
          </cell>
        </row>
        <row r="1213">
          <cell r="B1213" t="str">
            <v>504 2013 10 1211 00004</v>
          </cell>
          <cell r="C1213">
            <v>5042013121100010</v>
          </cell>
          <cell r="D1213">
            <v>0.625</v>
          </cell>
          <cell r="F1213">
            <v>0.375</v>
          </cell>
          <cell r="G1213">
            <v>0</v>
          </cell>
          <cell r="H1213">
            <v>1</v>
          </cell>
        </row>
        <row r="1214">
          <cell r="B1214" t="str">
            <v>207 2013 10 1211 00001</v>
          </cell>
          <cell r="C1214">
            <v>2072014121100000</v>
          </cell>
          <cell r="D1214">
            <v>2.8799719449316263E-2</v>
          </cell>
          <cell r="F1214">
            <v>0.36863640895124816</v>
          </cell>
          <cell r="G1214">
            <v>0.60256387159943559</v>
          </cell>
          <cell r="H1214">
            <v>1</v>
          </cell>
        </row>
        <row r="1215">
          <cell r="B1215" t="str">
            <v>503 2014 10 1211 00004</v>
          </cell>
          <cell r="C1215">
            <v>5032014121100020</v>
          </cell>
          <cell r="D1215">
            <v>0.23433295795786754</v>
          </cell>
          <cell r="F1215">
            <v>0.76566704204213243</v>
          </cell>
          <cell r="G1215">
            <v>0</v>
          </cell>
          <cell r="H1215">
            <v>1</v>
          </cell>
        </row>
        <row r="1216">
          <cell r="B1216" t="str">
            <v>207 2013 10 1211 00001</v>
          </cell>
          <cell r="C1216">
            <v>2072014121100000</v>
          </cell>
          <cell r="D1216">
            <v>2.7023893492448107E-2</v>
          </cell>
          <cell r="F1216">
            <v>0.34590583670333575</v>
          </cell>
          <cell r="G1216">
            <v>0.6270702698042161</v>
          </cell>
          <cell r="H1216">
            <v>1</v>
          </cell>
        </row>
        <row r="1217">
          <cell r="B1217" t="str">
            <v>207 2011 10 1212 00001</v>
          </cell>
          <cell r="C1217">
            <v>2072011121200000</v>
          </cell>
          <cell r="D1217">
            <v>0.86067197922361527</v>
          </cell>
          <cell r="F1217">
            <v>0.13932802077638473</v>
          </cell>
          <cell r="G1217">
            <v>0</v>
          </cell>
          <cell r="H1217">
            <v>1</v>
          </cell>
        </row>
        <row r="1218">
          <cell r="B1218" t="str">
            <v>207 2014 10 1211 00001</v>
          </cell>
          <cell r="C1218">
            <v>2072014121100000</v>
          </cell>
          <cell r="D1218">
            <v>2.4853890193205642E-2</v>
          </cell>
          <cell r="F1218">
            <v>0.34795446270487901</v>
          </cell>
          <cell r="G1218">
            <v>0.62719164710191544</v>
          </cell>
          <cell r="H1218">
            <v>1</v>
          </cell>
        </row>
        <row r="1219">
          <cell r="B1219" t="str">
            <v>113 2012 10 1212 00001</v>
          </cell>
          <cell r="C1219">
            <v>1132013121200000</v>
          </cell>
          <cell r="D1219">
            <v>1</v>
          </cell>
          <cell r="F1219">
            <v>0</v>
          </cell>
          <cell r="G1219">
            <v>0</v>
          </cell>
          <cell r="H1219">
            <v>1</v>
          </cell>
        </row>
        <row r="1220">
          <cell r="B1220" t="str">
            <v>207 2013 10 1212 00005</v>
          </cell>
          <cell r="C1220">
            <v>2072014121200000</v>
          </cell>
          <cell r="D1220">
            <v>0.71018692119765925</v>
          </cell>
          <cell r="F1220">
            <v>0.28981307880234075</v>
          </cell>
          <cell r="G1220">
            <v>0</v>
          </cell>
          <cell r="H1220">
            <v>1</v>
          </cell>
        </row>
        <row r="1221">
          <cell r="B1221" t="str">
            <v>207 2013 10 1212 00005</v>
          </cell>
          <cell r="C1221">
            <v>2072014121200000</v>
          </cell>
          <cell r="D1221">
            <v>0.71018692119765925</v>
          </cell>
          <cell r="F1221">
            <v>0.28981307880234075</v>
          </cell>
          <cell r="G1221">
            <v>0</v>
          </cell>
          <cell r="H1221">
            <v>1</v>
          </cell>
        </row>
        <row r="1222">
          <cell r="B1222" t="str">
            <v>207 2013 10 1212 00006</v>
          </cell>
          <cell r="C1222">
            <v>2072013121200010</v>
          </cell>
          <cell r="D1222">
            <v>0.2904892652596916</v>
          </cell>
          <cell r="F1222">
            <v>0.70951073474030846</v>
          </cell>
          <cell r="G1222">
            <v>0</v>
          </cell>
          <cell r="H1222">
            <v>1</v>
          </cell>
        </row>
        <row r="1223">
          <cell r="B1223" t="str">
            <v>202 2013 10 1222 00011</v>
          </cell>
          <cell r="C1223">
            <v>2022014122200000</v>
          </cell>
          <cell r="D1223">
            <v>1</v>
          </cell>
          <cell r="F1223">
            <v>0</v>
          </cell>
          <cell r="G1223">
            <v>0</v>
          </cell>
          <cell r="H1223">
            <v>1</v>
          </cell>
        </row>
        <row r="1224">
          <cell r="B1224" t="str">
            <v>201 2013 10 1211 00006</v>
          </cell>
          <cell r="C1224">
            <v>2012013121100090</v>
          </cell>
          <cell r="D1224">
            <v>5.8823529411764705E-2</v>
          </cell>
          <cell r="F1224">
            <v>0.94117647058823528</v>
          </cell>
          <cell r="G1224">
            <v>0</v>
          </cell>
          <cell r="H1224">
            <v>1</v>
          </cell>
        </row>
        <row r="1225">
          <cell r="B1225" t="str">
            <v>201 2013 10 1211 00006</v>
          </cell>
          <cell r="C1225">
            <v>2012013121100170</v>
          </cell>
          <cell r="D1225">
            <v>5.8823529411764705E-2</v>
          </cell>
          <cell r="F1225">
            <v>0.94117647058823528</v>
          </cell>
          <cell r="G1225">
            <v>0</v>
          </cell>
          <cell r="H1225">
            <v>1</v>
          </cell>
        </row>
        <row r="1226">
          <cell r="B1226" t="str">
            <v>203 2014 10 1211 00005</v>
          </cell>
          <cell r="C1226">
            <v>2032014121100080</v>
          </cell>
          <cell r="D1226">
            <v>5.4945054945054951E-2</v>
          </cell>
          <cell r="F1226">
            <v>0.94505494505494503</v>
          </cell>
          <cell r="G1226">
            <v>0</v>
          </cell>
          <cell r="H1226">
            <v>1</v>
          </cell>
        </row>
        <row r="1227">
          <cell r="B1227" t="str">
            <v>503 2014 10 1211 00003</v>
          </cell>
          <cell r="C1227">
            <v>5032014121100020</v>
          </cell>
          <cell r="D1227">
            <v>0.23526704079101265</v>
          </cell>
          <cell r="F1227">
            <v>0.76473295920898732</v>
          </cell>
          <cell r="G1227">
            <v>0</v>
          </cell>
          <cell r="H1227">
            <v>1</v>
          </cell>
        </row>
        <row r="1228">
          <cell r="B1228" t="str">
            <v>503 2014 10 1211 00006</v>
          </cell>
          <cell r="C1228">
            <v>5032014121100030</v>
          </cell>
          <cell r="D1228">
            <v>0.19722841456988308</v>
          </cell>
          <cell r="F1228">
            <v>0.80277158543011695</v>
          </cell>
          <cell r="G1228">
            <v>0</v>
          </cell>
          <cell r="H1228">
            <v>1</v>
          </cell>
        </row>
        <row r="1229">
          <cell r="B1229" t="str">
            <v>505 2014 10 1211 00006</v>
          </cell>
          <cell r="C1229">
            <v>5052014121100000</v>
          </cell>
          <cell r="D1229">
            <v>5.8823529411764705E-2</v>
          </cell>
          <cell r="F1229">
            <v>0.94117647058823528</v>
          </cell>
          <cell r="G1229">
            <v>0</v>
          </cell>
          <cell r="H1229">
            <v>1</v>
          </cell>
        </row>
        <row r="1230">
          <cell r="B1230" t="str">
            <v>505 2014 10 1211 00006</v>
          </cell>
          <cell r="C1230">
            <v>5052014121100000</v>
          </cell>
          <cell r="D1230">
            <v>5.8823529411764705E-2</v>
          </cell>
          <cell r="F1230">
            <v>0.94117647058823528</v>
          </cell>
          <cell r="G1230">
            <v>0</v>
          </cell>
          <cell r="H1230">
            <v>1</v>
          </cell>
        </row>
        <row r="1231">
          <cell r="B1231" t="str">
            <v>505 2013 10 1212 00001</v>
          </cell>
          <cell r="C1231">
            <v>5052014121200000</v>
          </cell>
          <cell r="D1231">
            <v>1</v>
          </cell>
          <cell r="F1231">
            <v>0</v>
          </cell>
          <cell r="G1231">
            <v>0</v>
          </cell>
          <cell r="H1231">
            <v>1</v>
          </cell>
        </row>
        <row r="1232">
          <cell r="B1232" t="str">
            <v>505 2014 10 1212 00002</v>
          </cell>
          <cell r="C1232">
            <v>5052014121200000</v>
          </cell>
          <cell r="D1232">
            <v>1</v>
          </cell>
          <cell r="F1232">
            <v>0</v>
          </cell>
          <cell r="G1232">
            <v>0</v>
          </cell>
          <cell r="H1232">
            <v>1</v>
          </cell>
        </row>
        <row r="1233">
          <cell r="B1233" t="str">
            <v>505 2013 10 1211 00016</v>
          </cell>
          <cell r="C1233">
            <v>5052013121100000</v>
          </cell>
          <cell r="D1233">
            <v>8.0904816241931299E-2</v>
          </cell>
          <cell r="F1233">
            <v>0.91909518375806876</v>
          </cell>
          <cell r="G1233">
            <v>0</v>
          </cell>
          <cell r="H1233">
            <v>1</v>
          </cell>
        </row>
        <row r="1234">
          <cell r="B1234" t="str">
            <v>503 2013 10 1211 00004</v>
          </cell>
          <cell r="C1234">
            <v>5032013121100030</v>
          </cell>
          <cell r="D1234">
            <v>0.43936731107205623</v>
          </cell>
          <cell r="F1234">
            <v>0.56063268892794382</v>
          </cell>
          <cell r="G1234">
            <v>0</v>
          </cell>
          <cell r="H1234">
            <v>1</v>
          </cell>
        </row>
        <row r="1235">
          <cell r="B1235" t="str">
            <v>503 2013 10 1211 00007</v>
          </cell>
          <cell r="C1235">
            <v>5032013121100080</v>
          </cell>
          <cell r="D1235">
            <v>0.85324232081911267</v>
          </cell>
          <cell r="F1235">
            <v>0.14675767918088733</v>
          </cell>
          <cell r="G1235">
            <v>0</v>
          </cell>
          <cell r="H1235">
            <v>1</v>
          </cell>
        </row>
        <row r="1236">
          <cell r="B1236" t="str">
            <v>505 2014 10 1211 00006</v>
          </cell>
          <cell r="C1236">
            <v>5052014121100000</v>
          </cell>
          <cell r="D1236">
            <v>5.8823529411764705E-2</v>
          </cell>
          <cell r="F1236">
            <v>0.94117647058823528</v>
          </cell>
          <cell r="G1236">
            <v>0</v>
          </cell>
          <cell r="H1236">
            <v>1</v>
          </cell>
        </row>
        <row r="1237">
          <cell r="B1237" t="str">
            <v>505 2014 10 1212 00002</v>
          </cell>
          <cell r="C1237">
            <v>5052014121200000</v>
          </cell>
          <cell r="D1237">
            <v>1</v>
          </cell>
          <cell r="F1237">
            <v>0</v>
          </cell>
          <cell r="G1237">
            <v>0</v>
          </cell>
          <cell r="H1237">
            <v>1</v>
          </cell>
        </row>
        <row r="1238">
          <cell r="B1238" t="str">
            <v>505 2014 10 1211 00020</v>
          </cell>
          <cell r="C1238">
            <v>5052014121100010</v>
          </cell>
          <cell r="D1238">
            <v>0.28486827155001443</v>
          </cell>
          <cell r="F1238">
            <v>0.71513172844998563</v>
          </cell>
          <cell r="G1238">
            <v>0</v>
          </cell>
          <cell r="H1238">
            <v>1</v>
          </cell>
        </row>
        <row r="1239">
          <cell r="B1239" t="str">
            <v>505 2014 10 1211 00006</v>
          </cell>
          <cell r="C1239">
            <v>5052014121100010</v>
          </cell>
          <cell r="D1239">
            <v>5.8823529411764705E-2</v>
          </cell>
          <cell r="F1239">
            <v>0.94117647058823528</v>
          </cell>
          <cell r="G1239">
            <v>0</v>
          </cell>
          <cell r="H1239">
            <v>1</v>
          </cell>
        </row>
        <row r="1240">
          <cell r="B1240" t="str">
            <v>505 2013 10 1211 00015</v>
          </cell>
          <cell r="C1240">
            <v>5052013121100020</v>
          </cell>
          <cell r="D1240">
            <v>1</v>
          </cell>
          <cell r="F1240">
            <v>0</v>
          </cell>
          <cell r="G1240">
            <v>0</v>
          </cell>
          <cell r="H1240">
            <v>1</v>
          </cell>
        </row>
        <row r="1241">
          <cell r="B1241" t="str">
            <v>505 2014 10 1211 00022</v>
          </cell>
          <cell r="C1241">
            <v>5052014121100030</v>
          </cell>
          <cell r="D1241">
            <v>0.32341549364147415</v>
          </cell>
          <cell r="F1241">
            <v>0.67658450635852585</v>
          </cell>
          <cell r="G1241">
            <v>0</v>
          </cell>
          <cell r="H1241">
            <v>1</v>
          </cell>
        </row>
        <row r="1242">
          <cell r="B1242" t="str">
            <v>505 2014 10 1211 00019</v>
          </cell>
          <cell r="C1242">
            <v>5052014121100000</v>
          </cell>
          <cell r="D1242">
            <v>0.77524408715132775</v>
          </cell>
          <cell r="F1242">
            <v>0.22475591284867225</v>
          </cell>
          <cell r="G1242">
            <v>0</v>
          </cell>
          <cell r="H1242">
            <v>1</v>
          </cell>
        </row>
        <row r="1243">
          <cell r="B1243" t="str">
            <v>505 2012 10 1211 00022</v>
          </cell>
          <cell r="C1243">
            <v>5052013121100010</v>
          </cell>
          <cell r="D1243">
            <v>1</v>
          </cell>
          <cell r="F1243">
            <v>0</v>
          </cell>
          <cell r="G1243">
            <v>0</v>
          </cell>
          <cell r="H1243">
            <v>1</v>
          </cell>
        </row>
        <row r="1244">
          <cell r="B1244" t="str">
            <v>505 2014 10 1211 00012</v>
          </cell>
          <cell r="C1244">
            <v>5052014121100010</v>
          </cell>
          <cell r="D1244">
            <v>1</v>
          </cell>
          <cell r="F1244">
            <v>0</v>
          </cell>
          <cell r="G1244">
            <v>0</v>
          </cell>
          <cell r="H1244">
            <v>1</v>
          </cell>
        </row>
        <row r="1245">
          <cell r="B1245" t="str">
            <v>505 2013 10 1211 00006</v>
          </cell>
          <cell r="C1245">
            <v>5052013121100030</v>
          </cell>
          <cell r="D1245">
            <v>0.33624747814391392</v>
          </cell>
          <cell r="F1245">
            <v>0.66375252185608602</v>
          </cell>
          <cell r="G1245">
            <v>0</v>
          </cell>
          <cell r="H1245">
            <v>1</v>
          </cell>
        </row>
        <row r="1246">
          <cell r="B1246" t="str">
            <v>203 2012 10 1211 00009</v>
          </cell>
          <cell r="C1246">
            <v>2032012121100020</v>
          </cell>
          <cell r="D1246">
            <v>9.8039613804000364E-2</v>
          </cell>
          <cell r="F1246">
            <v>0.90196038619599961</v>
          </cell>
          <cell r="G1246">
            <v>0</v>
          </cell>
          <cell r="H1246">
            <v>1</v>
          </cell>
        </row>
        <row r="1247">
          <cell r="B1247" t="str">
            <v>203 2014 10 1211 00005</v>
          </cell>
          <cell r="C1247">
            <v>2032014121100060</v>
          </cell>
          <cell r="D1247">
            <v>5.4945054945054951E-2</v>
          </cell>
          <cell r="F1247">
            <v>0.94505494505494503</v>
          </cell>
          <cell r="G1247">
            <v>0</v>
          </cell>
          <cell r="H1247">
            <v>1</v>
          </cell>
        </row>
        <row r="1248">
          <cell r="B1248" t="str">
            <v>503 2013 10 1211 00004</v>
          </cell>
          <cell r="C1248">
            <v>5032013121100090</v>
          </cell>
          <cell r="D1248">
            <v>0.43936731107205623</v>
          </cell>
          <cell r="F1248">
            <v>0.56063268892794382</v>
          </cell>
          <cell r="G1248">
            <v>0</v>
          </cell>
          <cell r="H1248">
            <v>1</v>
          </cell>
        </row>
        <row r="1249">
          <cell r="B1249" t="str">
            <v>505 2013 10 1212 00001</v>
          </cell>
          <cell r="C1249">
            <v>5052013121200000</v>
          </cell>
          <cell r="D1249">
            <v>1</v>
          </cell>
          <cell r="F1249">
            <v>0</v>
          </cell>
          <cell r="G1249">
            <v>0</v>
          </cell>
          <cell r="H1249">
            <v>1</v>
          </cell>
        </row>
        <row r="1250">
          <cell r="B1250" t="str">
            <v>505 2014 10 1211 00006</v>
          </cell>
          <cell r="C1250">
            <v>5052014121100000</v>
          </cell>
          <cell r="D1250">
            <v>5.8823529411764705E-2</v>
          </cell>
          <cell r="F1250">
            <v>0.94117647058823528</v>
          </cell>
          <cell r="G1250">
            <v>0</v>
          </cell>
          <cell r="H1250">
            <v>1</v>
          </cell>
        </row>
        <row r="1251">
          <cell r="B1251" t="str">
            <v>503 2013 10 1211 00011</v>
          </cell>
          <cell r="C1251">
            <v>5032013121100050</v>
          </cell>
          <cell r="D1251">
            <v>1</v>
          </cell>
          <cell r="F1251">
            <v>0</v>
          </cell>
          <cell r="G1251">
            <v>0</v>
          </cell>
          <cell r="H1251">
            <v>1</v>
          </cell>
        </row>
        <row r="1252">
          <cell r="B1252" t="str">
            <v>503 2013 10 1211 00016</v>
          </cell>
          <cell r="C1252">
            <v>5032013121100080</v>
          </cell>
          <cell r="D1252">
            <v>0.23104349318716322</v>
          </cell>
          <cell r="F1252">
            <v>0.76895650681283678</v>
          </cell>
          <cell r="G1252">
            <v>0</v>
          </cell>
          <cell r="H1252">
            <v>1</v>
          </cell>
        </row>
        <row r="1253">
          <cell r="B1253" t="str">
            <v>505 2013 10 1211 00005</v>
          </cell>
          <cell r="C1253">
            <v>5052013121100050</v>
          </cell>
          <cell r="D1253">
            <v>0.33624747814391392</v>
          </cell>
          <cell r="F1253">
            <v>0.66375252185608602</v>
          </cell>
          <cell r="G1253">
            <v>0</v>
          </cell>
          <cell r="H1253">
            <v>1</v>
          </cell>
        </row>
        <row r="1254">
          <cell r="B1254" t="str">
            <v>505 2014 10 1211 00006</v>
          </cell>
          <cell r="C1254">
            <v>5052014121100030</v>
          </cell>
          <cell r="D1254">
            <v>5.8823529411764705E-2</v>
          </cell>
          <cell r="F1254">
            <v>0.94117647058823528</v>
          </cell>
          <cell r="G1254">
            <v>0</v>
          </cell>
          <cell r="H1254">
            <v>1</v>
          </cell>
        </row>
        <row r="1255">
          <cell r="B1255" t="str">
            <v>505 2014 10 1211 00020</v>
          </cell>
          <cell r="C1255">
            <v>5052014121100040</v>
          </cell>
          <cell r="D1255">
            <v>0.28486827155001443</v>
          </cell>
          <cell r="F1255">
            <v>0.71513172844998563</v>
          </cell>
          <cell r="G1255">
            <v>0</v>
          </cell>
          <cell r="H1255">
            <v>1</v>
          </cell>
        </row>
        <row r="1256">
          <cell r="B1256" t="str">
            <v>505 2014 10 1211 00020</v>
          </cell>
          <cell r="C1256">
            <v>5052014121100030</v>
          </cell>
          <cell r="D1256">
            <v>0.28486827155001443</v>
          </cell>
          <cell r="F1256">
            <v>0.71513172844998563</v>
          </cell>
          <cell r="G1256">
            <v>0</v>
          </cell>
          <cell r="H1256">
            <v>1</v>
          </cell>
        </row>
        <row r="1257">
          <cell r="B1257" t="str">
            <v>505 2014 10 1211 00006</v>
          </cell>
          <cell r="C1257">
            <v>5052014121100030</v>
          </cell>
          <cell r="D1257">
            <v>5.8823529411764705E-2</v>
          </cell>
          <cell r="F1257">
            <v>0.94117647058823528</v>
          </cell>
          <cell r="G1257">
            <v>0</v>
          </cell>
          <cell r="H1257">
            <v>1</v>
          </cell>
        </row>
        <row r="1258">
          <cell r="B1258" t="str">
            <v>505 2014 10 1211 00006</v>
          </cell>
          <cell r="C1258">
            <v>5052014121100040</v>
          </cell>
          <cell r="D1258">
            <v>5.8823529411764705E-2</v>
          </cell>
          <cell r="F1258">
            <v>0.94117647058823528</v>
          </cell>
          <cell r="G1258">
            <v>0</v>
          </cell>
          <cell r="H1258">
            <v>1</v>
          </cell>
        </row>
        <row r="1259">
          <cell r="B1259" t="str">
            <v>505 2014 10 1211 00006</v>
          </cell>
          <cell r="C1259">
            <v>5052014121100050</v>
          </cell>
          <cell r="D1259">
            <v>5.8823529411764705E-2</v>
          </cell>
          <cell r="F1259">
            <v>0.94117647058823528</v>
          </cell>
          <cell r="G1259">
            <v>0</v>
          </cell>
          <cell r="H1259">
            <v>1</v>
          </cell>
        </row>
        <row r="1260">
          <cell r="B1260" t="str">
            <v>505 2014 10 1212 00002</v>
          </cell>
          <cell r="C1260">
            <v>5052014121200000</v>
          </cell>
          <cell r="D1260">
            <v>1</v>
          </cell>
          <cell r="F1260">
            <v>0</v>
          </cell>
          <cell r="G1260">
            <v>0</v>
          </cell>
          <cell r="H1260">
            <v>1</v>
          </cell>
        </row>
        <row r="1261">
          <cell r="B1261" t="str">
            <v>505 2014 10 1211 00006</v>
          </cell>
          <cell r="C1261">
            <v>5052014121100020</v>
          </cell>
          <cell r="D1261">
            <v>5.8823529411764705E-2</v>
          </cell>
          <cell r="F1261">
            <v>0.94117647058823528</v>
          </cell>
          <cell r="G1261">
            <v>0</v>
          </cell>
          <cell r="H1261">
            <v>1</v>
          </cell>
        </row>
        <row r="1262">
          <cell r="B1262" t="str">
            <v>505 2013 10 1211 00016</v>
          </cell>
          <cell r="C1262">
            <v>5052013121100030</v>
          </cell>
          <cell r="D1262">
            <v>8.0904816241931299E-2</v>
          </cell>
          <cell r="F1262">
            <v>0.91909518375806876</v>
          </cell>
          <cell r="G1262">
            <v>0</v>
          </cell>
          <cell r="H1262">
            <v>1</v>
          </cell>
        </row>
        <row r="1263">
          <cell r="B1263" t="str">
            <v>505 2014 10 1211 00022</v>
          </cell>
          <cell r="C1263">
            <v>5052014121100040</v>
          </cell>
          <cell r="D1263">
            <v>0.32341549364147415</v>
          </cell>
          <cell r="F1263">
            <v>0.67658450635852585</v>
          </cell>
          <cell r="G1263">
            <v>0</v>
          </cell>
          <cell r="H1263">
            <v>1</v>
          </cell>
        </row>
        <row r="1264">
          <cell r="B1264" t="str">
            <v>505 2014 10 1211 00024</v>
          </cell>
          <cell r="C1264">
            <v>5052014121100050</v>
          </cell>
          <cell r="D1264">
            <v>0.32341549364147415</v>
          </cell>
          <cell r="F1264">
            <v>0.67658450635852585</v>
          </cell>
          <cell r="G1264">
            <v>0</v>
          </cell>
          <cell r="H1264">
            <v>1</v>
          </cell>
        </row>
        <row r="1265">
          <cell r="B1265" t="str">
            <v>505 2013 10 1211 00016</v>
          </cell>
          <cell r="C1265">
            <v>5052013121100010</v>
          </cell>
          <cell r="D1265">
            <v>8.0904816241931299E-2</v>
          </cell>
          <cell r="F1265">
            <v>0.91909518375806876</v>
          </cell>
          <cell r="G1265">
            <v>0</v>
          </cell>
          <cell r="H1265">
            <v>1</v>
          </cell>
        </row>
        <row r="1266">
          <cell r="B1266" t="str">
            <v>505 2014 10 1211 00006</v>
          </cell>
          <cell r="C1266">
            <v>5052014121100010</v>
          </cell>
          <cell r="D1266">
            <v>5.8823529411764705E-2</v>
          </cell>
          <cell r="F1266">
            <v>0.94117647058823528</v>
          </cell>
          <cell r="G1266">
            <v>0</v>
          </cell>
          <cell r="H1266">
            <v>1</v>
          </cell>
        </row>
        <row r="1267">
          <cell r="B1267" t="str">
            <v>505 2014 10 1211 00022</v>
          </cell>
          <cell r="C1267">
            <v>5052014121100020</v>
          </cell>
          <cell r="D1267">
            <v>0.32341549364147415</v>
          </cell>
          <cell r="F1267">
            <v>0.67658450635852585</v>
          </cell>
          <cell r="G1267">
            <v>0</v>
          </cell>
          <cell r="H1267">
            <v>1</v>
          </cell>
        </row>
        <row r="1268">
          <cell r="B1268" t="str">
            <v>505 2014 10 1211 00020</v>
          </cell>
          <cell r="C1268">
            <v>5052014121100040</v>
          </cell>
          <cell r="D1268">
            <v>0.28486827155001443</v>
          </cell>
          <cell r="F1268">
            <v>0.71513172844998563</v>
          </cell>
          <cell r="G1268">
            <v>0</v>
          </cell>
          <cell r="H1268">
            <v>1</v>
          </cell>
        </row>
        <row r="1269">
          <cell r="B1269" t="str">
            <v>505 2012 10 1211 00022</v>
          </cell>
          <cell r="C1269">
            <v>5052012121100010</v>
          </cell>
          <cell r="D1269">
            <v>1</v>
          </cell>
          <cell r="F1269">
            <v>0</v>
          </cell>
          <cell r="G1269">
            <v>0</v>
          </cell>
          <cell r="H1269">
            <v>1</v>
          </cell>
        </row>
        <row r="1270">
          <cell r="B1270" t="str">
            <v>505 2014 10 1211 00022</v>
          </cell>
          <cell r="C1270">
            <v>5052014121100020</v>
          </cell>
          <cell r="D1270">
            <v>0.32341549364147415</v>
          </cell>
          <cell r="F1270">
            <v>0.67658450635852585</v>
          </cell>
          <cell r="G1270">
            <v>0</v>
          </cell>
          <cell r="H1270">
            <v>1</v>
          </cell>
        </row>
        <row r="1271">
          <cell r="B1271" t="str">
            <v>505 2014 10 1211 00008</v>
          </cell>
          <cell r="C1271">
            <v>5052014121100030</v>
          </cell>
          <cell r="D1271">
            <v>1</v>
          </cell>
          <cell r="F1271">
            <v>0</v>
          </cell>
          <cell r="G1271">
            <v>0</v>
          </cell>
          <cell r="H1271">
            <v>1</v>
          </cell>
        </row>
        <row r="1272">
          <cell r="B1272" t="str">
            <v>505 2013 10 1211 00001</v>
          </cell>
          <cell r="C1272">
            <v>5052013121100040</v>
          </cell>
          <cell r="D1272">
            <v>1</v>
          </cell>
          <cell r="F1272">
            <v>0</v>
          </cell>
          <cell r="G1272">
            <v>0</v>
          </cell>
          <cell r="H1272">
            <v>1</v>
          </cell>
        </row>
        <row r="1273">
          <cell r="B1273" t="str">
            <v>505 2014 10 1211 00006</v>
          </cell>
          <cell r="C1273">
            <v>5052014121100000</v>
          </cell>
          <cell r="D1273">
            <v>5.8823529411764705E-2</v>
          </cell>
          <cell r="F1273">
            <v>0.94117647058823528</v>
          </cell>
          <cell r="G1273">
            <v>0</v>
          </cell>
          <cell r="H1273">
            <v>1</v>
          </cell>
        </row>
        <row r="1274">
          <cell r="B1274" t="str">
            <v>505 2014 10 1212 00002</v>
          </cell>
          <cell r="C1274">
            <v>5052014121200000</v>
          </cell>
          <cell r="D1274">
            <v>1</v>
          </cell>
          <cell r="F1274">
            <v>0</v>
          </cell>
          <cell r="G1274">
            <v>0</v>
          </cell>
          <cell r="H1274">
            <v>1</v>
          </cell>
        </row>
        <row r="1275">
          <cell r="B1275" t="str">
            <v>505 2014 10 1211 00006</v>
          </cell>
          <cell r="C1275">
            <v>5052014121100020</v>
          </cell>
          <cell r="D1275">
            <v>5.8823529411764705E-2</v>
          </cell>
          <cell r="F1275">
            <v>0.94117647058823528</v>
          </cell>
          <cell r="G1275">
            <v>0</v>
          </cell>
          <cell r="H1275">
            <v>1</v>
          </cell>
        </row>
        <row r="1276">
          <cell r="B1276" t="str">
            <v>505 2013 10 1211 00020</v>
          </cell>
          <cell r="C1276">
            <v>5052013121100030</v>
          </cell>
          <cell r="D1276">
            <v>0.77524408715132775</v>
          </cell>
          <cell r="F1276">
            <v>0.22475591284867225</v>
          </cell>
          <cell r="G1276">
            <v>0</v>
          </cell>
          <cell r="H1276">
            <v>1</v>
          </cell>
        </row>
        <row r="1277">
          <cell r="B1277" t="str">
            <v>505 2014 10 1211 00019</v>
          </cell>
          <cell r="C1277">
            <v>5052014121100040</v>
          </cell>
          <cell r="D1277">
            <v>0.77524408715132775</v>
          </cell>
          <cell r="F1277">
            <v>0.22475591284867225</v>
          </cell>
          <cell r="G1277">
            <v>0</v>
          </cell>
          <cell r="H1277">
            <v>1</v>
          </cell>
        </row>
        <row r="1278">
          <cell r="B1278" t="str">
            <v>505 2014 10 1211 00006</v>
          </cell>
          <cell r="C1278">
            <v>5052014121100050</v>
          </cell>
          <cell r="D1278">
            <v>5.8823529411764705E-2</v>
          </cell>
          <cell r="F1278">
            <v>0.94117647058823528</v>
          </cell>
          <cell r="G1278">
            <v>0</v>
          </cell>
          <cell r="H1278">
            <v>1</v>
          </cell>
        </row>
        <row r="1279">
          <cell r="B1279" t="str">
            <v>505 2014 10 1211 00006</v>
          </cell>
          <cell r="C1279">
            <v>5052014121100050</v>
          </cell>
          <cell r="D1279">
            <v>5.8823529411764705E-2</v>
          </cell>
          <cell r="F1279">
            <v>0.94117647058823528</v>
          </cell>
          <cell r="G1279">
            <v>0</v>
          </cell>
          <cell r="H1279">
            <v>1</v>
          </cell>
        </row>
        <row r="1280">
          <cell r="B1280" t="str">
            <v>505 2014 10 1211 00021</v>
          </cell>
          <cell r="C1280">
            <v>5052014121100020</v>
          </cell>
          <cell r="D1280">
            <v>0.32018465012912267</v>
          </cell>
          <cell r="F1280">
            <v>0.67981534987087733</v>
          </cell>
          <cell r="G1280">
            <v>0</v>
          </cell>
          <cell r="H1280">
            <v>1</v>
          </cell>
        </row>
        <row r="1281">
          <cell r="B1281" t="str">
            <v>505 2014 10 1211 00006</v>
          </cell>
          <cell r="C1281">
            <v>5052014121100020</v>
          </cell>
          <cell r="D1281">
            <v>5.8823529411764705E-2</v>
          </cell>
          <cell r="F1281">
            <v>0.94117647058823528</v>
          </cell>
          <cell r="G1281">
            <v>0</v>
          </cell>
          <cell r="H1281">
            <v>1</v>
          </cell>
        </row>
        <row r="1282">
          <cell r="B1282" t="str">
            <v>505 2014 10 1211 00006</v>
          </cell>
          <cell r="C1282">
            <v>5052014121100030</v>
          </cell>
          <cell r="D1282">
            <v>5.8823529411764705E-2</v>
          </cell>
          <cell r="F1282">
            <v>0.94117647058823528</v>
          </cell>
          <cell r="G1282">
            <v>0</v>
          </cell>
          <cell r="H1282">
            <v>1</v>
          </cell>
        </row>
        <row r="1283">
          <cell r="B1283" t="str">
            <v>505 2013 10 1211 00016</v>
          </cell>
          <cell r="C1283">
            <v>5052013121100030</v>
          </cell>
          <cell r="D1283">
            <v>8.0904816241931299E-2</v>
          </cell>
          <cell r="F1283">
            <v>0.91909518375806876</v>
          </cell>
          <cell r="G1283">
            <v>0</v>
          </cell>
          <cell r="H1283">
            <v>1</v>
          </cell>
        </row>
        <row r="1284">
          <cell r="B1284" t="str">
            <v>505 2013 10 1211 00023</v>
          </cell>
          <cell r="C1284">
            <v>5052014121100050</v>
          </cell>
          <cell r="D1284">
            <v>1</v>
          </cell>
          <cell r="F1284">
            <v>0</v>
          </cell>
          <cell r="G1284">
            <v>0</v>
          </cell>
          <cell r="H1284">
            <v>1</v>
          </cell>
        </row>
        <row r="1285">
          <cell r="B1285" t="str">
            <v>505 2014 10 1212 00002</v>
          </cell>
          <cell r="C1285">
            <v>5052014121200000</v>
          </cell>
          <cell r="D1285">
            <v>1</v>
          </cell>
          <cell r="F1285">
            <v>0</v>
          </cell>
          <cell r="G1285">
            <v>0</v>
          </cell>
          <cell r="H1285">
            <v>1</v>
          </cell>
        </row>
        <row r="1286">
          <cell r="B1286" t="str">
            <v>505 2014 10 1211 00022</v>
          </cell>
          <cell r="C1286">
            <v>5052014121100010</v>
          </cell>
          <cell r="D1286">
            <v>0.32341549364147415</v>
          </cell>
          <cell r="F1286">
            <v>0.67658450635852585</v>
          </cell>
          <cell r="G1286">
            <v>0</v>
          </cell>
          <cell r="H1286">
            <v>1</v>
          </cell>
        </row>
        <row r="1287">
          <cell r="B1287" t="str">
            <v>505 2014 10 1211 00025</v>
          </cell>
          <cell r="C1287">
            <v>5052014121100010</v>
          </cell>
          <cell r="D1287">
            <v>0.32341549364147415</v>
          </cell>
          <cell r="F1287">
            <v>0.67658450635852585</v>
          </cell>
          <cell r="G1287">
            <v>0</v>
          </cell>
          <cell r="H1287">
            <v>1</v>
          </cell>
        </row>
        <row r="1288">
          <cell r="B1288" t="str">
            <v>505 2014 10 1211 00025</v>
          </cell>
          <cell r="C1288">
            <v>5052014121100020</v>
          </cell>
          <cell r="D1288">
            <v>0.32341549364147415</v>
          </cell>
          <cell r="F1288">
            <v>0.67658450635852585</v>
          </cell>
          <cell r="G1288">
            <v>0</v>
          </cell>
          <cell r="H1288">
            <v>1</v>
          </cell>
        </row>
        <row r="1289">
          <cell r="B1289" t="str">
            <v>505 2014 10 1211 00020</v>
          </cell>
          <cell r="C1289">
            <v>5052014121100040</v>
          </cell>
          <cell r="D1289">
            <v>0.28486827155001443</v>
          </cell>
          <cell r="F1289">
            <v>0.71513172844998563</v>
          </cell>
          <cell r="G1289">
            <v>0</v>
          </cell>
          <cell r="H1289">
            <v>1</v>
          </cell>
        </row>
        <row r="1290">
          <cell r="B1290" t="str">
            <v>505 2014 10 1211 00006</v>
          </cell>
          <cell r="C1290">
            <v>5052014121100040</v>
          </cell>
          <cell r="D1290">
            <v>5.8823529411764705E-2</v>
          </cell>
          <cell r="F1290">
            <v>0.94117647058823528</v>
          </cell>
          <cell r="G1290">
            <v>0</v>
          </cell>
          <cell r="H1290">
            <v>1</v>
          </cell>
        </row>
        <row r="1291">
          <cell r="B1291" t="str">
            <v>505 2013 10 1211 00016</v>
          </cell>
          <cell r="C1291">
            <v>5052013121100050</v>
          </cell>
          <cell r="D1291">
            <v>8.0904816241931299E-2</v>
          </cell>
          <cell r="F1291">
            <v>0.91909518375806876</v>
          </cell>
          <cell r="G1291">
            <v>0</v>
          </cell>
          <cell r="H1291">
            <v>1</v>
          </cell>
        </row>
        <row r="1292">
          <cell r="B1292" t="str">
            <v>208 2014 10 1211 00001</v>
          </cell>
          <cell r="C1292">
            <v>2082014121100000</v>
          </cell>
          <cell r="D1292">
            <v>0.28167066700793586</v>
          </cell>
          <cell r="F1292">
            <v>0.71832933299206414</v>
          </cell>
          <cell r="G1292">
            <v>0</v>
          </cell>
          <cell r="H1292">
            <v>1</v>
          </cell>
        </row>
        <row r="1293">
          <cell r="B1293" t="str">
            <v>301 2010 10 1212 00004</v>
          </cell>
          <cell r="C1293">
            <v>3012011121200000</v>
          </cell>
          <cell r="D1293">
            <v>0.26648900732844771</v>
          </cell>
          <cell r="E1293">
            <v>3.6675549633577616E-2</v>
          </cell>
          <cell r="F1293">
            <v>0.69683544303797462</v>
          </cell>
          <cell r="G1293">
            <v>0</v>
          </cell>
          <cell r="H1293">
            <v>1</v>
          </cell>
        </row>
        <row r="1294">
          <cell r="B1294" t="str">
            <v>208 2014 10 1211 00001</v>
          </cell>
          <cell r="C1294">
            <v>2082014121100010</v>
          </cell>
          <cell r="D1294">
            <v>0.28167066700793586</v>
          </cell>
          <cell r="F1294">
            <v>0.71832933299206414</v>
          </cell>
          <cell r="G1294">
            <v>0</v>
          </cell>
          <cell r="H1294">
            <v>1</v>
          </cell>
        </row>
        <row r="1295">
          <cell r="B1295" t="str">
            <v>505 2013 10 1211 00007</v>
          </cell>
          <cell r="C1295">
            <v>5052013121100050</v>
          </cell>
          <cell r="D1295">
            <v>0.33944331296673458</v>
          </cell>
          <cell r="F1295">
            <v>0.66055668703326542</v>
          </cell>
          <cell r="G1295">
            <v>0</v>
          </cell>
          <cell r="H1295">
            <v>1</v>
          </cell>
        </row>
        <row r="1296">
          <cell r="B1296" t="str">
            <v>301 2014 10 1211 00003</v>
          </cell>
          <cell r="C1296">
            <v>3012014121100000</v>
          </cell>
          <cell r="D1296">
            <v>0.11008851116297504</v>
          </cell>
          <cell r="F1296">
            <v>0.88991148883702498</v>
          </cell>
          <cell r="G1296">
            <v>0</v>
          </cell>
          <cell r="H1296">
            <v>1</v>
          </cell>
        </row>
        <row r="1297">
          <cell r="B1297" t="str">
            <v>301 2012 10 1212 00006</v>
          </cell>
          <cell r="C1297">
            <v>3012013121200000</v>
          </cell>
          <cell r="D1297">
            <v>0.19230769230769232</v>
          </cell>
          <cell r="F1297">
            <v>0.80769230769230771</v>
          </cell>
          <cell r="G1297">
            <v>0</v>
          </cell>
          <cell r="H1297">
            <v>1</v>
          </cell>
        </row>
        <row r="1298">
          <cell r="B1298" t="str">
            <v>301 2012 10 1212 00006</v>
          </cell>
          <cell r="C1298">
            <v>3012013121200000</v>
          </cell>
          <cell r="D1298">
            <v>0.19230769230769232</v>
          </cell>
          <cell r="F1298">
            <v>0.80769230769230771</v>
          </cell>
          <cell r="G1298">
            <v>0</v>
          </cell>
          <cell r="H1298">
            <v>1</v>
          </cell>
        </row>
        <row r="1299">
          <cell r="B1299" t="str">
            <v>301 2013 10 1212 00014</v>
          </cell>
          <cell r="C1299">
            <v>3012014121200000</v>
          </cell>
          <cell r="D1299">
            <v>7.3028503694809524E-2</v>
          </cell>
          <cell r="F1299">
            <v>0.92697149630519049</v>
          </cell>
          <cell r="G1299">
            <v>0</v>
          </cell>
          <cell r="H1299">
            <v>1</v>
          </cell>
        </row>
        <row r="1300">
          <cell r="B1300" t="str">
            <v>208 2014 10 1211 00001</v>
          </cell>
          <cell r="C1300">
            <v>2082014121100000</v>
          </cell>
          <cell r="D1300">
            <v>0.28167066700793586</v>
          </cell>
          <cell r="F1300">
            <v>0.71832933299206414</v>
          </cell>
          <cell r="G1300">
            <v>0</v>
          </cell>
          <cell r="H1300">
            <v>1</v>
          </cell>
        </row>
        <row r="1301">
          <cell r="B1301" t="str">
            <v>208 2014 10 1211 00001</v>
          </cell>
          <cell r="C1301">
            <v>2082014121100000</v>
          </cell>
          <cell r="D1301">
            <v>0.28167066700793586</v>
          </cell>
          <cell r="F1301">
            <v>0.71832933299206414</v>
          </cell>
          <cell r="G1301">
            <v>0</v>
          </cell>
          <cell r="H1301">
            <v>1</v>
          </cell>
        </row>
        <row r="1302">
          <cell r="B1302" t="str">
            <v>208 2014 10 1211 00002</v>
          </cell>
          <cell r="C1302">
            <v>2082014121100010</v>
          </cell>
          <cell r="D1302">
            <v>6.6666666666666666E-2</v>
          </cell>
          <cell r="F1302">
            <v>0.93333333333333335</v>
          </cell>
          <cell r="G1302">
            <v>0</v>
          </cell>
          <cell r="H1302">
            <v>1</v>
          </cell>
        </row>
        <row r="1303">
          <cell r="B1303" t="str">
            <v>301 2012 10 1212 00008</v>
          </cell>
          <cell r="C1303">
            <v>3012013121200000</v>
          </cell>
          <cell r="D1303">
            <v>7.2857833965739319E-2</v>
          </cell>
          <cell r="F1303">
            <v>0.9271421660342607</v>
          </cell>
          <cell r="G1303">
            <v>0</v>
          </cell>
          <cell r="H1303">
            <v>1</v>
          </cell>
        </row>
        <row r="1304">
          <cell r="B1304" t="str">
            <v>203 2014 10 1211 00006</v>
          </cell>
          <cell r="C1304">
            <v>2032014121100100</v>
          </cell>
          <cell r="D1304">
            <v>0.28239389219784183</v>
          </cell>
          <cell r="F1304">
            <v>0.71760610780215817</v>
          </cell>
          <cell r="G1304">
            <v>0</v>
          </cell>
          <cell r="H1304">
            <v>1</v>
          </cell>
        </row>
        <row r="1305">
          <cell r="B1305" t="str">
            <v>203 2012 10 1211 00009</v>
          </cell>
          <cell r="C1305">
            <v>2032012121100050</v>
          </cell>
          <cell r="D1305">
            <v>9.8039613804000364E-2</v>
          </cell>
          <cell r="F1305">
            <v>0.90196038619599961</v>
          </cell>
          <cell r="G1305">
            <v>0</v>
          </cell>
          <cell r="H1305">
            <v>1</v>
          </cell>
        </row>
        <row r="1306">
          <cell r="B1306" t="str">
            <v>205 2013 10 1212 00013</v>
          </cell>
          <cell r="C1306">
            <v>2052013121200010</v>
          </cell>
          <cell r="D1306">
            <v>1</v>
          </cell>
          <cell r="F1306">
            <v>0</v>
          </cell>
          <cell r="G1306">
            <v>0</v>
          </cell>
          <cell r="H1306">
            <v>1</v>
          </cell>
        </row>
        <row r="1307">
          <cell r="B1307" t="str">
            <v>301 2012 10 1212 00008</v>
          </cell>
          <cell r="C1307">
            <v>3012013121200000</v>
          </cell>
          <cell r="D1307">
            <v>7.2857833965739319E-2</v>
          </cell>
          <cell r="F1307">
            <v>0.9271421660342607</v>
          </cell>
          <cell r="G1307">
            <v>0</v>
          </cell>
          <cell r="H1307">
            <v>1</v>
          </cell>
        </row>
        <row r="1308">
          <cell r="B1308" t="str">
            <v>301 2013 10 1212 00014</v>
          </cell>
          <cell r="C1308">
            <v>3012014121200000</v>
          </cell>
          <cell r="D1308">
            <v>7.3028503694809524E-2</v>
          </cell>
          <cell r="F1308">
            <v>0.92697149630519049</v>
          </cell>
          <cell r="G1308">
            <v>0</v>
          </cell>
          <cell r="H1308">
            <v>1</v>
          </cell>
        </row>
        <row r="1309">
          <cell r="B1309" t="str">
            <v>208 2014 10 1211 00001</v>
          </cell>
          <cell r="C1309">
            <v>2082014121100010</v>
          </cell>
          <cell r="D1309">
            <v>0.28167066700793586</v>
          </cell>
          <cell r="F1309">
            <v>0.71832933299206414</v>
          </cell>
          <cell r="G1309">
            <v>0</v>
          </cell>
          <cell r="H1309">
            <v>1</v>
          </cell>
        </row>
        <row r="1310">
          <cell r="B1310" t="str">
            <v>301 2013 10 1221 00003</v>
          </cell>
          <cell r="C1310">
            <v>3012013122100000</v>
          </cell>
          <cell r="D1310">
            <v>1</v>
          </cell>
          <cell r="F1310">
            <v>0</v>
          </cell>
          <cell r="G1310">
            <v>0</v>
          </cell>
          <cell r="H1310">
            <v>1</v>
          </cell>
        </row>
        <row r="1311">
          <cell r="B1311" t="str">
            <v>304 2013 10 1212 00001</v>
          </cell>
          <cell r="C1311">
            <v>3042013121200000</v>
          </cell>
          <cell r="D1311">
            <v>0.100779560241988</v>
          </cell>
          <cell r="F1311">
            <v>0.89922043975801202</v>
          </cell>
          <cell r="G1311">
            <v>0</v>
          </cell>
          <cell r="H1311">
            <v>1</v>
          </cell>
        </row>
        <row r="1312">
          <cell r="B1312" t="str">
            <v>203 2014 10 1211 00005</v>
          </cell>
          <cell r="C1312">
            <v>2032014121100070</v>
          </cell>
          <cell r="D1312">
            <v>5.4945054945054951E-2</v>
          </cell>
          <cell r="F1312">
            <v>0.94505494505494503</v>
          </cell>
          <cell r="G1312">
            <v>0</v>
          </cell>
          <cell r="H1312">
            <v>1</v>
          </cell>
        </row>
        <row r="1313">
          <cell r="B1313" t="str">
            <v>304 2014 61 1212 00003</v>
          </cell>
          <cell r="C1313">
            <v>3042014121200000</v>
          </cell>
          <cell r="D1313">
            <v>0.100779560241988</v>
          </cell>
          <cell r="F1313">
            <v>0.89922043975801202</v>
          </cell>
          <cell r="G1313">
            <v>0</v>
          </cell>
          <cell r="H1313">
            <v>1</v>
          </cell>
        </row>
        <row r="1314">
          <cell r="B1314" t="str">
            <v>502 2013 10 1221 00001</v>
          </cell>
          <cell r="C1314">
            <v>5022013122100000</v>
          </cell>
          <cell r="D1314">
            <v>1</v>
          </cell>
          <cell r="F1314">
            <v>0</v>
          </cell>
          <cell r="G1314">
            <v>0</v>
          </cell>
          <cell r="H1314">
            <v>1</v>
          </cell>
        </row>
        <row r="1315">
          <cell r="B1315" t="str">
            <v>502 2013 10 1221 00001</v>
          </cell>
          <cell r="C1315">
            <v>5022013122100000</v>
          </cell>
          <cell r="D1315">
            <v>1</v>
          </cell>
          <cell r="F1315">
            <v>0</v>
          </cell>
          <cell r="G1315">
            <v>0</v>
          </cell>
          <cell r="H1315">
            <v>1</v>
          </cell>
        </row>
        <row r="1316">
          <cell r="B1316" t="str">
            <v>503 2013 10 1212 00002</v>
          </cell>
          <cell r="C1316">
            <v>5032014121200000</v>
          </cell>
          <cell r="D1316">
            <v>0.16666666666666666</v>
          </cell>
          <cell r="F1316">
            <v>0.83333333333333337</v>
          </cell>
          <cell r="G1316">
            <v>0</v>
          </cell>
          <cell r="H1316">
            <v>1</v>
          </cell>
        </row>
        <row r="1317">
          <cell r="B1317" t="str">
            <v>503 2013 10 1212 00002</v>
          </cell>
          <cell r="C1317">
            <v>5032013121200000</v>
          </cell>
          <cell r="D1317">
            <v>0.16666666666666666</v>
          </cell>
          <cell r="F1317">
            <v>0.83333333333333337</v>
          </cell>
          <cell r="G1317">
            <v>0</v>
          </cell>
          <cell r="H1317">
            <v>1</v>
          </cell>
        </row>
        <row r="1318">
          <cell r="B1318" t="str">
            <v>301 2013 10 1221 00005</v>
          </cell>
          <cell r="C1318">
            <v>3012014122100000</v>
          </cell>
          <cell r="D1318">
            <v>1</v>
          </cell>
          <cell r="F1318">
            <v>0</v>
          </cell>
          <cell r="G1318">
            <v>0</v>
          </cell>
          <cell r="H1318">
            <v>1</v>
          </cell>
        </row>
        <row r="1319">
          <cell r="B1319" t="str">
            <v>301 2014 10 1211 00004</v>
          </cell>
          <cell r="C1319">
            <v>3012014121100000</v>
          </cell>
          <cell r="D1319">
            <v>0.10539531383582676</v>
          </cell>
          <cell r="F1319">
            <v>0.89460468616417321</v>
          </cell>
          <cell r="G1319">
            <v>0</v>
          </cell>
          <cell r="H1319">
            <v>1</v>
          </cell>
        </row>
        <row r="1320">
          <cell r="B1320" t="str">
            <v>301 2014 10 1211 00004</v>
          </cell>
          <cell r="C1320">
            <v>3012014121100000</v>
          </cell>
          <cell r="D1320">
            <v>0.10539531383582676</v>
          </cell>
          <cell r="F1320">
            <v>0.89460468616417321</v>
          </cell>
          <cell r="G1320">
            <v>0</v>
          </cell>
          <cell r="H1320">
            <v>1</v>
          </cell>
        </row>
        <row r="1321">
          <cell r="B1321" t="str">
            <v>203 2014 10 1212 00009</v>
          </cell>
          <cell r="C1321">
            <v>2032014121200060</v>
          </cell>
          <cell r="D1321">
            <v>5.9565902215354273E-2</v>
          </cell>
          <cell r="F1321">
            <v>0.83392263101495978</v>
          </cell>
          <cell r="G1321">
            <v>0.10651146676968593</v>
          </cell>
          <cell r="H1321">
            <v>1</v>
          </cell>
        </row>
        <row r="1322">
          <cell r="B1322" t="str">
            <v>203 2013 10 1211 00009</v>
          </cell>
          <cell r="C1322">
            <v>2032013121100120</v>
          </cell>
          <cell r="D1322">
            <v>5.8823529411764712E-2</v>
          </cell>
          <cell r="F1322">
            <v>0.94117647058823528</v>
          </cell>
          <cell r="G1322">
            <v>0</v>
          </cell>
          <cell r="H1322">
            <v>1</v>
          </cell>
        </row>
        <row r="1323">
          <cell r="B1323" t="str">
            <v>505 2014 10 1211 00021</v>
          </cell>
          <cell r="C1323">
            <v>5052014121100070</v>
          </cell>
          <cell r="D1323">
            <v>0.32018465012912267</v>
          </cell>
          <cell r="F1323">
            <v>0.67981534987087733</v>
          </cell>
          <cell r="G1323">
            <v>0</v>
          </cell>
          <cell r="H1323">
            <v>1</v>
          </cell>
        </row>
        <row r="1324">
          <cell r="B1324" t="str">
            <v>505 2014 10 1211 00008</v>
          </cell>
          <cell r="C1324">
            <v>5052014121100070</v>
          </cell>
          <cell r="D1324">
            <v>1</v>
          </cell>
          <cell r="F1324">
            <v>0</v>
          </cell>
          <cell r="G1324">
            <v>0</v>
          </cell>
          <cell r="H1324">
            <v>1</v>
          </cell>
        </row>
        <row r="1325">
          <cell r="B1325" t="str">
            <v>301 2013 10 1211 00002</v>
          </cell>
          <cell r="C1325">
            <v>3012013121100000</v>
          </cell>
          <cell r="D1325">
            <v>0.2497241883742872</v>
          </cell>
          <cell r="F1325">
            <v>0.75027581162571277</v>
          </cell>
          <cell r="G1325">
            <v>0</v>
          </cell>
          <cell r="H1325">
            <v>1</v>
          </cell>
        </row>
        <row r="1326">
          <cell r="B1326" t="str">
            <v>301 2012 10 1212 00006</v>
          </cell>
          <cell r="C1326">
            <v>3012013121200000</v>
          </cell>
          <cell r="D1326">
            <v>0.19230769230769232</v>
          </cell>
          <cell r="F1326">
            <v>0.80769230769230771</v>
          </cell>
          <cell r="G1326">
            <v>0</v>
          </cell>
          <cell r="H1326">
            <v>1</v>
          </cell>
        </row>
        <row r="1327">
          <cell r="B1327" t="str">
            <v>301 2012 10 1212 00006</v>
          </cell>
          <cell r="C1327">
            <v>3012013121200010</v>
          </cell>
          <cell r="D1327">
            <v>0.19230769230769232</v>
          </cell>
          <cell r="F1327">
            <v>0.80769230769230771</v>
          </cell>
          <cell r="G1327">
            <v>0</v>
          </cell>
          <cell r="H1327">
            <v>1</v>
          </cell>
        </row>
        <row r="1328">
          <cell r="B1328" t="str">
            <v>301 2013 10 1212 00004</v>
          </cell>
          <cell r="C1328">
            <v>3012013121200020</v>
          </cell>
          <cell r="D1328">
            <v>0.28141146517496196</v>
          </cell>
          <cell r="F1328">
            <v>0.71858853482503804</v>
          </cell>
          <cell r="G1328">
            <v>0</v>
          </cell>
          <cell r="H1328">
            <v>1</v>
          </cell>
        </row>
        <row r="1329">
          <cell r="B1329" t="str">
            <v>301 2012 10 1212 00006</v>
          </cell>
          <cell r="C1329">
            <v>3012013121200010</v>
          </cell>
          <cell r="D1329">
            <v>0.19230769230769232</v>
          </cell>
          <cell r="F1329">
            <v>0.80769230769230771</v>
          </cell>
          <cell r="G1329">
            <v>0</v>
          </cell>
          <cell r="H1329">
            <v>1</v>
          </cell>
        </row>
        <row r="1330">
          <cell r="B1330" t="str">
            <v>301 2007 10 1221   00002</v>
          </cell>
          <cell r="C1330">
            <v>3012007122100010</v>
          </cell>
          <cell r="D1330">
            <v>9.8531999999999995E-2</v>
          </cell>
          <cell r="E1330">
            <v>4.5073000000000002E-2</v>
          </cell>
          <cell r="F1330">
            <v>0.85639500000000002</v>
          </cell>
          <cell r="G1330">
            <v>0</v>
          </cell>
          <cell r="H1330">
            <v>1</v>
          </cell>
        </row>
        <row r="1331">
          <cell r="B1331" t="str">
            <v>301 2013 10 1212 00008</v>
          </cell>
          <cell r="C1331">
            <v>3012013121200050</v>
          </cell>
          <cell r="D1331">
            <v>0.19230769230769232</v>
          </cell>
          <cell r="F1331">
            <v>0.80769230769230771</v>
          </cell>
          <cell r="G1331">
            <v>0</v>
          </cell>
          <cell r="H1331">
            <v>1</v>
          </cell>
        </row>
        <row r="1332">
          <cell r="B1332" t="str">
            <v>301 2008 10 1221 00001</v>
          </cell>
          <cell r="C1332">
            <v>3012008122100000</v>
          </cell>
          <cell r="D1332">
            <v>9.8532422431567318E-2</v>
          </cell>
          <cell r="E1332">
            <v>4.5073378878421638E-2</v>
          </cell>
          <cell r="F1332">
            <v>0.85639419869001099</v>
          </cell>
          <cell r="G1332">
            <v>0</v>
          </cell>
          <cell r="H1332">
            <v>1</v>
          </cell>
        </row>
        <row r="1333">
          <cell r="B1333" t="str">
            <v>301 2012 10 1212 00006</v>
          </cell>
          <cell r="C1333">
            <v>3012013121200010</v>
          </cell>
          <cell r="D1333">
            <v>0.19230769230769232</v>
          </cell>
          <cell r="F1333">
            <v>0.80769230769230771</v>
          </cell>
          <cell r="G1333">
            <v>0</v>
          </cell>
          <cell r="H1333">
            <v>1</v>
          </cell>
        </row>
        <row r="1334">
          <cell r="B1334" t="str">
            <v>301 2013 10 1212 00004</v>
          </cell>
          <cell r="C1334">
            <v>3012013121200010</v>
          </cell>
          <cell r="D1334">
            <v>0.28141146517496196</v>
          </cell>
          <cell r="F1334">
            <v>0.71858853482503804</v>
          </cell>
          <cell r="G1334">
            <v>0</v>
          </cell>
          <cell r="H1334">
            <v>1</v>
          </cell>
        </row>
        <row r="1335">
          <cell r="B1335" t="str">
            <v>301 2013 10 1212 00018</v>
          </cell>
          <cell r="C1335">
            <v>3012014121200020</v>
          </cell>
          <cell r="D1335">
            <v>1</v>
          </cell>
          <cell r="F1335">
            <v>0</v>
          </cell>
          <cell r="G1335">
            <v>0</v>
          </cell>
          <cell r="H1335">
            <v>1</v>
          </cell>
        </row>
        <row r="1336">
          <cell r="B1336" t="str">
            <v>205 2011 10 1212 00019</v>
          </cell>
          <cell r="C1336">
            <v>2052011121200000</v>
          </cell>
          <cell r="D1336">
            <v>7.335538251132484E-2</v>
          </cell>
          <cell r="F1336">
            <v>0.9266446174886751</v>
          </cell>
          <cell r="G1336">
            <v>0</v>
          </cell>
          <cell r="H1336">
            <v>1</v>
          </cell>
        </row>
        <row r="1337">
          <cell r="B1337" t="str">
            <v>301 2012 10 1212 00006</v>
          </cell>
          <cell r="C1337">
            <v>3012013121200000</v>
          </cell>
          <cell r="D1337">
            <v>0.19230769230769232</v>
          </cell>
          <cell r="F1337">
            <v>0.80769230769230771</v>
          </cell>
          <cell r="G1337">
            <v>0</v>
          </cell>
          <cell r="H1337">
            <v>1</v>
          </cell>
        </row>
        <row r="1338">
          <cell r="B1338" t="str">
            <v>301 2013 10 1212 00008</v>
          </cell>
          <cell r="C1338">
            <v>3012014121200010</v>
          </cell>
          <cell r="D1338">
            <v>0.19230769230769232</v>
          </cell>
          <cell r="F1338">
            <v>0.80769230769230771</v>
          </cell>
          <cell r="G1338">
            <v>0</v>
          </cell>
          <cell r="H1338">
            <v>1</v>
          </cell>
        </row>
        <row r="1339">
          <cell r="B1339" t="str">
            <v>301 2013 10 1212 00008</v>
          </cell>
          <cell r="C1339">
            <v>3012013121200030</v>
          </cell>
          <cell r="D1339">
            <v>0.19230769230769232</v>
          </cell>
          <cell r="F1339">
            <v>0.80769230769230771</v>
          </cell>
          <cell r="G1339">
            <v>0</v>
          </cell>
          <cell r="H1339">
            <v>1</v>
          </cell>
        </row>
        <row r="1340">
          <cell r="B1340" t="str">
            <v>301 2012 60 1212 00013</v>
          </cell>
          <cell r="C1340">
            <v>3012013121200050</v>
          </cell>
          <cell r="D1340">
            <v>5.28864431E-2</v>
          </cell>
          <cell r="F1340">
            <v>0.846183091</v>
          </cell>
          <cell r="G1340">
            <v>0.10093046589999999</v>
          </cell>
          <cell r="H1340">
            <v>1</v>
          </cell>
        </row>
        <row r="1341">
          <cell r="B1341" t="str">
            <v>301 2008 10 1221 00001</v>
          </cell>
          <cell r="C1341">
            <v>3012008122100010</v>
          </cell>
          <cell r="D1341">
            <v>9.8532422431567318E-2</v>
          </cell>
          <cell r="E1341">
            <v>4.5073378878421638E-2</v>
          </cell>
          <cell r="F1341">
            <v>0.85639419869001099</v>
          </cell>
          <cell r="G1341">
            <v>0</v>
          </cell>
          <cell r="H1341">
            <v>1</v>
          </cell>
        </row>
        <row r="1342">
          <cell r="B1342" t="str">
            <v>301 2007 10 1221   00002</v>
          </cell>
          <cell r="C1342">
            <v>3012007122100010</v>
          </cell>
          <cell r="D1342">
            <v>9.8531999999999995E-2</v>
          </cell>
          <cell r="E1342">
            <v>4.5073000000000002E-2</v>
          </cell>
          <cell r="F1342">
            <v>0.85639500000000002</v>
          </cell>
          <cell r="G1342">
            <v>0</v>
          </cell>
          <cell r="H1342">
            <v>1</v>
          </cell>
        </row>
        <row r="1343">
          <cell r="B1343" t="str">
            <v>301 2013 10 1212 00007</v>
          </cell>
          <cell r="C1343">
            <v>3012013121200040</v>
          </cell>
          <cell r="D1343">
            <v>6.4114893889850616E-2</v>
          </cell>
          <cell r="F1343">
            <v>0.93588510611014941</v>
          </cell>
          <cell r="G1343">
            <v>0</v>
          </cell>
          <cell r="H1343">
            <v>1</v>
          </cell>
        </row>
        <row r="1344">
          <cell r="B1344" t="str">
            <v>301 2013 10 1212 00007</v>
          </cell>
          <cell r="C1344">
            <v>3012013121200080</v>
          </cell>
          <cell r="D1344">
            <v>6.4114893889850616E-2</v>
          </cell>
          <cell r="F1344">
            <v>0.93588510611014941</v>
          </cell>
          <cell r="G1344">
            <v>0</v>
          </cell>
          <cell r="H1344">
            <v>1</v>
          </cell>
        </row>
        <row r="1345">
          <cell r="B1345" t="str">
            <v>301 2013 10 1212 00008</v>
          </cell>
          <cell r="C1345">
            <v>3012013121200040</v>
          </cell>
          <cell r="D1345">
            <v>0.19230769230769232</v>
          </cell>
          <cell r="F1345">
            <v>0.80769230769230771</v>
          </cell>
          <cell r="G1345">
            <v>0</v>
          </cell>
          <cell r="H1345">
            <v>1</v>
          </cell>
        </row>
        <row r="1346">
          <cell r="B1346" t="str">
            <v>301 2013 10 1212 00008</v>
          </cell>
          <cell r="C1346">
            <v>3012013121200080</v>
          </cell>
          <cell r="D1346">
            <v>0.19230769230769232</v>
          </cell>
          <cell r="F1346">
            <v>0.80769230769230771</v>
          </cell>
          <cell r="G1346">
            <v>0</v>
          </cell>
          <cell r="H1346">
            <v>1</v>
          </cell>
        </row>
        <row r="1347">
          <cell r="B1347" t="str">
            <v>503 2013 60 1221 00001</v>
          </cell>
          <cell r="C1347">
            <v>5032013122100000</v>
          </cell>
          <cell r="D1347">
            <v>1</v>
          </cell>
          <cell r="F1347">
            <v>0</v>
          </cell>
          <cell r="G1347">
            <v>0</v>
          </cell>
          <cell r="H1347">
            <v>1</v>
          </cell>
        </row>
        <row r="1348">
          <cell r="B1348" t="str">
            <v>301 2013 10 1211 00003</v>
          </cell>
          <cell r="C1348">
            <v>3012013121100010</v>
          </cell>
          <cell r="D1348">
            <v>0.11008851116297504</v>
          </cell>
          <cell r="F1348">
            <v>0.88991148883702498</v>
          </cell>
          <cell r="G1348">
            <v>0</v>
          </cell>
          <cell r="H1348">
            <v>1</v>
          </cell>
        </row>
        <row r="1349">
          <cell r="B1349" t="str">
            <v>301 2012 10 1212 00006</v>
          </cell>
          <cell r="C1349">
            <v>3012013121200010</v>
          </cell>
          <cell r="D1349">
            <v>0.19230769230769232</v>
          </cell>
          <cell r="F1349">
            <v>0.80769230769230771</v>
          </cell>
          <cell r="G1349">
            <v>0</v>
          </cell>
          <cell r="H1349">
            <v>1</v>
          </cell>
        </row>
        <row r="1350">
          <cell r="B1350" t="str">
            <v>301 2014 10 1211 00001</v>
          </cell>
          <cell r="C1350">
            <v>3012014121100000</v>
          </cell>
          <cell r="D1350">
            <v>5.765441056125485E-3</v>
          </cell>
          <cell r="F1350">
            <v>7.3797645518406202E-2</v>
          </cell>
          <cell r="G1350">
            <v>0.92043691342546829</v>
          </cell>
          <cell r="H1350">
            <v>1</v>
          </cell>
        </row>
        <row r="1351">
          <cell r="B1351" t="str">
            <v>301 2010 10 1211 00002</v>
          </cell>
          <cell r="C1351">
            <v>3012010121100000</v>
          </cell>
          <cell r="D1351">
            <v>1.8523730890571893E-2</v>
          </cell>
          <cell r="F1351">
            <v>0.23147626910942809</v>
          </cell>
          <cell r="G1351">
            <v>0.75</v>
          </cell>
          <cell r="H1351">
            <v>1</v>
          </cell>
        </row>
        <row r="1352">
          <cell r="B1352" t="str">
            <v>301 2013 10 1211 00004</v>
          </cell>
          <cell r="C1352">
            <v>3012013121100000</v>
          </cell>
          <cell r="D1352">
            <v>0.15003456762470246</v>
          </cell>
          <cell r="F1352">
            <v>0.84996543237529754</v>
          </cell>
          <cell r="G1352">
            <v>0</v>
          </cell>
          <cell r="H1352">
            <v>1</v>
          </cell>
        </row>
        <row r="1353">
          <cell r="B1353" t="str">
            <v>301 2013 10 1212 00008</v>
          </cell>
          <cell r="C1353">
            <v>3012014121200010</v>
          </cell>
          <cell r="D1353">
            <v>0.19230769230769232</v>
          </cell>
          <cell r="F1353">
            <v>0.80769230769230771</v>
          </cell>
          <cell r="G1353">
            <v>0</v>
          </cell>
          <cell r="H1353">
            <v>1</v>
          </cell>
        </row>
        <row r="1354">
          <cell r="B1354" t="str">
            <v>301 2013 10 1212 00008</v>
          </cell>
          <cell r="C1354">
            <v>3012013121200020</v>
          </cell>
          <cell r="D1354">
            <v>0.19230769230769232</v>
          </cell>
          <cell r="F1354">
            <v>0.80769230769230771</v>
          </cell>
          <cell r="G1354">
            <v>0</v>
          </cell>
          <cell r="H1354">
            <v>1</v>
          </cell>
        </row>
        <row r="1355">
          <cell r="B1355" t="str">
            <v>301 2013 10 1212 00015</v>
          </cell>
          <cell r="C1355">
            <v>3012014121200000</v>
          </cell>
          <cell r="D1355">
            <v>4.6843472555573515E-2</v>
          </cell>
          <cell r="F1355">
            <v>0.74949556088917624</v>
          </cell>
          <cell r="G1355">
            <v>0.20366096655525023</v>
          </cell>
          <cell r="H1355">
            <v>1</v>
          </cell>
        </row>
        <row r="1356">
          <cell r="B1356" t="str">
            <v>301 2013 10 1212 00012</v>
          </cell>
          <cell r="C1356">
            <v>3012014121200000</v>
          </cell>
          <cell r="D1356">
            <v>0.25219026513921639</v>
          </cell>
          <cell r="F1356">
            <v>0.74780973486078361</v>
          </cell>
          <cell r="G1356">
            <v>0</v>
          </cell>
          <cell r="H1356">
            <v>1</v>
          </cell>
        </row>
        <row r="1357">
          <cell r="B1357" t="str">
            <v>301 2014 10 1212 00003</v>
          </cell>
          <cell r="C1357">
            <v>3012014121200010</v>
          </cell>
          <cell r="D1357">
            <v>1</v>
          </cell>
          <cell r="F1357">
            <v>0</v>
          </cell>
          <cell r="G1357">
            <v>0</v>
          </cell>
          <cell r="H1357">
            <v>1</v>
          </cell>
        </row>
        <row r="1358">
          <cell r="B1358" t="str">
            <v>301 2013 10 1212 00004</v>
          </cell>
          <cell r="C1358">
            <v>3012013121200020</v>
          </cell>
          <cell r="D1358">
            <v>0.28141146517496196</v>
          </cell>
          <cell r="F1358">
            <v>0.71858853482503804</v>
          </cell>
          <cell r="G1358">
            <v>0</v>
          </cell>
          <cell r="H1358">
            <v>1</v>
          </cell>
        </row>
        <row r="1359">
          <cell r="B1359" t="str">
            <v>301 2013 10 1212 00007</v>
          </cell>
          <cell r="C1359">
            <v>3012013121200030</v>
          </cell>
          <cell r="D1359">
            <v>6.4114893889850616E-2</v>
          </cell>
          <cell r="F1359">
            <v>0.93588510611014941</v>
          </cell>
          <cell r="G1359">
            <v>0</v>
          </cell>
          <cell r="H1359">
            <v>1</v>
          </cell>
        </row>
        <row r="1360">
          <cell r="B1360" t="str">
            <v>301 2012 10 1212 00026</v>
          </cell>
          <cell r="C1360">
            <v>3012013121200060</v>
          </cell>
          <cell r="D1360">
            <v>0.92129956556192694</v>
          </cell>
          <cell r="F1360">
            <v>7.8700434438073064E-2</v>
          </cell>
          <cell r="G1360">
            <v>0</v>
          </cell>
          <cell r="H1360">
            <v>1</v>
          </cell>
        </row>
        <row r="1361">
          <cell r="B1361" t="str">
            <v>301 2011 10 1212 00001</v>
          </cell>
          <cell r="C1361">
            <v>3012011121200050</v>
          </cell>
          <cell r="D1361">
            <v>0.37479100000000004</v>
          </cell>
          <cell r="F1361">
            <v>0.6252089999999999</v>
          </cell>
          <cell r="G1361">
            <v>0</v>
          </cell>
          <cell r="H1361">
            <v>1</v>
          </cell>
        </row>
        <row r="1362">
          <cell r="B1362" t="str">
            <v>301 2013 10 1212 00007</v>
          </cell>
          <cell r="C1362">
            <v>3012013121200080</v>
          </cell>
          <cell r="D1362">
            <v>6.4114893889850616E-2</v>
          </cell>
          <cell r="F1362">
            <v>0.93588510611014941</v>
          </cell>
          <cell r="G1362">
            <v>0</v>
          </cell>
          <cell r="H1362">
            <v>1</v>
          </cell>
        </row>
        <row r="1363">
          <cell r="B1363" t="str">
            <v>301 2007 10 1221   00002</v>
          </cell>
          <cell r="C1363">
            <v>3012007122100010</v>
          </cell>
          <cell r="D1363">
            <v>9.8531999999999995E-2</v>
          </cell>
          <cell r="E1363">
            <v>4.5073000000000002E-2</v>
          </cell>
          <cell r="F1363">
            <v>0.85639500000000002</v>
          </cell>
          <cell r="G1363">
            <v>0</v>
          </cell>
          <cell r="H1363">
            <v>1</v>
          </cell>
        </row>
        <row r="1364">
          <cell r="B1364" t="str">
            <v>301 2013 10 1212 00008</v>
          </cell>
          <cell r="C1364">
            <v>3012013121200030</v>
          </cell>
          <cell r="D1364">
            <v>0.19230769230769232</v>
          </cell>
          <cell r="F1364">
            <v>0.80769230769230771</v>
          </cell>
          <cell r="G1364">
            <v>0</v>
          </cell>
          <cell r="H1364">
            <v>1</v>
          </cell>
        </row>
        <row r="1365">
          <cell r="B1365" t="str">
            <v>301 2013 10 1211 00003</v>
          </cell>
          <cell r="C1365">
            <v>3012013121100010</v>
          </cell>
          <cell r="D1365">
            <v>0.11008851116297504</v>
          </cell>
          <cell r="F1365">
            <v>0.88991148883702498</v>
          </cell>
          <cell r="G1365">
            <v>0</v>
          </cell>
          <cell r="H1365">
            <v>1</v>
          </cell>
        </row>
        <row r="1366">
          <cell r="B1366" t="str">
            <v>301 2013 10 1212 00008</v>
          </cell>
          <cell r="C1366">
            <v>3012014121200010</v>
          </cell>
          <cell r="D1366">
            <v>0.19230769230769232</v>
          </cell>
          <cell r="F1366">
            <v>0.80769230769230771</v>
          </cell>
          <cell r="G1366">
            <v>0</v>
          </cell>
          <cell r="H1366">
            <v>1</v>
          </cell>
        </row>
        <row r="1367">
          <cell r="B1367" t="str">
            <v>301 2012 60 1212 00013</v>
          </cell>
          <cell r="C1367">
            <v>3012012121200050</v>
          </cell>
          <cell r="D1367">
            <v>5.28864431E-2</v>
          </cell>
          <cell r="F1367">
            <v>0.846183091</v>
          </cell>
          <cell r="G1367">
            <v>0.10093046589999999</v>
          </cell>
          <cell r="H1367">
            <v>1</v>
          </cell>
        </row>
        <row r="1368">
          <cell r="B1368" t="str">
            <v>301 2013 10 1212 00008</v>
          </cell>
          <cell r="C1368">
            <v>3012013121200070</v>
          </cell>
          <cell r="D1368">
            <v>0.19230769230769232</v>
          </cell>
          <cell r="F1368">
            <v>0.80769230769230771</v>
          </cell>
          <cell r="G1368">
            <v>0</v>
          </cell>
          <cell r="H1368">
            <v>1</v>
          </cell>
        </row>
        <row r="1369">
          <cell r="B1369" t="str">
            <v>301 2013 10 1212 00008</v>
          </cell>
          <cell r="C1369">
            <v>3012013121200090</v>
          </cell>
          <cell r="D1369">
            <v>0.19230769230769232</v>
          </cell>
          <cell r="F1369">
            <v>0.80769230769230771</v>
          </cell>
          <cell r="G1369">
            <v>0</v>
          </cell>
          <cell r="H1369">
            <v>1</v>
          </cell>
        </row>
        <row r="1370">
          <cell r="B1370" t="str">
            <v>302 2013 10 1212 00016</v>
          </cell>
          <cell r="C1370">
            <v>3022014121200000</v>
          </cell>
          <cell r="D1370">
            <v>7.2463768115942032E-2</v>
          </cell>
          <cell r="F1370">
            <v>0.92753623188405798</v>
          </cell>
          <cell r="G1370">
            <v>0</v>
          </cell>
          <cell r="H1370">
            <v>1</v>
          </cell>
        </row>
        <row r="1371">
          <cell r="B1371" t="str">
            <v>301 2013 10 1212 00015</v>
          </cell>
          <cell r="C1371">
            <v>3012014121200020</v>
          </cell>
          <cell r="D1371">
            <v>4.6843472555573515E-2</v>
          </cell>
          <cell r="F1371">
            <v>0.74949556088917624</v>
          </cell>
          <cell r="G1371">
            <v>0.20366096655525023</v>
          </cell>
          <cell r="H1371">
            <v>1</v>
          </cell>
        </row>
        <row r="1372">
          <cell r="B1372" t="str">
            <v>301 2013 10 1212 00008</v>
          </cell>
          <cell r="C1372">
            <v>3012013121200060</v>
          </cell>
          <cell r="D1372">
            <v>0.19230769230769232</v>
          </cell>
          <cell r="F1372">
            <v>0.80769230769230771</v>
          </cell>
          <cell r="G1372">
            <v>0</v>
          </cell>
          <cell r="H1372">
            <v>1</v>
          </cell>
        </row>
        <row r="1373">
          <cell r="B1373" t="str">
            <v>301 2013 10 1212 00008</v>
          </cell>
          <cell r="C1373">
            <v>3012014121200010</v>
          </cell>
          <cell r="D1373">
            <v>0.19230769230769232</v>
          </cell>
          <cell r="F1373">
            <v>0.80769230769230771</v>
          </cell>
          <cell r="G1373">
            <v>0</v>
          </cell>
          <cell r="H1373">
            <v>1</v>
          </cell>
        </row>
        <row r="1374">
          <cell r="B1374" t="str">
            <v>301 2013 10 1212 00008</v>
          </cell>
          <cell r="C1374">
            <v>3012013121200030</v>
          </cell>
          <cell r="D1374">
            <v>0.19230769230769232</v>
          </cell>
          <cell r="F1374">
            <v>0.80769230769230771</v>
          </cell>
          <cell r="G1374">
            <v>0</v>
          </cell>
          <cell r="H1374">
            <v>1</v>
          </cell>
        </row>
        <row r="1375">
          <cell r="B1375" t="str">
            <v>301 2012 10 1212 00006</v>
          </cell>
          <cell r="C1375">
            <v>3012012121200040</v>
          </cell>
          <cell r="D1375">
            <v>0.19230769230769232</v>
          </cell>
          <cell r="F1375">
            <v>0.80769230769230771</v>
          </cell>
          <cell r="G1375">
            <v>0</v>
          </cell>
          <cell r="H1375">
            <v>1</v>
          </cell>
        </row>
        <row r="1376">
          <cell r="B1376" t="str">
            <v>301 2012 10 1212 00017</v>
          </cell>
          <cell r="C1376">
            <v>3012012121200070</v>
          </cell>
          <cell r="D1376">
            <v>0.43918989302066774</v>
          </cell>
          <cell r="F1376">
            <v>0.56081010697933231</v>
          </cell>
          <cell r="G1376">
            <v>0</v>
          </cell>
          <cell r="H1376">
            <v>1</v>
          </cell>
        </row>
        <row r="1377">
          <cell r="B1377" t="str">
            <v>301 2013 10 1212 00007</v>
          </cell>
          <cell r="C1377">
            <v>3012013121200090</v>
          </cell>
          <cell r="D1377">
            <v>6.4114893889850616E-2</v>
          </cell>
          <cell r="F1377">
            <v>0.93588510611014941</v>
          </cell>
          <cell r="G1377">
            <v>0</v>
          </cell>
          <cell r="H1377">
            <v>1</v>
          </cell>
        </row>
        <row r="1378">
          <cell r="B1378" t="str">
            <v>503 2014 10 1211 00005</v>
          </cell>
          <cell r="C1378">
            <v>5032014121100000</v>
          </cell>
          <cell r="D1378">
            <v>0.21973202882775583</v>
          </cell>
          <cell r="F1378">
            <v>0.78026797117224422</v>
          </cell>
          <cell r="G1378">
            <v>0</v>
          </cell>
          <cell r="H1378">
            <v>1</v>
          </cell>
        </row>
        <row r="1379">
          <cell r="B1379" t="str">
            <v>301 2013 10 1212 00015</v>
          </cell>
          <cell r="C1379">
            <v>3012014121200020</v>
          </cell>
          <cell r="D1379">
            <v>4.6843472555573515E-2</v>
          </cell>
          <cell r="F1379">
            <v>0.74949556088917624</v>
          </cell>
          <cell r="G1379">
            <v>0.20366096655525023</v>
          </cell>
          <cell r="H1379">
            <v>1</v>
          </cell>
        </row>
        <row r="1380">
          <cell r="B1380" t="str">
            <v>301 2013 10 1212 00007</v>
          </cell>
          <cell r="C1380">
            <v>3012013121200050</v>
          </cell>
          <cell r="D1380">
            <v>6.4114893889850616E-2</v>
          </cell>
          <cell r="F1380">
            <v>0.93588510611014941</v>
          </cell>
          <cell r="G1380">
            <v>0</v>
          </cell>
          <cell r="H1380">
            <v>1</v>
          </cell>
        </row>
        <row r="1381">
          <cell r="B1381" t="str">
            <v>301 2013 10 1212 00008</v>
          </cell>
          <cell r="C1381">
            <v>3012013121200070</v>
          </cell>
          <cell r="D1381">
            <v>0.19230769230769232</v>
          </cell>
          <cell r="F1381">
            <v>0.80769230769230771</v>
          </cell>
          <cell r="G1381">
            <v>0</v>
          </cell>
          <cell r="H1381">
            <v>1</v>
          </cell>
        </row>
        <row r="1382">
          <cell r="B1382" t="str">
            <v>502 2011 10 1223 00001</v>
          </cell>
          <cell r="C1382">
            <v>5022011122300010</v>
          </cell>
          <cell r="D1382">
            <v>6.0351029647433684E-2</v>
          </cell>
          <cell r="F1382">
            <v>0.93964897035256634</v>
          </cell>
          <cell r="G1382">
            <v>0</v>
          </cell>
          <cell r="H1382">
            <v>1</v>
          </cell>
        </row>
        <row r="1383">
          <cell r="B1383" t="str">
            <v>301 2014 10 1212 00008</v>
          </cell>
          <cell r="C1383">
            <v>3012014121200020</v>
          </cell>
          <cell r="D1383">
            <v>4.693967495000851E-2</v>
          </cell>
          <cell r="F1383">
            <v>0.80736240914014634</v>
          </cell>
          <cell r="G1383">
            <v>0.14569791590984515</v>
          </cell>
          <cell r="H1383">
            <v>1</v>
          </cell>
        </row>
        <row r="1384">
          <cell r="B1384" t="str">
            <v>301 2013 10 1212 00008</v>
          </cell>
          <cell r="C1384">
            <v>3012013121200030</v>
          </cell>
          <cell r="D1384">
            <v>0.19230769230769232</v>
          </cell>
          <cell r="F1384">
            <v>0.80769230769230771</v>
          </cell>
          <cell r="G1384">
            <v>0</v>
          </cell>
          <cell r="H1384">
            <v>1</v>
          </cell>
        </row>
        <row r="1385">
          <cell r="B1385" t="str">
            <v>302 2013 10 1211 00001</v>
          </cell>
          <cell r="C1385">
            <v>3022014121100000</v>
          </cell>
          <cell r="D1385">
            <v>8.4055133070583248E-3</v>
          </cell>
          <cell r="F1385">
            <v>0.10759057033034648</v>
          </cell>
          <cell r="G1385">
            <v>0.88400391636259523</v>
          </cell>
          <cell r="H1385">
            <v>1</v>
          </cell>
        </row>
        <row r="1386">
          <cell r="B1386" t="str">
            <v>301 2012 10 1212 00006</v>
          </cell>
          <cell r="C1386">
            <v>3012012121200020</v>
          </cell>
          <cell r="D1386">
            <v>0.19230769230769232</v>
          </cell>
          <cell r="F1386">
            <v>0.80769230769230771</v>
          </cell>
          <cell r="G1386">
            <v>0</v>
          </cell>
          <cell r="H1386">
            <v>1</v>
          </cell>
        </row>
        <row r="1387">
          <cell r="B1387" t="str">
            <v>301 2013 10 1212 00008</v>
          </cell>
          <cell r="C1387">
            <v>3012013121200030</v>
          </cell>
          <cell r="D1387">
            <v>0.19230769230769232</v>
          </cell>
          <cell r="F1387">
            <v>0.80769230769230771</v>
          </cell>
          <cell r="G1387">
            <v>0</v>
          </cell>
          <cell r="H1387">
            <v>1</v>
          </cell>
        </row>
        <row r="1388">
          <cell r="B1388" t="str">
            <v>301 2013 10 1212 00007</v>
          </cell>
          <cell r="C1388">
            <v>3012013121200050</v>
          </cell>
          <cell r="D1388">
            <v>6.4114893889850616E-2</v>
          </cell>
          <cell r="F1388">
            <v>0.93588510611014941</v>
          </cell>
          <cell r="G1388">
            <v>0</v>
          </cell>
          <cell r="H1388">
            <v>1</v>
          </cell>
        </row>
        <row r="1389">
          <cell r="B1389" t="str">
            <v>301 2013 10 1212 00019</v>
          </cell>
          <cell r="C1389">
            <v>3012014121200020</v>
          </cell>
          <cell r="D1389">
            <v>1</v>
          </cell>
          <cell r="F1389">
            <v>0</v>
          </cell>
          <cell r="G1389">
            <v>0</v>
          </cell>
          <cell r="H1389">
            <v>1</v>
          </cell>
        </row>
        <row r="1390">
          <cell r="B1390" t="str">
            <v>301 2013 10 1212 00015</v>
          </cell>
          <cell r="C1390">
            <v>3012014121200020</v>
          </cell>
          <cell r="D1390">
            <v>4.6843472555573515E-2</v>
          </cell>
          <cell r="F1390">
            <v>0.74949556088917624</v>
          </cell>
          <cell r="G1390">
            <v>0.20366096655525023</v>
          </cell>
          <cell r="H1390">
            <v>1</v>
          </cell>
        </row>
        <row r="1391">
          <cell r="B1391" t="str">
            <v>301 2013 10 1212 00008</v>
          </cell>
          <cell r="C1391">
            <v>3012013121200030</v>
          </cell>
          <cell r="D1391">
            <v>0.19230769230769232</v>
          </cell>
          <cell r="F1391">
            <v>0.80769230769230771</v>
          </cell>
          <cell r="G1391">
            <v>0</v>
          </cell>
          <cell r="H1391">
            <v>1</v>
          </cell>
        </row>
        <row r="1392">
          <cell r="B1392" t="str">
            <v>301 2013 10 1212 00008</v>
          </cell>
          <cell r="C1392">
            <v>3012013121200050</v>
          </cell>
          <cell r="D1392">
            <v>0.19230769230769232</v>
          </cell>
          <cell r="F1392">
            <v>0.80769230769230771</v>
          </cell>
          <cell r="G1392">
            <v>0</v>
          </cell>
          <cell r="H1392">
            <v>1</v>
          </cell>
        </row>
        <row r="1393">
          <cell r="B1393" t="str">
            <v>301 2014 10 1212 00006</v>
          </cell>
          <cell r="C1393">
            <v>3012014121200020</v>
          </cell>
          <cell r="D1393">
            <v>0.28141146517496196</v>
          </cell>
          <cell r="F1393">
            <v>0.71858853482503804</v>
          </cell>
          <cell r="G1393">
            <v>0</v>
          </cell>
          <cell r="H1393">
            <v>1</v>
          </cell>
        </row>
        <row r="1394">
          <cell r="B1394" t="str">
            <v>301 2011 10 1212 00016</v>
          </cell>
          <cell r="C1394">
            <v>3012012121200030</v>
          </cell>
          <cell r="D1394">
            <v>0.13499800000000001</v>
          </cell>
          <cell r="F1394">
            <v>0.86500200000000005</v>
          </cell>
          <cell r="G1394">
            <v>0</v>
          </cell>
          <cell r="H1394">
            <v>1</v>
          </cell>
        </row>
        <row r="1395">
          <cell r="B1395" t="str">
            <v>301 2013 10 1212 00007</v>
          </cell>
          <cell r="C1395">
            <v>3012013121200040</v>
          </cell>
          <cell r="D1395">
            <v>6.4114893889850616E-2</v>
          </cell>
          <cell r="F1395">
            <v>0.93588510611014941</v>
          </cell>
          <cell r="G1395">
            <v>0</v>
          </cell>
          <cell r="H1395">
            <v>1</v>
          </cell>
        </row>
        <row r="1396">
          <cell r="B1396" t="str">
            <v>301 2012 10 1212 00008</v>
          </cell>
          <cell r="C1396">
            <v>3012012121200060</v>
          </cell>
          <cell r="D1396">
            <v>7.2857833965739319E-2</v>
          </cell>
          <cell r="F1396">
            <v>0.9271421660342607</v>
          </cell>
          <cell r="G1396">
            <v>0</v>
          </cell>
          <cell r="H1396">
            <v>1</v>
          </cell>
        </row>
        <row r="1397">
          <cell r="B1397" t="str">
            <v>302 2013 10 1212 00018</v>
          </cell>
          <cell r="C1397">
            <v>3022014121200000</v>
          </cell>
          <cell r="D1397">
            <v>7.2463768115942032E-2</v>
          </cell>
          <cell r="F1397">
            <v>0.92753623188405798</v>
          </cell>
          <cell r="G1397">
            <v>0</v>
          </cell>
          <cell r="H1397">
            <v>1</v>
          </cell>
        </row>
        <row r="1398">
          <cell r="B1398" t="str">
            <v>301 2014 10 1212 00006</v>
          </cell>
          <cell r="C1398">
            <v>3012014121200020</v>
          </cell>
          <cell r="D1398">
            <v>0.28141146517496196</v>
          </cell>
          <cell r="F1398">
            <v>0.71858853482503804</v>
          </cell>
          <cell r="G1398">
            <v>0</v>
          </cell>
          <cell r="H1398">
            <v>1</v>
          </cell>
        </row>
        <row r="1399">
          <cell r="B1399" t="str">
            <v>301 2013 10 1212 00008</v>
          </cell>
          <cell r="C1399">
            <v>3012013121200040</v>
          </cell>
          <cell r="D1399">
            <v>0.19230769230769232</v>
          </cell>
          <cell r="F1399">
            <v>0.80769230769230771</v>
          </cell>
          <cell r="G1399">
            <v>0</v>
          </cell>
          <cell r="H1399">
            <v>1</v>
          </cell>
        </row>
        <row r="1400">
          <cell r="B1400" t="str">
            <v>301 2012 10 1212 00006</v>
          </cell>
          <cell r="C1400">
            <v>3012012121200050</v>
          </cell>
          <cell r="D1400">
            <v>0.19230769230769232</v>
          </cell>
          <cell r="F1400">
            <v>0.80769230769230771</v>
          </cell>
          <cell r="G1400">
            <v>0</v>
          </cell>
          <cell r="H1400">
            <v>1</v>
          </cell>
        </row>
        <row r="1401">
          <cell r="B1401" t="str">
            <v>301 2013 10 1212 00007</v>
          </cell>
          <cell r="C1401">
            <v>3012013121200070</v>
          </cell>
          <cell r="D1401">
            <v>6.4114893889850616E-2</v>
          </cell>
          <cell r="F1401">
            <v>0.93588510611014941</v>
          </cell>
          <cell r="G1401">
            <v>0</v>
          </cell>
          <cell r="H1401">
            <v>1</v>
          </cell>
        </row>
        <row r="1402">
          <cell r="B1402" t="str">
            <v>301 2012 10 1212 00012</v>
          </cell>
          <cell r="C1402">
            <v>3012013121200020</v>
          </cell>
          <cell r="D1402">
            <v>1</v>
          </cell>
          <cell r="F1402">
            <v>0</v>
          </cell>
          <cell r="G1402">
            <v>0</v>
          </cell>
          <cell r="H1402">
            <v>1</v>
          </cell>
        </row>
        <row r="1403">
          <cell r="B1403" t="str">
            <v>301 2013 10 1212 00004</v>
          </cell>
          <cell r="C1403">
            <v>3012013121200020</v>
          </cell>
          <cell r="D1403">
            <v>0.28141146517496196</v>
          </cell>
          <cell r="F1403">
            <v>0.71858853482503804</v>
          </cell>
          <cell r="G1403">
            <v>0</v>
          </cell>
          <cell r="H1403">
            <v>1</v>
          </cell>
        </row>
        <row r="1404">
          <cell r="B1404" t="str">
            <v>301 2012 10 1212 00008</v>
          </cell>
          <cell r="C1404">
            <v>3012012121200030</v>
          </cell>
          <cell r="D1404">
            <v>7.2857833965739319E-2</v>
          </cell>
          <cell r="F1404">
            <v>0.9271421660342607</v>
          </cell>
          <cell r="G1404">
            <v>0</v>
          </cell>
          <cell r="H1404">
            <v>1</v>
          </cell>
        </row>
        <row r="1405">
          <cell r="B1405" t="str">
            <v>301 2012 10 1212 00006</v>
          </cell>
          <cell r="C1405">
            <v>3012012121200040</v>
          </cell>
          <cell r="D1405">
            <v>0.19230769230769232</v>
          </cell>
          <cell r="F1405">
            <v>0.80769230769230771</v>
          </cell>
          <cell r="G1405">
            <v>0</v>
          </cell>
          <cell r="H1405">
            <v>1</v>
          </cell>
        </row>
        <row r="1406">
          <cell r="B1406" t="str">
            <v>301 2013 10 1212 00007</v>
          </cell>
          <cell r="C1406">
            <v>3012013121200060</v>
          </cell>
          <cell r="D1406">
            <v>6.4114893889850616E-2</v>
          </cell>
          <cell r="F1406">
            <v>0.93588510611014941</v>
          </cell>
          <cell r="G1406">
            <v>0</v>
          </cell>
          <cell r="H1406">
            <v>1</v>
          </cell>
        </row>
        <row r="1407">
          <cell r="B1407" t="str">
            <v>301 2013 10 1212 00007</v>
          </cell>
          <cell r="C1407">
            <v>3012014121200000</v>
          </cell>
          <cell r="D1407">
            <v>6.4114893889850616E-2</v>
          </cell>
          <cell r="F1407">
            <v>0.93588510611014941</v>
          </cell>
          <cell r="G1407">
            <v>0</v>
          </cell>
          <cell r="H1407">
            <v>1</v>
          </cell>
        </row>
        <row r="1408">
          <cell r="B1408" t="str">
            <v>301 2013 10 1212 00007</v>
          </cell>
          <cell r="C1408">
            <v>3012014121200010</v>
          </cell>
          <cell r="D1408">
            <v>6.4114893889850616E-2</v>
          </cell>
          <cell r="F1408">
            <v>0.93588510611014941</v>
          </cell>
          <cell r="G1408">
            <v>0</v>
          </cell>
          <cell r="H1408">
            <v>1</v>
          </cell>
        </row>
        <row r="1409">
          <cell r="B1409" t="str">
            <v>301 2012 10 1212 00008</v>
          </cell>
          <cell r="C1409">
            <v>3012013121200010</v>
          </cell>
          <cell r="D1409">
            <v>7.2857833965739319E-2</v>
          </cell>
          <cell r="F1409">
            <v>0.9271421660342607</v>
          </cell>
          <cell r="G1409">
            <v>0</v>
          </cell>
          <cell r="H1409">
            <v>1</v>
          </cell>
        </row>
        <row r="1410">
          <cell r="B1410" t="str">
            <v>301 2014 10 1212 00006</v>
          </cell>
          <cell r="C1410">
            <v>3012014121200020</v>
          </cell>
          <cell r="D1410">
            <v>0.28141146517496196</v>
          </cell>
          <cell r="F1410">
            <v>0.71858853482503804</v>
          </cell>
          <cell r="G1410">
            <v>0</v>
          </cell>
          <cell r="H1410">
            <v>1</v>
          </cell>
        </row>
        <row r="1411">
          <cell r="B1411" t="str">
            <v>301 2013 10 1212 00007</v>
          </cell>
          <cell r="C1411">
            <v>3012013121200090</v>
          </cell>
          <cell r="D1411">
            <v>6.4114893889850616E-2</v>
          </cell>
          <cell r="F1411">
            <v>0.93588510611014941</v>
          </cell>
          <cell r="G1411">
            <v>0</v>
          </cell>
          <cell r="H1411">
            <v>1</v>
          </cell>
        </row>
        <row r="1412">
          <cell r="B1412" t="str">
            <v>301 2013 10 1212 00008</v>
          </cell>
          <cell r="C1412">
            <v>3012013121200030</v>
          </cell>
          <cell r="D1412">
            <v>0.19230769230769232</v>
          </cell>
          <cell r="F1412">
            <v>0.80769230769230771</v>
          </cell>
          <cell r="G1412">
            <v>0</v>
          </cell>
          <cell r="H1412">
            <v>1</v>
          </cell>
        </row>
        <row r="1413">
          <cell r="B1413" t="str">
            <v>301 2013 10 1212 00008</v>
          </cell>
          <cell r="C1413">
            <v>3012013121200040</v>
          </cell>
          <cell r="D1413">
            <v>0.19230769230769232</v>
          </cell>
          <cell r="F1413">
            <v>0.80769230769230771</v>
          </cell>
          <cell r="G1413">
            <v>0</v>
          </cell>
          <cell r="H1413">
            <v>1</v>
          </cell>
        </row>
        <row r="1414">
          <cell r="B1414" t="str">
            <v>301 2013 10 1212 00004</v>
          </cell>
          <cell r="C1414">
            <v>3012013121200020</v>
          </cell>
          <cell r="D1414">
            <v>0.28141146517496196</v>
          </cell>
          <cell r="F1414">
            <v>0.71858853482503804</v>
          </cell>
          <cell r="G1414">
            <v>0</v>
          </cell>
          <cell r="H1414">
            <v>1</v>
          </cell>
        </row>
        <row r="1415">
          <cell r="B1415" t="str">
            <v>301 2013 10 1212 00007</v>
          </cell>
          <cell r="C1415">
            <v>3012013121200040</v>
          </cell>
          <cell r="D1415">
            <v>6.4114893889850616E-2</v>
          </cell>
          <cell r="F1415">
            <v>0.93588510611014941</v>
          </cell>
          <cell r="G1415">
            <v>0</v>
          </cell>
          <cell r="H1415">
            <v>1</v>
          </cell>
        </row>
        <row r="1416">
          <cell r="B1416" t="str">
            <v>301 2013 10 1212 00019</v>
          </cell>
          <cell r="C1416">
            <v>3012013121200090</v>
          </cell>
          <cell r="D1416">
            <v>1</v>
          </cell>
          <cell r="F1416">
            <v>0</v>
          </cell>
          <cell r="G1416">
            <v>0</v>
          </cell>
          <cell r="H1416">
            <v>1</v>
          </cell>
        </row>
        <row r="1417">
          <cell r="B1417" t="str">
            <v>301 2013 10 1212 00008</v>
          </cell>
          <cell r="C1417">
            <v>3012013121200030</v>
          </cell>
          <cell r="D1417">
            <v>0.19230769230769232</v>
          </cell>
          <cell r="F1417">
            <v>0.80769230769230771</v>
          </cell>
          <cell r="G1417">
            <v>0</v>
          </cell>
          <cell r="H1417">
            <v>1</v>
          </cell>
        </row>
        <row r="1418">
          <cell r="B1418" t="str">
            <v>301 2013 10 1212 00007</v>
          </cell>
          <cell r="C1418">
            <v>3012013121200050</v>
          </cell>
          <cell r="D1418">
            <v>6.4114893889850616E-2</v>
          </cell>
          <cell r="F1418">
            <v>0.93588510611014941</v>
          </cell>
          <cell r="G1418">
            <v>0</v>
          </cell>
          <cell r="H1418">
            <v>1</v>
          </cell>
        </row>
        <row r="1419">
          <cell r="B1419" t="str">
            <v>301 2013 10 1212 00008</v>
          </cell>
          <cell r="C1419">
            <v>3012013121200060</v>
          </cell>
          <cell r="D1419">
            <v>0.19230769230769232</v>
          </cell>
          <cell r="F1419">
            <v>0.80769230769230771</v>
          </cell>
          <cell r="G1419">
            <v>0</v>
          </cell>
          <cell r="H1419">
            <v>1</v>
          </cell>
        </row>
        <row r="1420">
          <cell r="B1420" t="str">
            <v>301 2013 10 1212 00007</v>
          </cell>
          <cell r="C1420">
            <v>3012013121200080</v>
          </cell>
          <cell r="D1420">
            <v>6.4114893889850616E-2</v>
          </cell>
          <cell r="F1420">
            <v>0.93588510611014941</v>
          </cell>
          <cell r="G1420">
            <v>0</v>
          </cell>
          <cell r="H1420">
            <v>1</v>
          </cell>
        </row>
        <row r="1421">
          <cell r="B1421" t="str">
            <v>301 2012 10 1212 00018</v>
          </cell>
          <cell r="C1421">
            <v>3012012121200070</v>
          </cell>
          <cell r="D1421">
            <v>0.48626325748145199</v>
          </cell>
          <cell r="F1421">
            <v>0.51373674251854795</v>
          </cell>
          <cell r="G1421">
            <v>0</v>
          </cell>
          <cell r="H1421">
            <v>1</v>
          </cell>
        </row>
        <row r="1422">
          <cell r="B1422" t="str">
            <v>301 2013 10 1212 00008</v>
          </cell>
          <cell r="C1422">
            <v>3012013121200070</v>
          </cell>
          <cell r="D1422">
            <v>0.19230769230769232</v>
          </cell>
          <cell r="F1422">
            <v>0.80769230769230771</v>
          </cell>
          <cell r="G1422">
            <v>0</v>
          </cell>
          <cell r="H1422">
            <v>1</v>
          </cell>
        </row>
        <row r="1423">
          <cell r="B1423" t="str">
            <v>301 2011 10 1212 00003</v>
          </cell>
          <cell r="C1423">
            <v>3012011121200030</v>
          </cell>
          <cell r="D1423">
            <v>0.24183800000000003</v>
          </cell>
          <cell r="F1423">
            <v>0.758162</v>
          </cell>
          <cell r="G1423">
            <v>0</v>
          </cell>
          <cell r="H1423">
            <v>1</v>
          </cell>
        </row>
        <row r="1424">
          <cell r="B1424" t="str">
            <v>301 2011 10 1212 00003</v>
          </cell>
          <cell r="C1424">
            <v>3012011121200050</v>
          </cell>
          <cell r="D1424">
            <v>0.24183800000000003</v>
          </cell>
          <cell r="F1424">
            <v>0.758162</v>
          </cell>
          <cell r="G1424">
            <v>0</v>
          </cell>
          <cell r="H1424">
            <v>1</v>
          </cell>
        </row>
        <row r="1425">
          <cell r="B1425" t="str">
            <v>301 2012 10 1212 00026</v>
          </cell>
          <cell r="C1425">
            <v>3012013121200060</v>
          </cell>
          <cell r="D1425">
            <v>0.92129956556192694</v>
          </cell>
          <cell r="F1425">
            <v>7.8700434438073064E-2</v>
          </cell>
          <cell r="G1425">
            <v>0</v>
          </cell>
          <cell r="H1425">
            <v>1</v>
          </cell>
        </row>
        <row r="1426">
          <cell r="B1426" t="str">
            <v>301 2012 10 1212 00008</v>
          </cell>
          <cell r="C1426">
            <v>3012012121200070</v>
          </cell>
          <cell r="D1426">
            <v>7.2857833965739319E-2</v>
          </cell>
          <cell r="F1426">
            <v>0.9271421660342607</v>
          </cell>
          <cell r="G1426">
            <v>0</v>
          </cell>
          <cell r="H1426">
            <v>1</v>
          </cell>
        </row>
        <row r="1427">
          <cell r="B1427" t="str">
            <v>302 2013 10 1211 00001</v>
          </cell>
          <cell r="C1427">
            <v>3022013121100000</v>
          </cell>
          <cell r="D1427">
            <v>8.4055133070583248E-3</v>
          </cell>
          <cell r="F1427">
            <v>0.10759057033034648</v>
          </cell>
          <cell r="G1427">
            <v>0.88400391636259523</v>
          </cell>
          <cell r="H1427">
            <v>1</v>
          </cell>
        </row>
        <row r="1428">
          <cell r="B1428" t="str">
            <v>503 2013 10 1212 00002</v>
          </cell>
          <cell r="C1428">
            <v>5032013121200000</v>
          </cell>
          <cell r="D1428">
            <v>0.16666666666666666</v>
          </cell>
          <cell r="F1428">
            <v>0.83333333333333337</v>
          </cell>
          <cell r="G1428">
            <v>0</v>
          </cell>
          <cell r="H1428">
            <v>1</v>
          </cell>
        </row>
        <row r="1429">
          <cell r="B1429" t="str">
            <v>301 2013 10 1212 00007</v>
          </cell>
          <cell r="C1429">
            <v>3012013121200090</v>
          </cell>
          <cell r="D1429">
            <v>6.4114893889850616E-2</v>
          </cell>
          <cell r="F1429">
            <v>0.93588510611014941</v>
          </cell>
          <cell r="G1429">
            <v>0</v>
          </cell>
          <cell r="H1429">
            <v>1</v>
          </cell>
        </row>
        <row r="1430">
          <cell r="B1430" t="str">
            <v>503 2013 10 1212 00002</v>
          </cell>
          <cell r="C1430">
            <v>5032014121200000</v>
          </cell>
          <cell r="D1430">
            <v>0.16666666666666666</v>
          </cell>
          <cell r="F1430">
            <v>0.83333333333333337</v>
          </cell>
          <cell r="G1430">
            <v>0</v>
          </cell>
          <cell r="H1430">
            <v>1</v>
          </cell>
        </row>
        <row r="1431">
          <cell r="B1431" t="str">
            <v>301 2012 10 1212 00008</v>
          </cell>
          <cell r="C1431">
            <v>3012012121200070</v>
          </cell>
          <cell r="D1431">
            <v>7.2857833965739319E-2</v>
          </cell>
          <cell r="F1431">
            <v>0.9271421660342607</v>
          </cell>
          <cell r="G1431">
            <v>0</v>
          </cell>
          <cell r="H1431">
            <v>1</v>
          </cell>
        </row>
        <row r="1432">
          <cell r="B1432" t="str">
            <v>301 2013 10 1212 00008</v>
          </cell>
          <cell r="C1432">
            <v>3012013121200090</v>
          </cell>
          <cell r="D1432">
            <v>0.19230769230769232</v>
          </cell>
          <cell r="F1432">
            <v>0.80769230769230771</v>
          </cell>
          <cell r="G1432">
            <v>0</v>
          </cell>
          <cell r="H1432">
            <v>1</v>
          </cell>
        </row>
        <row r="1433">
          <cell r="B1433" t="str">
            <v>302 2013 10 1212 00014</v>
          </cell>
          <cell r="C1433">
            <v>3022013121200000</v>
          </cell>
          <cell r="D1433">
            <v>0.58079024900452891</v>
          </cell>
          <cell r="F1433">
            <v>0.41920975099547109</v>
          </cell>
          <cell r="G1433">
            <v>0</v>
          </cell>
          <cell r="H1433">
            <v>1</v>
          </cell>
        </row>
        <row r="1434">
          <cell r="B1434" t="str">
            <v>302 2013 10 1212 00018</v>
          </cell>
          <cell r="C1434">
            <v>3022014121200010</v>
          </cell>
          <cell r="D1434">
            <v>7.2463768115942032E-2</v>
          </cell>
          <cell r="F1434">
            <v>0.92753623188405798</v>
          </cell>
          <cell r="G1434">
            <v>0</v>
          </cell>
          <cell r="H1434">
            <v>1</v>
          </cell>
        </row>
        <row r="1435">
          <cell r="B1435" t="str">
            <v>301 2013 10 1212 00007</v>
          </cell>
          <cell r="C1435">
            <v>3012013121200060</v>
          </cell>
          <cell r="D1435">
            <v>6.4114893889850616E-2</v>
          </cell>
          <cell r="F1435">
            <v>0.93588510611014941</v>
          </cell>
          <cell r="G1435">
            <v>0</v>
          </cell>
          <cell r="H1435">
            <v>1</v>
          </cell>
        </row>
        <row r="1436">
          <cell r="B1436" t="str">
            <v>301 2012 10 1212 00026</v>
          </cell>
          <cell r="C1436">
            <v>3012013121200080</v>
          </cell>
          <cell r="D1436">
            <v>0.92129956556192694</v>
          </cell>
          <cell r="F1436">
            <v>7.8700434438073064E-2</v>
          </cell>
          <cell r="G1436">
            <v>0</v>
          </cell>
          <cell r="H1436">
            <v>1</v>
          </cell>
        </row>
        <row r="1437">
          <cell r="B1437" t="str">
            <v>302 2013 10 1212 00018</v>
          </cell>
          <cell r="C1437">
            <v>3022014121200000</v>
          </cell>
          <cell r="D1437">
            <v>7.2463768115942032E-2</v>
          </cell>
          <cell r="F1437">
            <v>0.92753623188405798</v>
          </cell>
          <cell r="G1437">
            <v>0</v>
          </cell>
          <cell r="H1437">
            <v>1</v>
          </cell>
        </row>
        <row r="1438">
          <cell r="B1438" t="str">
            <v>301 2013 10 1212 00008</v>
          </cell>
          <cell r="C1438">
            <v>3012013121200060</v>
          </cell>
          <cell r="D1438">
            <v>0.19230769230769232</v>
          </cell>
          <cell r="F1438">
            <v>0.80769230769230771</v>
          </cell>
          <cell r="G1438">
            <v>0</v>
          </cell>
          <cell r="H1438">
            <v>1</v>
          </cell>
        </row>
        <row r="1439">
          <cell r="B1439" t="str">
            <v>301 2013 10 1212 00007</v>
          </cell>
          <cell r="C1439">
            <v>3012014121200000</v>
          </cell>
          <cell r="D1439">
            <v>6.4114893889850616E-2</v>
          </cell>
          <cell r="F1439">
            <v>0.93588510611014941</v>
          </cell>
          <cell r="G1439">
            <v>0</v>
          </cell>
          <cell r="H1439">
            <v>1</v>
          </cell>
        </row>
        <row r="1440">
          <cell r="B1440" t="str">
            <v>301 2012 10 1212 00008</v>
          </cell>
          <cell r="C1440">
            <v>3012013121200010</v>
          </cell>
          <cell r="D1440">
            <v>7.2857833965739319E-2</v>
          </cell>
          <cell r="F1440">
            <v>0.9271421660342607</v>
          </cell>
          <cell r="G1440">
            <v>0</v>
          </cell>
          <cell r="H1440">
            <v>1</v>
          </cell>
        </row>
        <row r="1441">
          <cell r="B1441" t="str">
            <v>301 2007 10 1221   00002</v>
          </cell>
          <cell r="C1441">
            <v>3012007122100010</v>
          </cell>
          <cell r="D1441">
            <v>9.8531999999999995E-2</v>
          </cell>
          <cell r="E1441">
            <v>4.5073000000000002E-2</v>
          </cell>
          <cell r="F1441">
            <v>0.85639500000000002</v>
          </cell>
          <cell r="G1441">
            <v>0</v>
          </cell>
          <cell r="H1441">
            <v>1</v>
          </cell>
        </row>
        <row r="1442">
          <cell r="B1442" t="str">
            <v>301 2012 10 1212 00017</v>
          </cell>
          <cell r="C1442">
            <v>3012013121200010</v>
          </cell>
          <cell r="D1442">
            <v>0.43918989302066774</v>
          </cell>
          <cell r="F1442">
            <v>0.56081010697933231</v>
          </cell>
          <cell r="G1442">
            <v>0</v>
          </cell>
          <cell r="H1442">
            <v>1</v>
          </cell>
        </row>
        <row r="1443">
          <cell r="B1443" t="str">
            <v>301 2013 10 1212 00008</v>
          </cell>
          <cell r="C1443">
            <v>3012013121200040</v>
          </cell>
          <cell r="D1443">
            <v>0.19230769230769232</v>
          </cell>
          <cell r="F1443">
            <v>0.80769230769230771</v>
          </cell>
          <cell r="G1443">
            <v>0</v>
          </cell>
          <cell r="H1443">
            <v>1</v>
          </cell>
        </row>
        <row r="1444">
          <cell r="B1444" t="str">
            <v>302 2013 10 1212 00018</v>
          </cell>
          <cell r="C1444">
            <v>3022014121200000</v>
          </cell>
          <cell r="D1444">
            <v>7.2463768115942032E-2</v>
          </cell>
          <cell r="F1444">
            <v>0.92753623188405798</v>
          </cell>
          <cell r="G1444">
            <v>0</v>
          </cell>
          <cell r="H1444">
            <v>1</v>
          </cell>
        </row>
        <row r="1445">
          <cell r="B1445" t="str">
            <v>301 2012 10 1212 00002</v>
          </cell>
          <cell r="C1445">
            <v>3012012121200080</v>
          </cell>
          <cell r="D1445">
            <v>0.25816341850134872</v>
          </cell>
          <cell r="F1445">
            <v>0.74183658149865128</v>
          </cell>
          <cell r="G1445">
            <v>0</v>
          </cell>
          <cell r="H1445">
            <v>1</v>
          </cell>
        </row>
        <row r="1446">
          <cell r="B1446" t="str">
            <v>301 2012 10 1212 00006</v>
          </cell>
          <cell r="C1446">
            <v>3012013121200020</v>
          </cell>
          <cell r="D1446">
            <v>0.19230769230769232</v>
          </cell>
          <cell r="F1446">
            <v>0.80769230769230771</v>
          </cell>
          <cell r="G1446">
            <v>0</v>
          </cell>
          <cell r="H1446">
            <v>1</v>
          </cell>
        </row>
        <row r="1447">
          <cell r="B1447" t="str">
            <v>301 2012 10 1212 00008</v>
          </cell>
          <cell r="C1447">
            <v>3012012121200030</v>
          </cell>
          <cell r="D1447">
            <v>7.2857833965739319E-2</v>
          </cell>
          <cell r="F1447">
            <v>0.9271421660342607</v>
          </cell>
          <cell r="G1447">
            <v>0</v>
          </cell>
          <cell r="H1447">
            <v>1</v>
          </cell>
        </row>
        <row r="1448">
          <cell r="B1448" t="str">
            <v>301 2013 10 1212 00007</v>
          </cell>
          <cell r="C1448">
            <v>3012013121200050</v>
          </cell>
          <cell r="D1448">
            <v>6.4114893889850616E-2</v>
          </cell>
          <cell r="F1448">
            <v>0.93588510611014941</v>
          </cell>
          <cell r="G1448">
            <v>0</v>
          </cell>
          <cell r="H1448">
            <v>1</v>
          </cell>
        </row>
        <row r="1449">
          <cell r="B1449" t="str">
            <v>301 2012 10 1212 00023</v>
          </cell>
          <cell r="C1449">
            <v>3012012121200060</v>
          </cell>
          <cell r="D1449">
            <v>1</v>
          </cell>
          <cell r="F1449">
            <v>0</v>
          </cell>
          <cell r="G1449">
            <v>0</v>
          </cell>
          <cell r="H1449">
            <v>1</v>
          </cell>
        </row>
        <row r="1450">
          <cell r="B1450" t="str">
            <v>302 2013 10 1211 00001</v>
          </cell>
          <cell r="C1450">
            <v>3022014121100000</v>
          </cell>
          <cell r="D1450">
            <v>8.4055133070583248E-3</v>
          </cell>
          <cell r="F1450">
            <v>0.10759057033034648</v>
          </cell>
          <cell r="G1450">
            <v>0.88400391636259523</v>
          </cell>
          <cell r="H1450">
            <v>1</v>
          </cell>
        </row>
        <row r="1451">
          <cell r="B1451" t="str">
            <v>302 2013 10 1212 00019</v>
          </cell>
          <cell r="C1451">
            <v>3022013121200000</v>
          </cell>
          <cell r="D1451">
            <v>0.97366389668434006</v>
          </cell>
          <cell r="F1451">
            <v>2.6336103315659942E-2</v>
          </cell>
          <cell r="G1451">
            <v>0</v>
          </cell>
          <cell r="H1451">
            <v>1</v>
          </cell>
        </row>
        <row r="1452">
          <cell r="B1452" t="str">
            <v>301 2013 10 1212 00008</v>
          </cell>
          <cell r="C1452">
            <v>3012013121200060</v>
          </cell>
          <cell r="D1452">
            <v>0.19230769230769232</v>
          </cell>
          <cell r="F1452">
            <v>0.80769230769230771</v>
          </cell>
          <cell r="G1452">
            <v>0</v>
          </cell>
          <cell r="H1452">
            <v>1</v>
          </cell>
        </row>
        <row r="1453">
          <cell r="B1453" t="str">
            <v>301 2013 10 1212 00008</v>
          </cell>
          <cell r="C1453">
            <v>3012013121200070</v>
          </cell>
          <cell r="D1453">
            <v>0.19230769230769232</v>
          </cell>
          <cell r="F1453">
            <v>0.80769230769230771</v>
          </cell>
          <cell r="G1453">
            <v>0</v>
          </cell>
          <cell r="H1453">
            <v>1</v>
          </cell>
        </row>
        <row r="1454">
          <cell r="B1454" t="str">
            <v>301 2013 10 1212 00008</v>
          </cell>
          <cell r="C1454">
            <v>3012013121200080</v>
          </cell>
          <cell r="D1454">
            <v>0.19230769230769232</v>
          </cell>
          <cell r="F1454">
            <v>0.80769230769230771</v>
          </cell>
          <cell r="G1454">
            <v>0</v>
          </cell>
          <cell r="H1454">
            <v>1</v>
          </cell>
        </row>
        <row r="1455">
          <cell r="B1455" t="str">
            <v>302 2013 10 1212 00018</v>
          </cell>
          <cell r="C1455">
            <v>3022013121200010</v>
          </cell>
          <cell r="D1455">
            <v>7.2463768115942032E-2</v>
          </cell>
          <cell r="F1455">
            <v>0.92753623188405798</v>
          </cell>
          <cell r="G1455">
            <v>0</v>
          </cell>
          <cell r="H1455">
            <v>1</v>
          </cell>
        </row>
        <row r="1456">
          <cell r="B1456" t="str">
            <v>401 2014 10 1211 00008</v>
          </cell>
          <cell r="C1456">
            <v>4012014121100000</v>
          </cell>
          <cell r="D1456">
            <v>5.4945054945054944E-2</v>
          </cell>
          <cell r="F1456">
            <v>0.94505494505494503</v>
          </cell>
          <cell r="G1456">
            <v>0</v>
          </cell>
          <cell r="H1456">
            <v>1</v>
          </cell>
        </row>
        <row r="1457">
          <cell r="B1457" t="str">
            <v>302 2013 10 1212 00018</v>
          </cell>
          <cell r="C1457">
            <v>3022013121200000</v>
          </cell>
          <cell r="D1457">
            <v>7.2463768115942032E-2</v>
          </cell>
          <cell r="F1457">
            <v>0.92753623188405798</v>
          </cell>
          <cell r="G1457">
            <v>0</v>
          </cell>
          <cell r="H1457">
            <v>1</v>
          </cell>
        </row>
        <row r="1458">
          <cell r="B1458" t="str">
            <v>302 2013 10 1212 00018</v>
          </cell>
          <cell r="C1458">
            <v>3022013121200010</v>
          </cell>
          <cell r="D1458">
            <v>7.2463768115942032E-2</v>
          </cell>
          <cell r="F1458">
            <v>0.92753623188405798</v>
          </cell>
          <cell r="G1458">
            <v>0</v>
          </cell>
          <cell r="H1458">
            <v>1</v>
          </cell>
        </row>
        <row r="1459">
          <cell r="B1459" t="str">
            <v>301 2013 10 1211 00003</v>
          </cell>
          <cell r="C1459">
            <v>3012013121100010</v>
          </cell>
          <cell r="D1459">
            <v>0.11008851116297504</v>
          </cell>
          <cell r="F1459">
            <v>0.88991148883702498</v>
          </cell>
          <cell r="G1459">
            <v>0</v>
          </cell>
          <cell r="H1459">
            <v>1</v>
          </cell>
        </row>
        <row r="1460">
          <cell r="B1460" t="str">
            <v>301 2013 10 1212 00007</v>
          </cell>
          <cell r="C1460">
            <v>3012014121200010</v>
          </cell>
          <cell r="D1460">
            <v>6.4114893889850616E-2</v>
          </cell>
          <cell r="F1460">
            <v>0.93588510611014941</v>
          </cell>
          <cell r="G1460">
            <v>0</v>
          </cell>
          <cell r="H1460">
            <v>1</v>
          </cell>
        </row>
        <row r="1461">
          <cell r="B1461" t="str">
            <v>301 2012 10 1212 00008</v>
          </cell>
          <cell r="C1461">
            <v>3012013121200010</v>
          </cell>
          <cell r="D1461">
            <v>7.2857833965739319E-2</v>
          </cell>
          <cell r="F1461">
            <v>0.9271421660342607</v>
          </cell>
          <cell r="G1461">
            <v>0</v>
          </cell>
          <cell r="H1461">
            <v>1</v>
          </cell>
        </row>
        <row r="1462">
          <cell r="B1462" t="str">
            <v>301 2013 10 1212 00007</v>
          </cell>
          <cell r="C1462">
            <v>3012014121200010</v>
          </cell>
          <cell r="D1462">
            <v>6.4114893889850616E-2</v>
          </cell>
          <cell r="F1462">
            <v>0.93588510611014941</v>
          </cell>
          <cell r="G1462">
            <v>0</v>
          </cell>
          <cell r="H1462">
            <v>1</v>
          </cell>
        </row>
        <row r="1463">
          <cell r="B1463" t="str">
            <v>301 2013 10 1212 00008</v>
          </cell>
          <cell r="C1463">
            <v>3012013121200040</v>
          </cell>
          <cell r="D1463">
            <v>0.19230769230769232</v>
          </cell>
          <cell r="F1463">
            <v>0.80769230769230771</v>
          </cell>
          <cell r="G1463">
            <v>0</v>
          </cell>
          <cell r="H1463">
            <v>1</v>
          </cell>
        </row>
        <row r="1464">
          <cell r="B1464" t="str">
            <v>401 2014 10 1211 00008</v>
          </cell>
          <cell r="C1464">
            <v>4012014121100010</v>
          </cell>
          <cell r="D1464">
            <v>5.4945054945054944E-2</v>
          </cell>
          <cell r="F1464">
            <v>0.94505494505494503</v>
          </cell>
          <cell r="G1464">
            <v>0</v>
          </cell>
          <cell r="H1464">
            <v>1</v>
          </cell>
        </row>
        <row r="1465">
          <cell r="B1465" t="str">
            <v>302 2013 10 1212 00018</v>
          </cell>
          <cell r="C1465">
            <v>3022014121200000</v>
          </cell>
          <cell r="D1465">
            <v>7.2463768115942032E-2</v>
          </cell>
          <cell r="F1465">
            <v>0.92753623188405798</v>
          </cell>
          <cell r="G1465">
            <v>0</v>
          </cell>
          <cell r="H1465">
            <v>1</v>
          </cell>
        </row>
        <row r="1466">
          <cell r="B1466" t="str">
            <v>401 2013 10 1211 00008</v>
          </cell>
          <cell r="C1466">
            <v>4012013121100030</v>
          </cell>
          <cell r="D1466">
            <v>6.1811940385597716E-2</v>
          </cell>
          <cell r="F1466">
            <v>0.93818805961440233</v>
          </cell>
          <cell r="G1466">
            <v>0</v>
          </cell>
          <cell r="H1466">
            <v>1</v>
          </cell>
        </row>
        <row r="1467">
          <cell r="B1467" t="str">
            <v>302 2013 10 1211 00001</v>
          </cell>
          <cell r="C1467">
            <v>3022013121100000</v>
          </cell>
          <cell r="D1467">
            <v>8.4055133070583248E-3</v>
          </cell>
          <cell r="F1467">
            <v>0.10759057033034648</v>
          </cell>
          <cell r="G1467">
            <v>0.88400391636259523</v>
          </cell>
          <cell r="H1467">
            <v>1</v>
          </cell>
        </row>
        <row r="1468">
          <cell r="B1468" t="str">
            <v>503 2014 10 1211 00005</v>
          </cell>
          <cell r="C1468">
            <v>5032014121100000</v>
          </cell>
          <cell r="D1468">
            <v>0.21973202882775583</v>
          </cell>
          <cell r="F1468">
            <v>0.78026797117224422</v>
          </cell>
          <cell r="G1468">
            <v>0</v>
          </cell>
          <cell r="H1468">
            <v>1</v>
          </cell>
        </row>
        <row r="1469">
          <cell r="B1469" t="str">
            <v>301 2013 10 1212 00008</v>
          </cell>
          <cell r="C1469">
            <v>3012013121200060</v>
          </cell>
          <cell r="D1469">
            <v>0.19230769230769232</v>
          </cell>
          <cell r="F1469">
            <v>0.80769230769230771</v>
          </cell>
          <cell r="G1469">
            <v>0</v>
          </cell>
          <cell r="H1469">
            <v>1</v>
          </cell>
        </row>
        <row r="1470">
          <cell r="B1470" t="str">
            <v>301 2012 10 1212 00002</v>
          </cell>
          <cell r="C1470">
            <v>3012012121200070</v>
          </cell>
          <cell r="D1470">
            <v>0.25816341850134872</v>
          </cell>
          <cell r="F1470">
            <v>0.74183658149865128</v>
          </cell>
          <cell r="G1470">
            <v>0</v>
          </cell>
          <cell r="H1470">
            <v>1</v>
          </cell>
        </row>
        <row r="1471">
          <cell r="B1471" t="str">
            <v>401 2014 10 1211 00015</v>
          </cell>
          <cell r="C1471">
            <v>4012014121100030</v>
          </cell>
          <cell r="D1471">
            <v>6.4659724280010766E-2</v>
          </cell>
          <cell r="F1471">
            <v>0.93534027571998923</v>
          </cell>
          <cell r="G1471">
            <v>0</v>
          </cell>
          <cell r="H1471">
            <v>1</v>
          </cell>
        </row>
        <row r="1472">
          <cell r="B1472" t="str">
            <v>301 2013 10 1212 00007</v>
          </cell>
          <cell r="C1472">
            <v>3012013121200050</v>
          </cell>
          <cell r="D1472">
            <v>6.4114893889850616E-2</v>
          </cell>
          <cell r="F1472">
            <v>0.93588510611014941</v>
          </cell>
          <cell r="G1472">
            <v>0</v>
          </cell>
          <cell r="H1472">
            <v>1</v>
          </cell>
        </row>
        <row r="1473">
          <cell r="B1473" t="str">
            <v>301 2013 10 1212 00008</v>
          </cell>
          <cell r="C1473">
            <v>3012013121200070</v>
          </cell>
          <cell r="D1473">
            <v>0.19230769230769232</v>
          </cell>
          <cell r="F1473">
            <v>0.80769230769230771</v>
          </cell>
          <cell r="G1473">
            <v>0</v>
          </cell>
          <cell r="H1473">
            <v>1</v>
          </cell>
        </row>
        <row r="1474">
          <cell r="B1474" t="str">
            <v>301 2013 10 1212 00004</v>
          </cell>
          <cell r="C1474">
            <v>3012013121200080</v>
          </cell>
          <cell r="D1474">
            <v>0.28141146517496196</v>
          </cell>
          <cell r="F1474">
            <v>0.71858853482503804</v>
          </cell>
          <cell r="G1474">
            <v>0</v>
          </cell>
          <cell r="H1474">
            <v>1</v>
          </cell>
        </row>
        <row r="1475">
          <cell r="B1475" t="str">
            <v>302 2013 10 1212 00018</v>
          </cell>
          <cell r="C1475">
            <v>3022013121200010</v>
          </cell>
          <cell r="D1475">
            <v>7.2463768115942032E-2</v>
          </cell>
          <cell r="F1475">
            <v>0.92753623188405798</v>
          </cell>
          <cell r="G1475">
            <v>0</v>
          </cell>
          <cell r="H1475">
            <v>1</v>
          </cell>
        </row>
        <row r="1476">
          <cell r="B1476" t="str">
            <v>401 2014 10 1211 00007</v>
          </cell>
          <cell r="C1476">
            <v>4012014121100000</v>
          </cell>
          <cell r="D1476">
            <v>5.4945054945054937E-2</v>
          </cell>
          <cell r="F1476">
            <v>0.94505494505494503</v>
          </cell>
          <cell r="G1476">
            <v>0</v>
          </cell>
          <cell r="H1476">
            <v>1</v>
          </cell>
        </row>
        <row r="1477">
          <cell r="B1477" t="str">
            <v>401 2014 10 1211 00014</v>
          </cell>
          <cell r="C1477">
            <v>4012014121100020</v>
          </cell>
          <cell r="D1477">
            <v>5.4945054945054951E-2</v>
          </cell>
          <cell r="F1477">
            <v>0.94505494505494503</v>
          </cell>
          <cell r="G1477">
            <v>0</v>
          </cell>
          <cell r="H1477">
            <v>1</v>
          </cell>
        </row>
        <row r="1478">
          <cell r="B1478" t="str">
            <v>401 2013 10 1211 00010</v>
          </cell>
          <cell r="C1478">
            <v>4012013121100040</v>
          </cell>
          <cell r="D1478">
            <v>5.8823529411764705E-2</v>
          </cell>
          <cell r="F1478">
            <v>0.94117647058823528</v>
          </cell>
          <cell r="G1478">
            <v>0</v>
          </cell>
          <cell r="H1478">
            <v>1</v>
          </cell>
        </row>
        <row r="1479">
          <cell r="B1479" t="str">
            <v>302 2014 61 1212 00016</v>
          </cell>
          <cell r="C1479">
            <v>3022014121200010</v>
          </cell>
          <cell r="D1479">
            <v>5.8823529411764698E-2</v>
          </cell>
          <cell r="F1479">
            <v>0.94117647058823528</v>
          </cell>
          <cell r="G1479">
            <v>0</v>
          </cell>
          <cell r="H1479">
            <v>1</v>
          </cell>
        </row>
        <row r="1480">
          <cell r="B1480" t="str">
            <v>401 2014 10 1211 00015</v>
          </cell>
          <cell r="C1480">
            <v>4012014121100010</v>
          </cell>
          <cell r="D1480">
            <v>6.4659724280010766E-2</v>
          </cell>
          <cell r="F1480">
            <v>0.93534027571998923</v>
          </cell>
          <cell r="G1480">
            <v>0</v>
          </cell>
          <cell r="H1480">
            <v>1</v>
          </cell>
        </row>
        <row r="1481">
          <cell r="B1481" t="str">
            <v>302 2014 10 1212 00001</v>
          </cell>
          <cell r="C1481">
            <v>3022014121200000</v>
          </cell>
          <cell r="D1481">
            <v>2.3545055538625632E-2</v>
          </cell>
          <cell r="F1481">
            <v>0.3820518445890197</v>
          </cell>
          <cell r="G1481">
            <v>0.59440309987235462</v>
          </cell>
          <cell r="H1481">
            <v>1</v>
          </cell>
        </row>
        <row r="1482">
          <cell r="B1482" t="str">
            <v>301 2012 10 1212 00006</v>
          </cell>
          <cell r="C1482">
            <v>3012012121200060</v>
          </cell>
          <cell r="D1482">
            <v>0.19230769230769232</v>
          </cell>
          <cell r="F1482">
            <v>0.80769230769230771</v>
          </cell>
          <cell r="G1482">
            <v>0</v>
          </cell>
          <cell r="H1482">
            <v>1</v>
          </cell>
        </row>
        <row r="1483">
          <cell r="B1483" t="str">
            <v>301 2013 10 1212 00004</v>
          </cell>
          <cell r="C1483">
            <v>3012013121200080</v>
          </cell>
          <cell r="D1483">
            <v>0.28141146517496196</v>
          </cell>
          <cell r="F1483">
            <v>0.71858853482503804</v>
          </cell>
          <cell r="G1483">
            <v>0</v>
          </cell>
          <cell r="H1483">
            <v>1</v>
          </cell>
        </row>
        <row r="1484">
          <cell r="B1484" t="str">
            <v>301 2012 10 1212 00008</v>
          </cell>
          <cell r="C1484">
            <v>3012012121200060</v>
          </cell>
          <cell r="D1484">
            <v>7.2857833965739319E-2</v>
          </cell>
          <cell r="F1484">
            <v>0.9271421660342607</v>
          </cell>
          <cell r="G1484">
            <v>0</v>
          </cell>
          <cell r="H1484">
            <v>1</v>
          </cell>
        </row>
        <row r="1485">
          <cell r="B1485" t="str">
            <v>301 2013 10 1212 00008</v>
          </cell>
          <cell r="C1485">
            <v>3012013121200070</v>
          </cell>
          <cell r="D1485">
            <v>0.19230769230769232</v>
          </cell>
          <cell r="F1485">
            <v>0.80769230769230771</v>
          </cell>
          <cell r="G1485">
            <v>0</v>
          </cell>
          <cell r="H1485">
            <v>1</v>
          </cell>
        </row>
        <row r="1486">
          <cell r="B1486" t="str">
            <v>302 2013 10 1211 00001</v>
          </cell>
          <cell r="C1486">
            <v>3022014121100000</v>
          </cell>
          <cell r="D1486">
            <v>8.4055133070583248E-3</v>
          </cell>
          <cell r="F1486">
            <v>0.10759057033034648</v>
          </cell>
          <cell r="G1486">
            <v>0.88400391636259523</v>
          </cell>
          <cell r="H1486">
            <v>1</v>
          </cell>
        </row>
        <row r="1487">
          <cell r="B1487" t="str">
            <v>401 2014 10 1211 00014</v>
          </cell>
          <cell r="C1487">
            <v>4012014121100020</v>
          </cell>
          <cell r="D1487">
            <v>5.4945054945054951E-2</v>
          </cell>
          <cell r="F1487">
            <v>0.94505494505494503</v>
          </cell>
          <cell r="G1487">
            <v>0</v>
          </cell>
          <cell r="H1487">
            <v>1</v>
          </cell>
        </row>
        <row r="1488">
          <cell r="B1488" t="str">
            <v>401 2014 10 1211 00008</v>
          </cell>
          <cell r="C1488">
            <v>4012014121100030</v>
          </cell>
          <cell r="D1488">
            <v>5.4945054945054944E-2</v>
          </cell>
          <cell r="F1488">
            <v>0.94505494505494503</v>
          </cell>
          <cell r="G1488">
            <v>0</v>
          </cell>
          <cell r="H1488">
            <v>1</v>
          </cell>
        </row>
        <row r="1489">
          <cell r="B1489" t="str">
            <v>302 2014 10 1211 00001</v>
          </cell>
          <cell r="C1489">
            <v>3022014121100000</v>
          </cell>
          <cell r="D1489">
            <v>8.4048101429237496E-3</v>
          </cell>
          <cell r="F1489">
            <v>0.14456273445828852</v>
          </cell>
          <cell r="G1489">
            <v>0.8470324553987878</v>
          </cell>
          <cell r="H1489">
            <v>1</v>
          </cell>
        </row>
        <row r="1490">
          <cell r="B1490" t="str">
            <v>401 2014 10 1211 00014</v>
          </cell>
          <cell r="C1490">
            <v>4012014121100010</v>
          </cell>
          <cell r="D1490">
            <v>5.4945054945054951E-2</v>
          </cell>
          <cell r="F1490">
            <v>0.94505494505494503</v>
          </cell>
          <cell r="G1490">
            <v>0</v>
          </cell>
          <cell r="H1490">
            <v>1</v>
          </cell>
        </row>
        <row r="1491">
          <cell r="B1491" t="str">
            <v>401 2014 10 1211 00007</v>
          </cell>
          <cell r="C1491">
            <v>4012014121100030</v>
          </cell>
          <cell r="D1491">
            <v>5.4945054945054937E-2</v>
          </cell>
          <cell r="F1491">
            <v>0.94505494505494503</v>
          </cell>
          <cell r="G1491">
            <v>0</v>
          </cell>
          <cell r="H1491">
            <v>1</v>
          </cell>
        </row>
        <row r="1492">
          <cell r="B1492" t="str">
            <v>402 2013 10 1212 00002</v>
          </cell>
          <cell r="C1492">
            <v>4022013121200000</v>
          </cell>
          <cell r="D1492">
            <v>0.13752131580394961</v>
          </cell>
          <cell r="F1492">
            <v>0.86247868419605034</v>
          </cell>
          <cell r="G1492">
            <v>0</v>
          </cell>
          <cell r="H1492">
            <v>1</v>
          </cell>
        </row>
        <row r="1493">
          <cell r="B1493" t="str">
            <v>501 2014 10 1212 00001</v>
          </cell>
          <cell r="C1493">
            <v>5012014121200000</v>
          </cell>
          <cell r="D1493">
            <v>0.17669423705422171</v>
          </cell>
          <cell r="F1493">
            <v>0.82330576294577829</v>
          </cell>
          <cell r="G1493">
            <v>0</v>
          </cell>
          <cell r="H1493">
            <v>1</v>
          </cell>
        </row>
        <row r="1494">
          <cell r="B1494" t="str">
            <v>302 2013 10 1212 00018</v>
          </cell>
          <cell r="C1494">
            <v>3022014121200010</v>
          </cell>
          <cell r="D1494">
            <v>7.2463768115942032E-2</v>
          </cell>
          <cell r="F1494">
            <v>0.92753623188405798</v>
          </cell>
          <cell r="G1494">
            <v>0</v>
          </cell>
          <cell r="H1494">
            <v>1</v>
          </cell>
        </row>
        <row r="1495">
          <cell r="B1495" t="str">
            <v>401 2013 10 1211 00019</v>
          </cell>
          <cell r="C1495">
            <v>4012014121100000</v>
          </cell>
          <cell r="D1495">
            <v>5.8823529411764698E-2</v>
          </cell>
          <cell r="F1495">
            <v>0.94117647058823528</v>
          </cell>
          <cell r="G1495">
            <v>0</v>
          </cell>
          <cell r="H1495">
            <v>1</v>
          </cell>
        </row>
        <row r="1496">
          <cell r="B1496" t="str">
            <v>302 2013 10 1212 00018</v>
          </cell>
          <cell r="C1496">
            <v>3022014121200000</v>
          </cell>
          <cell r="D1496">
            <v>7.2463768115942032E-2</v>
          </cell>
          <cell r="F1496">
            <v>0.92753623188405798</v>
          </cell>
          <cell r="G1496">
            <v>0</v>
          </cell>
          <cell r="H1496">
            <v>1</v>
          </cell>
        </row>
        <row r="1497">
          <cell r="B1497" t="str">
            <v>402 2013 10 1212 00002</v>
          </cell>
          <cell r="C1497">
            <v>4022013121200000</v>
          </cell>
          <cell r="D1497">
            <v>0.13752131580394961</v>
          </cell>
          <cell r="F1497">
            <v>0.86247868419605034</v>
          </cell>
          <cell r="G1497">
            <v>0</v>
          </cell>
          <cell r="H1497">
            <v>1</v>
          </cell>
        </row>
        <row r="1498">
          <cell r="B1498" t="str">
            <v>301 2013 10 1212 00007</v>
          </cell>
          <cell r="C1498">
            <v>3012013121200070</v>
          </cell>
          <cell r="D1498">
            <v>6.4114893889850616E-2</v>
          </cell>
          <cell r="F1498">
            <v>0.93588510611014941</v>
          </cell>
          <cell r="G1498">
            <v>0</v>
          </cell>
          <cell r="H1498">
            <v>1</v>
          </cell>
        </row>
        <row r="1499">
          <cell r="B1499" t="str">
            <v>301 2012 60 1212 00013</v>
          </cell>
          <cell r="C1499">
            <v>3012012121200070</v>
          </cell>
          <cell r="D1499">
            <v>5.28864431E-2</v>
          </cell>
          <cell r="F1499">
            <v>0.846183091</v>
          </cell>
          <cell r="G1499">
            <v>0.10093046589999999</v>
          </cell>
          <cell r="H1499">
            <v>1</v>
          </cell>
        </row>
        <row r="1500">
          <cell r="B1500" t="str">
            <v>302 2013 10 1212 00018</v>
          </cell>
          <cell r="C1500">
            <v>3022014121200010</v>
          </cell>
          <cell r="D1500">
            <v>7.2463768115942032E-2</v>
          </cell>
          <cell r="F1500">
            <v>0.92753623188405798</v>
          </cell>
          <cell r="G1500">
            <v>0</v>
          </cell>
          <cell r="H1500">
            <v>1</v>
          </cell>
        </row>
        <row r="1501">
          <cell r="B1501" t="str">
            <v>401 2014 10 1211 00014</v>
          </cell>
          <cell r="C1501">
            <v>4012014121100020</v>
          </cell>
          <cell r="D1501">
            <v>5.4945054945054951E-2</v>
          </cell>
          <cell r="F1501">
            <v>0.94505494505494503</v>
          </cell>
          <cell r="G1501">
            <v>0</v>
          </cell>
          <cell r="H1501">
            <v>1</v>
          </cell>
        </row>
        <row r="1502">
          <cell r="B1502" t="str">
            <v>401 2014 10 1211 00015</v>
          </cell>
          <cell r="C1502">
            <v>4012014121100010</v>
          </cell>
          <cell r="D1502">
            <v>6.4659724280010766E-2</v>
          </cell>
          <cell r="F1502">
            <v>0.93534027571998923</v>
          </cell>
          <cell r="G1502">
            <v>0</v>
          </cell>
          <cell r="H1502">
            <v>1</v>
          </cell>
        </row>
        <row r="1503">
          <cell r="B1503" t="str">
            <v>401 2014 10 1211 00018</v>
          </cell>
          <cell r="C1503">
            <v>4012014121100030</v>
          </cell>
          <cell r="D1503">
            <v>0.13601398870190207</v>
          </cell>
          <cell r="F1503">
            <v>0.86398601129809793</v>
          </cell>
          <cell r="G1503">
            <v>0</v>
          </cell>
          <cell r="H1503">
            <v>1</v>
          </cell>
        </row>
        <row r="1504">
          <cell r="B1504" t="str">
            <v>402 2013 60 1211 00004</v>
          </cell>
          <cell r="C1504">
            <v>4022014121100000</v>
          </cell>
          <cell r="D1504">
            <v>0.35622293533019256</v>
          </cell>
          <cell r="F1504">
            <v>0.64377706466980744</v>
          </cell>
          <cell r="G1504">
            <v>0</v>
          </cell>
          <cell r="H1504">
            <v>1</v>
          </cell>
        </row>
        <row r="1505">
          <cell r="B1505" t="str">
            <v>401 2014 10 1211 00015</v>
          </cell>
          <cell r="C1505">
            <v>4012014121100020</v>
          </cell>
          <cell r="D1505">
            <v>6.4659724280010766E-2</v>
          </cell>
          <cell r="F1505">
            <v>0.93534027571998923</v>
          </cell>
          <cell r="G1505">
            <v>0</v>
          </cell>
          <cell r="H1505">
            <v>1</v>
          </cell>
        </row>
        <row r="1506">
          <cell r="B1506" t="str">
            <v>302 2013 10 1212 00018</v>
          </cell>
          <cell r="C1506">
            <v>3022013121200010</v>
          </cell>
          <cell r="D1506">
            <v>7.2463768115942032E-2</v>
          </cell>
          <cell r="F1506">
            <v>0.92753623188405798</v>
          </cell>
          <cell r="G1506">
            <v>0</v>
          </cell>
          <cell r="H1506">
            <v>1</v>
          </cell>
        </row>
        <row r="1507">
          <cell r="B1507" t="str">
            <v>501 2014 60 1212 00001</v>
          </cell>
          <cell r="C1507">
            <v>5012014121200000</v>
          </cell>
          <cell r="D1507">
            <v>0.24945923791760938</v>
          </cell>
          <cell r="F1507">
            <v>0.75054076208239062</v>
          </cell>
          <cell r="G1507">
            <v>0</v>
          </cell>
          <cell r="H1507">
            <v>1</v>
          </cell>
        </row>
        <row r="1508">
          <cell r="B1508" t="str">
            <v>401 2013 10 1211 00010</v>
          </cell>
          <cell r="C1508">
            <v>4012013121100030</v>
          </cell>
          <cell r="D1508">
            <v>5.8823529411764705E-2</v>
          </cell>
          <cell r="F1508">
            <v>0.94117647058823528</v>
          </cell>
          <cell r="G1508">
            <v>0</v>
          </cell>
          <cell r="H1508">
            <v>1</v>
          </cell>
        </row>
        <row r="1509">
          <cell r="B1509" t="str">
            <v>302 2013 10 1212 00022</v>
          </cell>
          <cell r="C1509">
            <v>3022014121200010</v>
          </cell>
          <cell r="D1509">
            <v>1</v>
          </cell>
          <cell r="F1509">
            <v>0</v>
          </cell>
          <cell r="G1509">
            <v>0</v>
          </cell>
          <cell r="H1509">
            <v>1</v>
          </cell>
        </row>
        <row r="1510">
          <cell r="B1510" t="str">
            <v>302 2013 10 1212 00018</v>
          </cell>
          <cell r="C1510">
            <v>3022013121200000</v>
          </cell>
          <cell r="D1510">
            <v>7.2463768115942032E-2</v>
          </cell>
          <cell r="F1510">
            <v>0.92753623188405798</v>
          </cell>
          <cell r="G1510">
            <v>0</v>
          </cell>
          <cell r="H1510">
            <v>1</v>
          </cell>
        </row>
        <row r="1511">
          <cell r="B1511" t="str">
            <v>301 2013 10 1212 00008</v>
          </cell>
          <cell r="C1511">
            <v>3012013121200040</v>
          </cell>
          <cell r="D1511">
            <v>0.19230769230769232</v>
          </cell>
          <cell r="F1511">
            <v>0.80769230769230771</v>
          </cell>
          <cell r="G1511">
            <v>0</v>
          </cell>
          <cell r="H1511">
            <v>1</v>
          </cell>
        </row>
        <row r="1512">
          <cell r="B1512" t="str">
            <v>400 2006 10 1211   00007</v>
          </cell>
          <cell r="C1512">
            <v>4012007121100010</v>
          </cell>
          <cell r="H1512">
            <v>0</v>
          </cell>
        </row>
        <row r="1513">
          <cell r="B1513" t="str">
            <v>302 2014 61 1212 00016</v>
          </cell>
          <cell r="C1513">
            <v>3022014121200010</v>
          </cell>
          <cell r="D1513">
            <v>5.8823529411764698E-2</v>
          </cell>
          <cell r="F1513">
            <v>0.94117647058823528</v>
          </cell>
          <cell r="G1513">
            <v>0</v>
          </cell>
          <cell r="H1513">
            <v>1</v>
          </cell>
        </row>
        <row r="1514">
          <cell r="B1514" t="str">
            <v>401 2014 10 1211 00007</v>
          </cell>
          <cell r="C1514">
            <v>4012014121100030</v>
          </cell>
          <cell r="D1514">
            <v>5.4945054945054937E-2</v>
          </cell>
          <cell r="F1514">
            <v>0.94505494505494503</v>
          </cell>
          <cell r="G1514">
            <v>0</v>
          </cell>
          <cell r="H1514">
            <v>1</v>
          </cell>
        </row>
        <row r="1515">
          <cell r="B1515" t="str">
            <v>401 2014 10 1211 00007</v>
          </cell>
          <cell r="C1515">
            <v>4012014121100000</v>
          </cell>
          <cell r="D1515">
            <v>5.4945054945054937E-2</v>
          </cell>
          <cell r="F1515">
            <v>0.94505494505494503</v>
          </cell>
          <cell r="G1515">
            <v>0</v>
          </cell>
          <cell r="H1515">
            <v>1</v>
          </cell>
        </row>
        <row r="1516">
          <cell r="B1516" t="str">
            <v>501 2014 10 1212 00001</v>
          </cell>
          <cell r="C1516">
            <v>5012014121200000</v>
          </cell>
          <cell r="D1516">
            <v>0.17669423705422171</v>
          </cell>
          <cell r="F1516">
            <v>0.82330576294577829</v>
          </cell>
          <cell r="G1516">
            <v>0</v>
          </cell>
          <cell r="H1516">
            <v>1</v>
          </cell>
        </row>
        <row r="1517">
          <cell r="B1517" t="str">
            <v>401 2013 10 1211 00020</v>
          </cell>
          <cell r="C1517">
            <v>4012014121100000</v>
          </cell>
          <cell r="D1517">
            <v>0.1</v>
          </cell>
          <cell r="F1517">
            <v>0</v>
          </cell>
          <cell r="G1517">
            <v>0.9</v>
          </cell>
          <cell r="H1517">
            <v>1</v>
          </cell>
        </row>
        <row r="1518">
          <cell r="B1518" t="str">
            <v>302 2013 10 1212 00018</v>
          </cell>
          <cell r="C1518">
            <v>3022013121200010</v>
          </cell>
          <cell r="D1518">
            <v>7.2463768115942032E-2</v>
          </cell>
          <cell r="F1518">
            <v>0.92753623188405798</v>
          </cell>
          <cell r="G1518">
            <v>0</v>
          </cell>
          <cell r="H1518">
            <v>1</v>
          </cell>
        </row>
        <row r="1519">
          <cell r="B1519" t="str">
            <v>401 2013 10 1211 00005</v>
          </cell>
          <cell r="C1519">
            <v>4012013121100040</v>
          </cell>
          <cell r="D1519">
            <v>5.8823529411764705E-2</v>
          </cell>
          <cell r="F1519">
            <v>0.94117647058823528</v>
          </cell>
          <cell r="G1519">
            <v>0</v>
          </cell>
          <cell r="H1519">
            <v>1</v>
          </cell>
        </row>
        <row r="1520">
          <cell r="B1520" t="str">
            <v>302 2014 10 1211 00001</v>
          </cell>
          <cell r="C1520">
            <v>3022014121100000</v>
          </cell>
          <cell r="D1520">
            <v>8.4048101429237496E-3</v>
          </cell>
          <cell r="F1520">
            <v>0.14456273445828852</v>
          </cell>
          <cell r="G1520">
            <v>0.8470324553987878</v>
          </cell>
          <cell r="H1520">
            <v>1</v>
          </cell>
        </row>
        <row r="1521">
          <cell r="B1521" t="str">
            <v>401 2012 10 1211 00009</v>
          </cell>
          <cell r="C1521">
            <v>4012012121100010</v>
          </cell>
          <cell r="D1521">
            <v>0.17166100118812064</v>
          </cell>
          <cell r="F1521">
            <v>0.82833899881187933</v>
          </cell>
          <cell r="G1521">
            <v>0</v>
          </cell>
          <cell r="H1521">
            <v>1</v>
          </cell>
        </row>
        <row r="1522">
          <cell r="B1522" t="str">
            <v>401 2013 10 1211 00012</v>
          </cell>
          <cell r="C1522">
            <v>4012013121100040</v>
          </cell>
          <cell r="D1522">
            <v>6.4659724280010766E-2</v>
          </cell>
          <cell r="F1522">
            <v>0.93534027571998923</v>
          </cell>
          <cell r="G1522">
            <v>0</v>
          </cell>
          <cell r="H1522">
            <v>1</v>
          </cell>
        </row>
        <row r="1523">
          <cell r="B1523" t="str">
            <v>302 2013 10 1212 00017</v>
          </cell>
          <cell r="C1523">
            <v>3022013121200000</v>
          </cell>
          <cell r="D1523">
            <v>0.24257715163098326</v>
          </cell>
          <cell r="F1523">
            <v>0.75742284836901674</v>
          </cell>
          <cell r="G1523">
            <v>0</v>
          </cell>
          <cell r="H1523">
            <v>1</v>
          </cell>
        </row>
        <row r="1524">
          <cell r="B1524" t="str">
            <v>401 2014 10 1211 00015</v>
          </cell>
          <cell r="C1524">
            <v>4012014121100020</v>
          </cell>
          <cell r="D1524">
            <v>6.4659724280010766E-2</v>
          </cell>
          <cell r="F1524">
            <v>0.93534027571998923</v>
          </cell>
          <cell r="G1524">
            <v>0</v>
          </cell>
          <cell r="H1524">
            <v>1</v>
          </cell>
        </row>
        <row r="1525">
          <cell r="B1525" t="str">
            <v>402 2013 10 1221 00007</v>
          </cell>
          <cell r="C1525">
            <v>4022014122100000</v>
          </cell>
          <cell r="D1525">
            <v>1</v>
          </cell>
          <cell r="F1525">
            <v>0</v>
          </cell>
          <cell r="G1525">
            <v>0</v>
          </cell>
          <cell r="H1525">
            <v>1</v>
          </cell>
        </row>
        <row r="1526">
          <cell r="B1526" t="str">
            <v>302 2013 10 1212 00018</v>
          </cell>
          <cell r="C1526">
            <v>3022013121200010</v>
          </cell>
          <cell r="D1526">
            <v>7.2463768115942032E-2</v>
          </cell>
          <cell r="F1526">
            <v>0.92753623188405798</v>
          </cell>
          <cell r="G1526">
            <v>0</v>
          </cell>
          <cell r="H1526">
            <v>1</v>
          </cell>
        </row>
        <row r="1527">
          <cell r="B1527" t="str">
            <v>302 2013 10 1212 00018</v>
          </cell>
          <cell r="C1527">
            <v>3022013121200000</v>
          </cell>
          <cell r="D1527">
            <v>7.2463768115942032E-2</v>
          </cell>
          <cell r="F1527">
            <v>0.92753623188405798</v>
          </cell>
          <cell r="G1527">
            <v>0</v>
          </cell>
          <cell r="H1527">
            <v>1</v>
          </cell>
        </row>
        <row r="1528">
          <cell r="B1528" t="str">
            <v>401 2013 10 1211 00018</v>
          </cell>
          <cell r="C1528">
            <v>4012014121100010</v>
          </cell>
          <cell r="D1528">
            <v>0.13135394284768051</v>
          </cell>
          <cell r="F1528">
            <v>0.86864605715231946</v>
          </cell>
          <cell r="G1528">
            <v>0</v>
          </cell>
          <cell r="H1528">
            <v>1</v>
          </cell>
        </row>
        <row r="1529">
          <cell r="B1529" t="str">
            <v>402 2012 10 1212 00001</v>
          </cell>
          <cell r="C1529">
            <v>4022013121200000</v>
          </cell>
          <cell r="D1529">
            <v>0.80645161290322576</v>
          </cell>
          <cell r="F1529">
            <v>0.19354838709677424</v>
          </cell>
          <cell r="G1529">
            <v>0</v>
          </cell>
          <cell r="H1529">
            <v>1</v>
          </cell>
        </row>
        <row r="1530">
          <cell r="B1530" t="str">
            <v>401 2013 10 1211 00010</v>
          </cell>
          <cell r="C1530">
            <v>4012013121100030</v>
          </cell>
          <cell r="D1530">
            <v>5.8823529411764705E-2</v>
          </cell>
          <cell r="F1530">
            <v>0.94117647058823528</v>
          </cell>
          <cell r="G1530">
            <v>0</v>
          </cell>
          <cell r="H1530">
            <v>1</v>
          </cell>
        </row>
        <row r="1531">
          <cell r="B1531" t="str">
            <v>401 2014 10 1211 00014</v>
          </cell>
          <cell r="C1531">
            <v>4012014121100020</v>
          </cell>
          <cell r="D1531">
            <v>5.4945054945054951E-2</v>
          </cell>
          <cell r="F1531">
            <v>0.94505494505494503</v>
          </cell>
          <cell r="G1531">
            <v>0</v>
          </cell>
          <cell r="H1531">
            <v>1</v>
          </cell>
        </row>
        <row r="1532">
          <cell r="B1532" t="str">
            <v>401 2013 10 1211 00016</v>
          </cell>
          <cell r="C1532">
            <v>4012013121100040</v>
          </cell>
          <cell r="D1532">
            <v>0.1446205422531327</v>
          </cell>
          <cell r="F1532">
            <v>0.8553794577468673</v>
          </cell>
          <cell r="G1532">
            <v>0</v>
          </cell>
          <cell r="H1532">
            <v>1</v>
          </cell>
        </row>
        <row r="1533">
          <cell r="B1533" t="str">
            <v>501 2014 10 1212 00001</v>
          </cell>
          <cell r="C1533">
            <v>5012014121200010</v>
          </cell>
          <cell r="D1533">
            <v>0.17669423705422171</v>
          </cell>
          <cell r="F1533">
            <v>0.82330576294577829</v>
          </cell>
          <cell r="G1533">
            <v>0</v>
          </cell>
          <cell r="H1533">
            <v>1</v>
          </cell>
        </row>
        <row r="1534">
          <cell r="B1534" t="str">
            <v>401 2014 10 1211 00007</v>
          </cell>
          <cell r="C1534">
            <v>4012014121100030</v>
          </cell>
          <cell r="D1534">
            <v>5.4945054945054937E-2</v>
          </cell>
          <cell r="F1534">
            <v>0.94505494505494503</v>
          </cell>
          <cell r="G1534">
            <v>0</v>
          </cell>
          <cell r="H1534">
            <v>1</v>
          </cell>
        </row>
        <row r="1535">
          <cell r="B1535" t="str">
            <v>302 2013 10 1212 00018</v>
          </cell>
          <cell r="C1535">
            <v>3022014121200000</v>
          </cell>
          <cell r="D1535">
            <v>7.2463768115942032E-2</v>
          </cell>
          <cell r="F1535">
            <v>0.92753623188405798</v>
          </cell>
          <cell r="G1535">
            <v>0</v>
          </cell>
          <cell r="H1535">
            <v>1</v>
          </cell>
        </row>
        <row r="1536">
          <cell r="B1536" t="str">
            <v>302 2013 10 1212 00018</v>
          </cell>
          <cell r="C1536">
            <v>3022014121200000</v>
          </cell>
          <cell r="D1536">
            <v>7.2463768115942032E-2</v>
          </cell>
          <cell r="F1536">
            <v>0.92753623188405798</v>
          </cell>
          <cell r="G1536">
            <v>0</v>
          </cell>
          <cell r="H1536">
            <v>1</v>
          </cell>
        </row>
        <row r="1537">
          <cell r="B1537" t="str">
            <v>401 2013 10 1211 00020</v>
          </cell>
          <cell r="C1537">
            <v>4012014121100010</v>
          </cell>
          <cell r="D1537">
            <v>0.1</v>
          </cell>
          <cell r="F1537">
            <v>0</v>
          </cell>
          <cell r="G1537">
            <v>0.9</v>
          </cell>
          <cell r="H1537">
            <v>1</v>
          </cell>
        </row>
        <row r="1538">
          <cell r="B1538" t="str">
            <v>302 2014 10 1212 00006</v>
          </cell>
          <cell r="C1538">
            <v>3022014121200010</v>
          </cell>
          <cell r="D1538">
            <v>1</v>
          </cell>
          <cell r="F1538">
            <v>0</v>
          </cell>
          <cell r="G1538">
            <v>0</v>
          </cell>
          <cell r="H1538">
            <v>1</v>
          </cell>
        </row>
        <row r="1539">
          <cell r="B1539" t="str">
            <v>402 2014 10 1221 00002</v>
          </cell>
          <cell r="C1539">
            <v>4022014122100000</v>
          </cell>
          <cell r="D1539">
            <v>1</v>
          </cell>
          <cell r="F1539">
            <v>0</v>
          </cell>
          <cell r="G1539">
            <v>0</v>
          </cell>
          <cell r="H1539">
            <v>1</v>
          </cell>
        </row>
        <row r="1540">
          <cell r="B1540" t="str">
            <v>401 2014 10 1211 00007</v>
          </cell>
          <cell r="C1540">
            <v>4012014121100040</v>
          </cell>
          <cell r="D1540">
            <v>5.4945054945054937E-2</v>
          </cell>
          <cell r="F1540">
            <v>0.94505494505494503</v>
          </cell>
          <cell r="G1540">
            <v>0</v>
          </cell>
          <cell r="H1540">
            <v>1</v>
          </cell>
        </row>
        <row r="1541">
          <cell r="B1541" t="str">
            <v>402 2013 60 1211 00004</v>
          </cell>
          <cell r="C1541">
            <v>4022014121100000</v>
          </cell>
          <cell r="D1541">
            <v>0.35622293533019256</v>
          </cell>
          <cell r="F1541">
            <v>0.64377706466980744</v>
          </cell>
          <cell r="G1541">
            <v>0</v>
          </cell>
          <cell r="H1541">
            <v>1</v>
          </cell>
        </row>
        <row r="1542">
          <cell r="B1542" t="str">
            <v>501 2014 60 1212 00001</v>
          </cell>
          <cell r="C1542">
            <v>5012014121200000</v>
          </cell>
          <cell r="D1542">
            <v>0.24945923791760938</v>
          </cell>
          <cell r="F1542">
            <v>0.75054076208239062</v>
          </cell>
          <cell r="G1542">
            <v>0</v>
          </cell>
          <cell r="H1542">
            <v>1</v>
          </cell>
        </row>
        <row r="1543">
          <cell r="B1543" t="str">
            <v>501 2013 10 1211 00032</v>
          </cell>
          <cell r="C1543">
            <v>5012014121100010</v>
          </cell>
          <cell r="D1543">
            <v>0.41148837558664603</v>
          </cell>
          <cell r="F1543">
            <v>0.58851162441335392</v>
          </cell>
          <cell r="G1543">
            <v>0</v>
          </cell>
          <cell r="H1543">
            <v>1</v>
          </cell>
        </row>
        <row r="1544">
          <cell r="B1544" t="str">
            <v>401 2013 10 1211 00019</v>
          </cell>
          <cell r="C1544">
            <v>4012014121100000</v>
          </cell>
          <cell r="D1544">
            <v>5.8823529411764698E-2</v>
          </cell>
          <cell r="F1544">
            <v>0.94117647058823528</v>
          </cell>
          <cell r="G1544">
            <v>0</v>
          </cell>
          <cell r="H1544">
            <v>1</v>
          </cell>
        </row>
        <row r="1545">
          <cell r="B1545" t="str">
            <v>501 2014 10 1211 00010</v>
          </cell>
          <cell r="C1545">
            <v>5012014121100010</v>
          </cell>
          <cell r="D1545">
            <v>0.69156293222683263</v>
          </cell>
          <cell r="F1545">
            <v>0.30843706777316737</v>
          </cell>
          <cell r="G1545">
            <v>0</v>
          </cell>
          <cell r="H1545">
            <v>1</v>
          </cell>
        </row>
        <row r="1546">
          <cell r="B1546" t="str">
            <v>401 2013 10 1211 00009</v>
          </cell>
          <cell r="C1546">
            <v>4012013121100010</v>
          </cell>
          <cell r="D1546">
            <v>5.8823529411764705E-2</v>
          </cell>
          <cell r="F1546">
            <v>0.94117647058823528</v>
          </cell>
          <cell r="G1546">
            <v>0</v>
          </cell>
          <cell r="H1546">
            <v>1</v>
          </cell>
        </row>
        <row r="1547">
          <cell r="B1547" t="str">
            <v>501 2013 10 1211 00043</v>
          </cell>
          <cell r="C1547">
            <v>5012014121100000</v>
          </cell>
          <cell r="D1547">
            <v>1</v>
          </cell>
          <cell r="F1547">
            <v>0</v>
          </cell>
          <cell r="G1547">
            <v>0</v>
          </cell>
          <cell r="H1547">
            <v>1</v>
          </cell>
        </row>
        <row r="1548">
          <cell r="B1548" t="str">
            <v>501 2012 10 1212 00002</v>
          </cell>
          <cell r="C1548">
            <v>5012012121200010</v>
          </cell>
          <cell r="D1548">
            <v>0.22039433714792711</v>
          </cell>
          <cell r="F1548">
            <v>0.77960566285207289</v>
          </cell>
          <cell r="G1548">
            <v>0</v>
          </cell>
          <cell r="H1548">
            <v>1</v>
          </cell>
        </row>
        <row r="1549">
          <cell r="B1549" t="str">
            <v>501 2014 10 1211 00003</v>
          </cell>
          <cell r="C1549">
            <v>5012014121100000</v>
          </cell>
          <cell r="D1549">
            <v>1</v>
          </cell>
          <cell r="F1549">
            <v>0</v>
          </cell>
          <cell r="G1549">
            <v>0</v>
          </cell>
          <cell r="H1549">
            <v>1</v>
          </cell>
        </row>
        <row r="1550">
          <cell r="B1550" t="str">
            <v>401 2014 10 1211 00015</v>
          </cell>
          <cell r="C1550">
            <v>4012014121100020</v>
          </cell>
          <cell r="D1550">
            <v>6.4659724280010766E-2</v>
          </cell>
          <cell r="F1550">
            <v>0.93534027571998923</v>
          </cell>
          <cell r="G1550">
            <v>0</v>
          </cell>
          <cell r="H1550">
            <v>1</v>
          </cell>
        </row>
        <row r="1551">
          <cell r="B1551" t="str">
            <v>302 2014 61 1212 00016</v>
          </cell>
          <cell r="C1551">
            <v>3022014121200010</v>
          </cell>
          <cell r="D1551">
            <v>5.8823529411764698E-2</v>
          </cell>
          <cell r="F1551">
            <v>0.94117647058823528</v>
          </cell>
          <cell r="G1551">
            <v>0</v>
          </cell>
          <cell r="H1551">
            <v>1</v>
          </cell>
        </row>
        <row r="1552">
          <cell r="B1552" t="str">
            <v>501 2014 10 1212 00001</v>
          </cell>
          <cell r="C1552">
            <v>5012014121200010</v>
          </cell>
          <cell r="D1552">
            <v>0.17669423705422171</v>
          </cell>
          <cell r="F1552">
            <v>0.82330576294577829</v>
          </cell>
          <cell r="G1552">
            <v>0</v>
          </cell>
          <cell r="H1552">
            <v>1</v>
          </cell>
        </row>
        <row r="1553">
          <cell r="B1553" t="str">
            <v>302 2013 10 1212 00018</v>
          </cell>
          <cell r="C1553">
            <v>3022014121200010</v>
          </cell>
          <cell r="D1553">
            <v>7.2463768115942032E-2</v>
          </cell>
          <cell r="F1553">
            <v>0.92753623188405798</v>
          </cell>
          <cell r="G1553">
            <v>0</v>
          </cell>
          <cell r="H1553">
            <v>1</v>
          </cell>
        </row>
        <row r="1554">
          <cell r="B1554" t="str">
            <v>501 2013 10 1211 00035</v>
          </cell>
          <cell r="C1554">
            <v>5012014121100000</v>
          </cell>
          <cell r="D1554">
            <v>1</v>
          </cell>
          <cell r="F1554">
            <v>0</v>
          </cell>
          <cell r="G1554">
            <v>0</v>
          </cell>
          <cell r="H1554">
            <v>1</v>
          </cell>
        </row>
        <row r="1555">
          <cell r="B1555" t="str">
            <v>501 2013 10 1211 00039</v>
          </cell>
          <cell r="C1555">
            <v>5012014121100000</v>
          </cell>
          <cell r="D1555">
            <v>0.86206896551724133</v>
          </cell>
          <cell r="F1555">
            <v>0.13793103448275867</v>
          </cell>
          <cell r="G1555">
            <v>0</v>
          </cell>
          <cell r="H1555">
            <v>1</v>
          </cell>
        </row>
        <row r="1556">
          <cell r="B1556" t="str">
            <v>302 2013 10 1212 00018</v>
          </cell>
          <cell r="C1556">
            <v>3022013121200010</v>
          </cell>
          <cell r="D1556">
            <v>7.2463768115942032E-2</v>
          </cell>
          <cell r="F1556">
            <v>0.92753623188405798</v>
          </cell>
          <cell r="G1556">
            <v>0</v>
          </cell>
          <cell r="H1556">
            <v>1</v>
          </cell>
        </row>
        <row r="1557">
          <cell r="B1557" t="str">
            <v>401 2013 10 1211 00020</v>
          </cell>
          <cell r="C1557">
            <v>4012013121100030</v>
          </cell>
          <cell r="D1557">
            <v>0.1</v>
          </cell>
          <cell r="F1557">
            <v>0</v>
          </cell>
          <cell r="G1557">
            <v>0.9</v>
          </cell>
          <cell r="H1557">
            <v>1</v>
          </cell>
        </row>
        <row r="1558">
          <cell r="B1558" t="str">
            <v>401 2013 10 1211 00020</v>
          </cell>
          <cell r="C1558">
            <v>4012014121100020</v>
          </cell>
          <cell r="D1558">
            <v>0.1</v>
          </cell>
          <cell r="F1558">
            <v>0</v>
          </cell>
          <cell r="G1558">
            <v>0.9</v>
          </cell>
          <cell r="H1558">
            <v>1</v>
          </cell>
        </row>
        <row r="1559">
          <cell r="B1559" t="str">
            <v>402 2014 10 1221 00001</v>
          </cell>
          <cell r="C1559">
            <v>4022014122100000</v>
          </cell>
          <cell r="D1559">
            <v>1</v>
          </cell>
          <cell r="F1559">
            <v>0</v>
          </cell>
          <cell r="G1559">
            <v>0</v>
          </cell>
          <cell r="H1559">
            <v>1</v>
          </cell>
        </row>
        <row r="1560">
          <cell r="B1560" t="str">
            <v>501 2013 10 1211 00043</v>
          </cell>
          <cell r="C1560">
            <v>5012014121100010</v>
          </cell>
          <cell r="D1560">
            <v>1</v>
          </cell>
          <cell r="F1560">
            <v>0</v>
          </cell>
          <cell r="G1560">
            <v>0</v>
          </cell>
          <cell r="H1560">
            <v>1</v>
          </cell>
        </row>
        <row r="1561">
          <cell r="B1561" t="str">
            <v>501 2012 10 1212 00001</v>
          </cell>
          <cell r="C1561">
            <v>5012012121200020</v>
          </cell>
          <cell r="D1561">
            <v>0.20004706195153116</v>
          </cell>
          <cell r="F1561">
            <v>0.7999529380484689</v>
          </cell>
          <cell r="G1561">
            <v>0</v>
          </cell>
          <cell r="H1561">
            <v>1</v>
          </cell>
        </row>
        <row r="1562">
          <cell r="B1562" t="str">
            <v>501 2013 60 1212 00004</v>
          </cell>
          <cell r="C1562">
            <v>5012013121200030</v>
          </cell>
          <cell r="D1562">
            <v>0.21250266963045056</v>
          </cell>
          <cell r="F1562">
            <v>0.78749733036954939</v>
          </cell>
          <cell r="G1562">
            <v>0</v>
          </cell>
          <cell r="H1562">
            <v>1</v>
          </cell>
        </row>
        <row r="1563">
          <cell r="B1563" t="str">
            <v>501 2014 10 1212 00001</v>
          </cell>
          <cell r="C1563">
            <v>5012014121200000</v>
          </cell>
          <cell r="D1563">
            <v>0.17669423705422171</v>
          </cell>
          <cell r="F1563">
            <v>0.82330576294577829</v>
          </cell>
          <cell r="G1563">
            <v>0</v>
          </cell>
          <cell r="H1563">
            <v>1</v>
          </cell>
        </row>
        <row r="1564">
          <cell r="B1564" t="str">
            <v>207 2014 10 1212 00004</v>
          </cell>
          <cell r="C1564">
            <v>2072014121200000</v>
          </cell>
          <cell r="D1564">
            <v>1</v>
          </cell>
          <cell r="F1564">
            <v>0</v>
          </cell>
          <cell r="G1564">
            <v>0</v>
          </cell>
          <cell r="H1564">
            <v>1</v>
          </cell>
        </row>
        <row r="1565">
          <cell r="B1565" t="str">
            <v>401 2013 10 1211 00010</v>
          </cell>
          <cell r="C1565">
            <v>4012013121100010</v>
          </cell>
          <cell r="D1565">
            <v>5.8823529411764705E-2</v>
          </cell>
          <cell r="F1565">
            <v>0.94117647058823528</v>
          </cell>
          <cell r="G1565">
            <v>0</v>
          </cell>
          <cell r="H1565">
            <v>1</v>
          </cell>
        </row>
        <row r="1566">
          <cell r="B1566" t="str">
            <v>401 2014 10 1211 00015</v>
          </cell>
          <cell r="C1566">
            <v>4012014121100020</v>
          </cell>
          <cell r="D1566">
            <v>6.4659724280010766E-2</v>
          </cell>
          <cell r="F1566">
            <v>0.93534027571998923</v>
          </cell>
          <cell r="G1566">
            <v>0</v>
          </cell>
          <cell r="H1566">
            <v>1</v>
          </cell>
        </row>
        <row r="1567">
          <cell r="B1567" t="str">
            <v>402 2014 10 1221 00004</v>
          </cell>
          <cell r="C1567">
            <v>4022014122100000</v>
          </cell>
          <cell r="D1567">
            <v>1</v>
          </cell>
          <cell r="F1567">
            <v>0</v>
          </cell>
          <cell r="G1567">
            <v>0</v>
          </cell>
          <cell r="H1567">
            <v>1</v>
          </cell>
        </row>
        <row r="1568">
          <cell r="B1568" t="str">
            <v>203 2013 10 1211 00009</v>
          </cell>
          <cell r="C1568">
            <v>2032013121100130</v>
          </cell>
          <cell r="D1568">
            <v>5.8823529411764712E-2</v>
          </cell>
          <cell r="F1568">
            <v>0.94117647058823528</v>
          </cell>
          <cell r="G1568">
            <v>0</v>
          </cell>
          <cell r="H1568">
            <v>1</v>
          </cell>
        </row>
        <row r="1569">
          <cell r="B1569" t="str">
            <v>204 2013 10 1211 00001</v>
          </cell>
          <cell r="C1569">
            <v>2042013121100010</v>
          </cell>
          <cell r="D1569">
            <v>5.8823529411764705E-2</v>
          </cell>
          <cell r="F1569">
            <v>0.94117647058823495</v>
          </cell>
          <cell r="G1569">
            <v>0</v>
          </cell>
          <cell r="H1569">
            <v>0.99999999999999967</v>
          </cell>
        </row>
        <row r="1570">
          <cell r="B1570" t="str">
            <v>204 2009 10 1211 00012</v>
          </cell>
          <cell r="C1570">
            <v>2042009121100050</v>
          </cell>
          <cell r="D1570">
            <v>9.2592592592592501E-3</v>
          </cell>
          <cell r="F1570">
            <v>8.101851851851849E-2</v>
          </cell>
          <cell r="G1570">
            <v>0.90972222222222221</v>
          </cell>
          <cell r="H1570">
            <v>1</v>
          </cell>
        </row>
        <row r="1571">
          <cell r="B1571" t="str">
            <v>208 2014 10 1211 00001</v>
          </cell>
          <cell r="C1571">
            <v>2082014121100000</v>
          </cell>
          <cell r="D1571">
            <v>0.28167066700793586</v>
          </cell>
          <cell r="F1571">
            <v>0.71832933299206414</v>
          </cell>
          <cell r="G1571">
            <v>0</v>
          </cell>
          <cell r="H1571">
            <v>1</v>
          </cell>
        </row>
        <row r="1572">
          <cell r="B1572" t="str">
            <v>501 2013 10 1211 00031</v>
          </cell>
          <cell r="C1572">
            <v>5012014121100000</v>
          </cell>
          <cell r="D1572">
            <v>1</v>
          </cell>
          <cell r="F1572">
            <v>0</v>
          </cell>
          <cell r="G1572">
            <v>0</v>
          </cell>
          <cell r="H1572">
            <v>1</v>
          </cell>
        </row>
        <row r="1573">
          <cell r="B1573" t="str">
            <v>501 2014 10 1212 00001</v>
          </cell>
          <cell r="C1573">
            <v>5012014121200010</v>
          </cell>
          <cell r="D1573">
            <v>0.17669423705422171</v>
          </cell>
          <cell r="F1573">
            <v>0.82330576294577829</v>
          </cell>
          <cell r="G1573">
            <v>0</v>
          </cell>
          <cell r="H1573">
            <v>1</v>
          </cell>
        </row>
        <row r="1574">
          <cell r="B1574" t="str">
            <v>501 2013 60 1212 00002</v>
          </cell>
          <cell r="C1574">
            <v>5012013121200060</v>
          </cell>
          <cell r="D1574">
            <v>0.20004706195153116</v>
          </cell>
          <cell r="F1574">
            <v>0.7999529380484689</v>
          </cell>
          <cell r="G1574">
            <v>0</v>
          </cell>
          <cell r="H1574">
            <v>1</v>
          </cell>
        </row>
        <row r="1575">
          <cell r="B1575" t="str">
            <v>501 2012 10 1212 00001</v>
          </cell>
          <cell r="C1575">
            <v>5012012121200020</v>
          </cell>
          <cell r="D1575">
            <v>0.20004706195153116</v>
          </cell>
          <cell r="F1575">
            <v>0.7999529380484689</v>
          </cell>
          <cell r="G1575">
            <v>0</v>
          </cell>
          <cell r="H1575">
            <v>1</v>
          </cell>
        </row>
        <row r="1576">
          <cell r="B1576" t="str">
            <v>401 2014 10 1211 00007</v>
          </cell>
          <cell r="C1576">
            <v>4012014121100030</v>
          </cell>
          <cell r="D1576">
            <v>5.4945054945054937E-2</v>
          </cell>
          <cell r="F1576">
            <v>0.94505494505494503</v>
          </cell>
          <cell r="G1576">
            <v>0</v>
          </cell>
          <cell r="H1576">
            <v>1</v>
          </cell>
        </row>
        <row r="1577">
          <cell r="B1577" t="str">
            <v>501 2014 10 1212 00001</v>
          </cell>
          <cell r="C1577">
            <v>5012014121200000</v>
          </cell>
          <cell r="D1577">
            <v>0.17669423705422171</v>
          </cell>
          <cell r="F1577">
            <v>0.82330576294577829</v>
          </cell>
          <cell r="G1577">
            <v>0</v>
          </cell>
          <cell r="H1577">
            <v>1</v>
          </cell>
        </row>
        <row r="1578">
          <cell r="B1578" t="str">
            <v>501 2014 10 1212 00001</v>
          </cell>
          <cell r="C1578">
            <v>5012014121200010</v>
          </cell>
          <cell r="D1578">
            <v>0.17669423705422171</v>
          </cell>
          <cell r="F1578">
            <v>0.82330576294577829</v>
          </cell>
          <cell r="G1578">
            <v>0</v>
          </cell>
          <cell r="H1578">
            <v>1</v>
          </cell>
        </row>
        <row r="1579">
          <cell r="B1579" t="str">
            <v>503 2014 10 1212 00003</v>
          </cell>
          <cell r="C1579">
            <v>5032014121200000</v>
          </cell>
          <cell r="D1579">
            <v>0.1539408866995074</v>
          </cell>
          <cell r="F1579">
            <v>0.84605911330049266</v>
          </cell>
          <cell r="G1579">
            <v>0</v>
          </cell>
          <cell r="H1579">
            <v>1</v>
          </cell>
        </row>
        <row r="1580">
          <cell r="B1580" t="str">
            <v>503 2014 10 1211 00004</v>
          </cell>
          <cell r="C1580">
            <v>5032014121100000</v>
          </cell>
          <cell r="D1580">
            <v>0.23433295795786754</v>
          </cell>
          <cell r="F1580">
            <v>0.76566704204213243</v>
          </cell>
          <cell r="G1580">
            <v>0</v>
          </cell>
          <cell r="H1580">
            <v>1</v>
          </cell>
        </row>
        <row r="1581">
          <cell r="B1581" t="str">
            <v>503 2014 10 1212 00003</v>
          </cell>
          <cell r="C1581">
            <v>5032014121200000</v>
          </cell>
          <cell r="D1581">
            <v>0.1539408866995074</v>
          </cell>
          <cell r="F1581">
            <v>0.84605911330049266</v>
          </cell>
          <cell r="G1581">
            <v>0</v>
          </cell>
          <cell r="H1581">
            <v>1</v>
          </cell>
        </row>
        <row r="1582">
          <cell r="B1582" t="str">
            <v>503 2014 10 1211 00004</v>
          </cell>
          <cell r="C1582">
            <v>5032014121100000</v>
          </cell>
          <cell r="D1582">
            <v>0.23433295795786754</v>
          </cell>
          <cell r="F1582">
            <v>0.76566704204213243</v>
          </cell>
          <cell r="G1582">
            <v>0</v>
          </cell>
          <cell r="H1582">
            <v>1</v>
          </cell>
        </row>
        <row r="1583">
          <cell r="B1583" t="str">
            <v>303 2014 10 1212 00001</v>
          </cell>
          <cell r="C1583">
            <v>3032014121200000</v>
          </cell>
          <cell r="D1583">
            <v>7.7277041592788434E-2</v>
          </cell>
          <cell r="F1583">
            <v>0.92272295840721152</v>
          </cell>
          <cell r="G1583">
            <v>0</v>
          </cell>
          <cell r="H1583">
            <v>1</v>
          </cell>
        </row>
        <row r="1584">
          <cell r="B1584" t="str">
            <v>303 2014 10 1212 00001</v>
          </cell>
          <cell r="C1584">
            <v>3032014121200000</v>
          </cell>
          <cell r="D1584">
            <v>7.7277041592788434E-2</v>
          </cell>
          <cell r="F1584">
            <v>0.92272295840721152</v>
          </cell>
          <cell r="G1584">
            <v>0</v>
          </cell>
          <cell r="H1584">
            <v>1</v>
          </cell>
        </row>
        <row r="1585">
          <cell r="B1585" t="str">
            <v>502 2011 10 1223 00001</v>
          </cell>
          <cell r="C1585">
            <v>5022011122300020</v>
          </cell>
          <cell r="D1585">
            <v>6.0351029647433684E-2</v>
          </cell>
          <cell r="F1585">
            <v>0.93964897035256634</v>
          </cell>
          <cell r="G1585">
            <v>0</v>
          </cell>
          <cell r="H1585">
            <v>1</v>
          </cell>
        </row>
        <row r="1586">
          <cell r="B1586" t="str">
            <v>208 2014 10 1211 00001</v>
          </cell>
          <cell r="C1586">
            <v>2082014121100010</v>
          </cell>
          <cell r="D1586">
            <v>0.28167066700793586</v>
          </cell>
          <cell r="F1586">
            <v>0.71832933299206414</v>
          </cell>
          <cell r="G1586">
            <v>0</v>
          </cell>
          <cell r="H1586">
            <v>1</v>
          </cell>
        </row>
        <row r="1587">
          <cell r="B1587" t="str">
            <v>301 2012 10 1212 00017</v>
          </cell>
          <cell r="C1587">
            <v>3012013121200000</v>
          </cell>
          <cell r="D1587">
            <v>0.43918989302066774</v>
          </cell>
          <cell r="F1587">
            <v>0.56081010697933231</v>
          </cell>
          <cell r="G1587">
            <v>0</v>
          </cell>
          <cell r="H1587">
            <v>1</v>
          </cell>
        </row>
        <row r="1588">
          <cell r="B1588" t="str">
            <v>401 2014 10 1211 00007</v>
          </cell>
          <cell r="C1588">
            <v>4012014121100000</v>
          </cell>
          <cell r="D1588">
            <v>5.4945054945054937E-2</v>
          </cell>
          <cell r="F1588">
            <v>0.94505494505494503</v>
          </cell>
          <cell r="G1588">
            <v>0</v>
          </cell>
          <cell r="H1588">
            <v>1</v>
          </cell>
        </row>
        <row r="1589">
          <cell r="B1589" t="str">
            <v>401 2014 10 1211 00007</v>
          </cell>
          <cell r="C1589">
            <v>4012014121100040</v>
          </cell>
          <cell r="D1589">
            <v>5.4945054945054937E-2</v>
          </cell>
          <cell r="F1589">
            <v>0.94505494505494503</v>
          </cell>
          <cell r="G1589">
            <v>0</v>
          </cell>
          <cell r="H1589">
            <v>1</v>
          </cell>
        </row>
        <row r="1590">
          <cell r="B1590" t="str">
            <v>301 2014 10 1211 00003</v>
          </cell>
          <cell r="C1590">
            <v>3012014121100000</v>
          </cell>
          <cell r="D1590">
            <v>0.11008851116297504</v>
          </cell>
          <cell r="F1590">
            <v>0.88991148883702498</v>
          </cell>
          <cell r="G1590">
            <v>0</v>
          </cell>
          <cell r="H1590">
            <v>1</v>
          </cell>
        </row>
        <row r="1591">
          <cell r="B1591" t="str">
            <v>501 2013 60 1212 00002</v>
          </cell>
          <cell r="C1591">
            <v>5012013121200030</v>
          </cell>
          <cell r="D1591">
            <v>0.20004706195153116</v>
          </cell>
          <cell r="F1591">
            <v>0.7999529380484689</v>
          </cell>
          <cell r="G1591">
            <v>0</v>
          </cell>
          <cell r="H1591">
            <v>1</v>
          </cell>
        </row>
        <row r="1592">
          <cell r="B1592" t="str">
            <v>304 2013 10 1212 00001</v>
          </cell>
          <cell r="C1592">
            <v>3042014121200000</v>
          </cell>
          <cell r="D1592">
            <v>0.100779560241988</v>
          </cell>
          <cell r="F1592">
            <v>0.89922043975801202</v>
          </cell>
          <cell r="G1592">
            <v>0</v>
          </cell>
          <cell r="H1592">
            <v>1</v>
          </cell>
        </row>
        <row r="1593">
          <cell r="B1593" t="str">
            <v>301 2012 10 1212 00008</v>
          </cell>
          <cell r="C1593">
            <v>3012013121200000</v>
          </cell>
          <cell r="D1593">
            <v>7.2857833965739319E-2</v>
          </cell>
          <cell r="F1593">
            <v>0.9271421660342607</v>
          </cell>
          <cell r="G1593">
            <v>0</v>
          </cell>
          <cell r="H1593">
            <v>1</v>
          </cell>
        </row>
        <row r="1594">
          <cell r="B1594" t="str">
            <v>501 2013 10 1211 00013</v>
          </cell>
          <cell r="C1594">
            <v>5012013121100000</v>
          </cell>
          <cell r="D1594">
            <v>0.69156293222683263</v>
          </cell>
          <cell r="F1594">
            <v>0.30843706777316737</v>
          </cell>
          <cell r="G1594">
            <v>0</v>
          </cell>
          <cell r="H1594">
            <v>1</v>
          </cell>
        </row>
        <row r="1595">
          <cell r="B1595" t="str">
            <v>501 2012 10 1212 00001</v>
          </cell>
          <cell r="C1595">
            <v>5012012121200040</v>
          </cell>
          <cell r="D1595">
            <v>0.20004706195153116</v>
          </cell>
          <cell r="F1595">
            <v>0.7999529380484689</v>
          </cell>
          <cell r="G1595">
            <v>0</v>
          </cell>
          <cell r="H1595">
            <v>1</v>
          </cell>
        </row>
        <row r="1596">
          <cell r="B1596" t="str">
            <v>301 2013 10 1212 00008</v>
          </cell>
          <cell r="C1596">
            <v>3012014121200000</v>
          </cell>
          <cell r="D1596">
            <v>0.19230769230769232</v>
          </cell>
          <cell r="F1596">
            <v>0.80769230769230771</v>
          </cell>
          <cell r="G1596">
            <v>0</v>
          </cell>
          <cell r="H1596">
            <v>1</v>
          </cell>
        </row>
        <row r="1597">
          <cell r="B1597" t="str">
            <v>501 2014 10 1212 00001</v>
          </cell>
          <cell r="C1597">
            <v>5012014121200000</v>
          </cell>
          <cell r="D1597">
            <v>0.17669423705422171</v>
          </cell>
          <cell r="F1597">
            <v>0.82330576294577829</v>
          </cell>
          <cell r="G1597">
            <v>0</v>
          </cell>
          <cell r="H1597">
            <v>1</v>
          </cell>
        </row>
        <row r="1598">
          <cell r="B1598" t="str">
            <v>501 2013 60 1212 00004</v>
          </cell>
          <cell r="C1598">
            <v>5012013121200060</v>
          </cell>
          <cell r="D1598">
            <v>0.21250266963045056</v>
          </cell>
          <cell r="F1598">
            <v>0.78749733036954939</v>
          </cell>
          <cell r="G1598">
            <v>0</v>
          </cell>
          <cell r="H1598">
            <v>1</v>
          </cell>
        </row>
        <row r="1599">
          <cell r="B1599" t="str">
            <v>502 2013 10 1211 00004</v>
          </cell>
          <cell r="C1599">
            <v>5022013121100000</v>
          </cell>
          <cell r="D1599">
            <v>0.14905974796491736</v>
          </cell>
          <cell r="F1599">
            <v>0.85094025203508261</v>
          </cell>
          <cell r="G1599">
            <v>0</v>
          </cell>
          <cell r="H1599">
            <v>1</v>
          </cell>
        </row>
        <row r="1600">
          <cell r="B1600" t="str">
            <v>502 2013 10 1211 00004</v>
          </cell>
          <cell r="C1600">
            <v>5022013121100000</v>
          </cell>
          <cell r="D1600">
            <v>0.14905974796491736</v>
          </cell>
          <cell r="F1600">
            <v>0.85094025203508261</v>
          </cell>
          <cell r="G1600">
            <v>0</v>
          </cell>
          <cell r="H1600">
            <v>1</v>
          </cell>
        </row>
        <row r="1601">
          <cell r="B1601" t="str">
            <v>503 2014 10 1211 00003</v>
          </cell>
          <cell r="C1601">
            <v>5032014121100000</v>
          </cell>
          <cell r="D1601">
            <v>0.23526704079101265</v>
          </cell>
          <cell r="F1601">
            <v>0.76473295920898732</v>
          </cell>
          <cell r="G1601">
            <v>0</v>
          </cell>
          <cell r="H1601">
            <v>1</v>
          </cell>
        </row>
        <row r="1602">
          <cell r="B1602" t="str">
            <v>503 2013 10 1211 00001</v>
          </cell>
          <cell r="C1602">
            <v>5032013121100010</v>
          </cell>
          <cell r="D1602">
            <v>1</v>
          </cell>
          <cell r="F1602">
            <v>0</v>
          </cell>
          <cell r="G1602">
            <v>0</v>
          </cell>
          <cell r="H1602">
            <v>1</v>
          </cell>
        </row>
        <row r="1603">
          <cell r="B1603" t="str">
            <v>301 2013 10 1212 00014</v>
          </cell>
          <cell r="C1603">
            <v>3012014121200000</v>
          </cell>
          <cell r="D1603">
            <v>7.3028503694809524E-2</v>
          </cell>
          <cell r="F1603">
            <v>0.92697149630519049</v>
          </cell>
          <cell r="G1603">
            <v>0</v>
          </cell>
          <cell r="H1603">
            <v>1</v>
          </cell>
        </row>
        <row r="1604">
          <cell r="B1604" t="str">
            <v>401 2013 10 1211 00008</v>
          </cell>
          <cell r="C1604">
            <v>4012013121100030</v>
          </cell>
          <cell r="D1604">
            <v>6.1811940385597716E-2</v>
          </cell>
          <cell r="F1604">
            <v>0.93818805961440233</v>
          </cell>
          <cell r="G1604">
            <v>0</v>
          </cell>
          <cell r="H1604">
            <v>1</v>
          </cell>
        </row>
        <row r="1605">
          <cell r="B1605" t="str">
            <v>401 2014 10 1211 00007</v>
          </cell>
          <cell r="C1605">
            <v>4012014121100030</v>
          </cell>
          <cell r="D1605">
            <v>5.4945054945054937E-2</v>
          </cell>
          <cell r="F1605">
            <v>0.94505494505494503</v>
          </cell>
          <cell r="G1605">
            <v>0</v>
          </cell>
          <cell r="H1605">
            <v>1</v>
          </cell>
        </row>
        <row r="1606">
          <cell r="B1606" t="str">
            <v>501 2013 10 1211 00043</v>
          </cell>
          <cell r="C1606">
            <v>5012014121100000</v>
          </cell>
          <cell r="D1606">
            <v>1</v>
          </cell>
          <cell r="F1606">
            <v>0</v>
          </cell>
          <cell r="G1606">
            <v>0</v>
          </cell>
          <cell r="H1606">
            <v>1</v>
          </cell>
        </row>
        <row r="1607">
          <cell r="B1607" t="str">
            <v>302 2013 10 1211 00001</v>
          </cell>
          <cell r="C1607">
            <v>3022014121100000</v>
          </cell>
          <cell r="D1607">
            <v>8.4055133070583248E-3</v>
          </cell>
          <cell r="F1607">
            <v>0.10759057033034648</v>
          </cell>
          <cell r="G1607">
            <v>0.88400391636259523</v>
          </cell>
          <cell r="H1607">
            <v>1</v>
          </cell>
        </row>
        <row r="1608">
          <cell r="B1608" t="str">
            <v>503 2014 10 1211 00004</v>
          </cell>
          <cell r="C1608">
            <v>5032014121100020</v>
          </cell>
          <cell r="D1608">
            <v>0.23433295795786754</v>
          </cell>
          <cell r="F1608">
            <v>0.76566704204213243</v>
          </cell>
          <cell r="G1608">
            <v>0</v>
          </cell>
          <cell r="H1608">
            <v>1</v>
          </cell>
        </row>
        <row r="1609">
          <cell r="B1609" t="str">
            <v>503 2014 10 1211 00006</v>
          </cell>
          <cell r="C1609">
            <v>5032014121100030</v>
          </cell>
          <cell r="D1609">
            <v>0.19722841456988308</v>
          </cell>
          <cell r="F1609">
            <v>0.80277158543011695</v>
          </cell>
          <cell r="G1609">
            <v>0</v>
          </cell>
          <cell r="H1609">
            <v>1</v>
          </cell>
        </row>
        <row r="1610">
          <cell r="B1610" t="str">
            <v>503 2013 10 1211 00017</v>
          </cell>
          <cell r="C1610">
            <v>5032013121100060</v>
          </cell>
          <cell r="D1610">
            <v>0.45381934359570142</v>
          </cell>
          <cell r="F1610">
            <v>0.54618065640429858</v>
          </cell>
          <cell r="G1610">
            <v>0</v>
          </cell>
          <cell r="H1610">
            <v>1</v>
          </cell>
        </row>
        <row r="1611">
          <cell r="B1611" t="str">
            <v>503 2013 10 1211 00016</v>
          </cell>
          <cell r="C1611">
            <v>5032013121100080</v>
          </cell>
          <cell r="D1611">
            <v>0.23104349318716322</v>
          </cell>
          <cell r="F1611">
            <v>0.76895650681283678</v>
          </cell>
          <cell r="G1611">
            <v>0</v>
          </cell>
          <cell r="H1611">
            <v>1</v>
          </cell>
        </row>
        <row r="1612">
          <cell r="B1612" t="str">
            <v>301 2014 10 1211 00003</v>
          </cell>
          <cell r="C1612">
            <v>3012014121100000</v>
          </cell>
          <cell r="D1612">
            <v>0.11008851116297504</v>
          </cell>
          <cell r="F1612">
            <v>0.88991148883702498</v>
          </cell>
          <cell r="G1612">
            <v>0</v>
          </cell>
          <cell r="H1612">
            <v>1</v>
          </cell>
        </row>
        <row r="1613">
          <cell r="B1613" t="str">
            <v>501 2014 10 1211 00010</v>
          </cell>
          <cell r="C1613">
            <v>5012014121100000</v>
          </cell>
          <cell r="D1613">
            <v>0.69156293222683263</v>
          </cell>
          <cell r="F1613">
            <v>0.30843706777316737</v>
          </cell>
          <cell r="G1613">
            <v>0</v>
          </cell>
          <cell r="H1613">
            <v>1</v>
          </cell>
        </row>
        <row r="1614">
          <cell r="B1614" t="str">
            <v>401 2013 10 1211 00008</v>
          </cell>
          <cell r="C1614">
            <v>4012013121100030</v>
          </cell>
          <cell r="D1614">
            <v>6.1811940385597716E-2</v>
          </cell>
          <cell r="F1614">
            <v>0.93818805961440233</v>
          </cell>
          <cell r="G1614">
            <v>0</v>
          </cell>
          <cell r="H1614">
            <v>1</v>
          </cell>
        </row>
        <row r="1615">
          <cell r="B1615" t="str">
            <v>501 2013 60 1212 00004</v>
          </cell>
          <cell r="C1615">
            <v>5012013121200060</v>
          </cell>
          <cell r="D1615">
            <v>0.21250266963045056</v>
          </cell>
          <cell r="F1615">
            <v>0.78749733036954939</v>
          </cell>
          <cell r="G1615">
            <v>0</v>
          </cell>
          <cell r="H1615">
            <v>1</v>
          </cell>
        </row>
        <row r="1616">
          <cell r="B1616" t="str">
            <v>208 2014 10 1211 00001</v>
          </cell>
          <cell r="C1616">
            <v>2082014121100000</v>
          </cell>
          <cell r="D1616">
            <v>0.28167066700793586</v>
          </cell>
          <cell r="F1616">
            <v>0.71832933299206414</v>
          </cell>
          <cell r="G1616">
            <v>0</v>
          </cell>
          <cell r="H1616">
            <v>1</v>
          </cell>
        </row>
        <row r="1617">
          <cell r="B1617" t="str">
            <v>208 2014 10 1211 00001</v>
          </cell>
          <cell r="C1617">
            <v>2082014121100000</v>
          </cell>
          <cell r="D1617">
            <v>0.28167066700793586</v>
          </cell>
          <cell r="F1617">
            <v>0.71832933299206414</v>
          </cell>
          <cell r="G1617">
            <v>0</v>
          </cell>
          <cell r="H1617">
            <v>1</v>
          </cell>
        </row>
        <row r="1618">
          <cell r="B1618" t="str">
            <v>401 2012 10 1211 00009</v>
          </cell>
          <cell r="C1618">
            <v>4012012121100010</v>
          </cell>
          <cell r="D1618">
            <v>0.17166100118812064</v>
          </cell>
          <cell r="F1618">
            <v>0.82833899881187933</v>
          </cell>
          <cell r="G1618">
            <v>0</v>
          </cell>
          <cell r="H1618">
            <v>1</v>
          </cell>
        </row>
        <row r="1619">
          <cell r="B1619" t="str">
            <v>401 2014 10 1211 00007</v>
          </cell>
          <cell r="C1619">
            <v>4012014121100040</v>
          </cell>
          <cell r="D1619">
            <v>5.4945054945054937E-2</v>
          </cell>
          <cell r="F1619">
            <v>0.94505494505494503</v>
          </cell>
          <cell r="G1619">
            <v>0</v>
          </cell>
          <cell r="H1619">
            <v>1</v>
          </cell>
        </row>
        <row r="1620">
          <cell r="B1620" t="str">
            <v>402 2013 10 1221 00002</v>
          </cell>
          <cell r="C1620">
            <v>4022013122100000</v>
          </cell>
          <cell r="D1620">
            <v>1</v>
          </cell>
          <cell r="F1620">
            <v>0</v>
          </cell>
          <cell r="G1620">
            <v>0</v>
          </cell>
          <cell r="H1620">
            <v>1</v>
          </cell>
        </row>
        <row r="1621">
          <cell r="B1621" t="str">
            <v>501 2013 60 1212 00004</v>
          </cell>
          <cell r="C1621">
            <v>5012013121200050</v>
          </cell>
          <cell r="D1621">
            <v>0.21250266963045056</v>
          </cell>
          <cell r="F1621">
            <v>0.78749733036954939</v>
          </cell>
          <cell r="G1621">
            <v>0</v>
          </cell>
          <cell r="H1621">
            <v>1</v>
          </cell>
        </row>
        <row r="1622">
          <cell r="B1622" t="str">
            <v>401 2014 10 1211 00019</v>
          </cell>
          <cell r="C1622">
            <v>4012014121100030</v>
          </cell>
          <cell r="D1622">
            <v>0.1</v>
          </cell>
          <cell r="F1622">
            <v>0</v>
          </cell>
          <cell r="G1622">
            <v>0.9</v>
          </cell>
          <cell r="H1622">
            <v>1</v>
          </cell>
        </row>
        <row r="1623">
          <cell r="B1623" t="str">
            <v>208 2014 10 1211 00001</v>
          </cell>
          <cell r="C1623">
            <v>2082014121100000</v>
          </cell>
          <cell r="D1623">
            <v>0.28167066700793586</v>
          </cell>
          <cell r="F1623">
            <v>0.71832933299206414</v>
          </cell>
          <cell r="G1623">
            <v>0</v>
          </cell>
          <cell r="H1623">
            <v>1</v>
          </cell>
        </row>
        <row r="1624">
          <cell r="B1624" t="str">
            <v>208 2014 10 1211 00001</v>
          </cell>
          <cell r="C1624">
            <v>2082014121100010</v>
          </cell>
          <cell r="D1624">
            <v>0.28167066700793586</v>
          </cell>
          <cell r="F1624">
            <v>0.71832933299206414</v>
          </cell>
          <cell r="G1624">
            <v>0</v>
          </cell>
          <cell r="H1624">
            <v>1</v>
          </cell>
        </row>
        <row r="1625">
          <cell r="B1625" t="str">
            <v>401 2014 10 1211 00007</v>
          </cell>
          <cell r="C1625">
            <v>4012014121100000</v>
          </cell>
          <cell r="D1625">
            <v>5.4945054945054937E-2</v>
          </cell>
          <cell r="F1625">
            <v>0.94505494505494503</v>
          </cell>
          <cell r="G1625">
            <v>0</v>
          </cell>
          <cell r="H1625">
            <v>1</v>
          </cell>
        </row>
        <row r="1626">
          <cell r="B1626" t="str">
            <v>401 2014 65 1211 00009</v>
          </cell>
          <cell r="C1626">
            <v>4012014121100020</v>
          </cell>
          <cell r="D1626">
            <v>5.4945054945054944E-2</v>
          </cell>
          <cell r="F1626">
            <v>0.94505494505494503</v>
          </cell>
          <cell r="G1626">
            <v>0</v>
          </cell>
          <cell r="H1626">
            <v>1</v>
          </cell>
        </row>
        <row r="1627">
          <cell r="B1627" t="str">
            <v>402 2014 10 1221 00001</v>
          </cell>
          <cell r="C1627">
            <v>4022014122100000</v>
          </cell>
          <cell r="D1627">
            <v>1</v>
          </cell>
          <cell r="F1627">
            <v>0</v>
          </cell>
          <cell r="G1627">
            <v>0</v>
          </cell>
          <cell r="H1627">
            <v>1</v>
          </cell>
        </row>
        <row r="1628">
          <cell r="B1628" t="str">
            <v>208 2014 10 1211 00001</v>
          </cell>
          <cell r="C1628">
            <v>2082014121100000</v>
          </cell>
          <cell r="D1628">
            <v>0.28167066700793586</v>
          </cell>
          <cell r="F1628">
            <v>0.71832933299206414</v>
          </cell>
          <cell r="G1628">
            <v>0</v>
          </cell>
          <cell r="H1628">
            <v>1</v>
          </cell>
        </row>
        <row r="1629">
          <cell r="B1629" t="str">
            <v>401 2014 10 1211 00015</v>
          </cell>
          <cell r="C1629">
            <v>4012014121100010</v>
          </cell>
          <cell r="D1629">
            <v>6.4659724280010766E-2</v>
          </cell>
          <cell r="F1629">
            <v>0.93534027571998923</v>
          </cell>
          <cell r="G1629">
            <v>0</v>
          </cell>
          <cell r="H1629">
            <v>1</v>
          </cell>
        </row>
        <row r="1630">
          <cell r="B1630" t="str">
            <v>501 2014 10 1222 00005</v>
          </cell>
          <cell r="C1630">
            <v>5012014122200000</v>
          </cell>
          <cell r="D1630">
            <v>1</v>
          </cell>
          <cell r="F1630">
            <v>0</v>
          </cell>
          <cell r="G1630">
            <v>0</v>
          </cell>
          <cell r="H1630">
            <v>1</v>
          </cell>
        </row>
        <row r="1631">
          <cell r="B1631" t="str">
            <v>401 2014 10 1211 00009</v>
          </cell>
          <cell r="C1631">
            <v>4012014121100000</v>
          </cell>
          <cell r="D1631">
            <v>0.2421532453589362</v>
          </cell>
          <cell r="F1631">
            <v>0.75784675464106377</v>
          </cell>
          <cell r="G1631">
            <v>0</v>
          </cell>
          <cell r="H1631">
            <v>1</v>
          </cell>
        </row>
        <row r="1632">
          <cell r="B1632" t="str">
            <v>401 2014 10 1211 00015</v>
          </cell>
          <cell r="C1632">
            <v>4012014121100030</v>
          </cell>
          <cell r="D1632">
            <v>6.4659724280010766E-2</v>
          </cell>
          <cell r="F1632">
            <v>0.93534027571998923</v>
          </cell>
          <cell r="G1632">
            <v>0</v>
          </cell>
          <cell r="H1632">
            <v>1</v>
          </cell>
        </row>
        <row r="1633">
          <cell r="B1633" t="str">
            <v>501 2014 10 1212 00001</v>
          </cell>
          <cell r="C1633">
            <v>5012014121200000</v>
          </cell>
          <cell r="D1633">
            <v>0.17669423705422171</v>
          </cell>
          <cell r="F1633">
            <v>0.82330576294577829</v>
          </cell>
          <cell r="G1633">
            <v>0</v>
          </cell>
          <cell r="H1633">
            <v>1</v>
          </cell>
        </row>
        <row r="1634">
          <cell r="B1634" t="str">
            <v>401 2013 10 1211 00005</v>
          </cell>
          <cell r="C1634">
            <v>4012013121100020</v>
          </cell>
          <cell r="D1634">
            <v>5.8823529411764705E-2</v>
          </cell>
          <cell r="F1634">
            <v>0.94117647058823528</v>
          </cell>
          <cell r="G1634">
            <v>0</v>
          </cell>
          <cell r="H1634">
            <v>1</v>
          </cell>
        </row>
        <row r="1635">
          <cell r="B1635" t="str">
            <v>501 2013 10 1211 00047</v>
          </cell>
          <cell r="C1635">
            <v>5012014121100000</v>
          </cell>
          <cell r="D1635">
            <v>0.41528239202657807</v>
          </cell>
          <cell r="F1635">
            <v>0.58471760797342198</v>
          </cell>
          <cell r="G1635">
            <v>0</v>
          </cell>
          <cell r="H1635">
            <v>1</v>
          </cell>
        </row>
        <row r="1636">
          <cell r="B1636" t="str">
            <v>501 2013 10 1211 00003</v>
          </cell>
          <cell r="C1636">
            <v>5012013121100010</v>
          </cell>
          <cell r="D1636">
            <v>0.5</v>
          </cell>
          <cell r="F1636">
            <v>0.5</v>
          </cell>
          <cell r="G1636">
            <v>0</v>
          </cell>
          <cell r="H1636">
            <v>1</v>
          </cell>
        </row>
        <row r="1637">
          <cell r="B1637" t="str">
            <v>302 2013 10 1212 00018</v>
          </cell>
          <cell r="C1637">
            <v>3022014121200010</v>
          </cell>
          <cell r="D1637">
            <v>7.2463768115942032E-2</v>
          </cell>
          <cell r="F1637">
            <v>0.92753623188405798</v>
          </cell>
          <cell r="G1637">
            <v>0</v>
          </cell>
          <cell r="H1637">
            <v>1</v>
          </cell>
        </row>
        <row r="1638">
          <cell r="B1638" t="str">
            <v>501 2014 10 1211 00028</v>
          </cell>
          <cell r="C1638">
            <v>5012014121100010</v>
          </cell>
          <cell r="D1638">
            <v>1</v>
          </cell>
          <cell r="F1638">
            <v>0</v>
          </cell>
          <cell r="G1638">
            <v>0</v>
          </cell>
          <cell r="H1638">
            <v>1</v>
          </cell>
        </row>
        <row r="1639">
          <cell r="B1639" t="str">
            <v>501 2014 10 1212 00002</v>
          </cell>
          <cell r="C1639">
            <v>5012014121200020</v>
          </cell>
          <cell r="D1639">
            <v>0.30338254626601835</v>
          </cell>
          <cell r="F1639">
            <v>0.69661745373398165</v>
          </cell>
          <cell r="G1639">
            <v>0</v>
          </cell>
          <cell r="H1639">
            <v>1</v>
          </cell>
        </row>
        <row r="1640">
          <cell r="B1640" t="str">
            <v>207 2014 10 1212 00002</v>
          </cell>
          <cell r="C1640">
            <v>2072014121200000</v>
          </cell>
          <cell r="D1640">
            <v>0.63522994093828122</v>
          </cell>
          <cell r="F1640">
            <v>0.36477005906171878</v>
          </cell>
          <cell r="G1640">
            <v>0</v>
          </cell>
          <cell r="H1640">
            <v>1</v>
          </cell>
        </row>
        <row r="1641">
          <cell r="B1641" t="str">
            <v>401 2013 60 1212 00001</v>
          </cell>
          <cell r="C1641">
            <v>4012013121200000</v>
          </cell>
          <cell r="D1641">
            <v>1</v>
          </cell>
          <cell r="F1641">
            <v>0</v>
          </cell>
          <cell r="G1641">
            <v>0</v>
          </cell>
          <cell r="H1641">
            <v>1</v>
          </cell>
        </row>
        <row r="1642">
          <cell r="B1642" t="str">
            <v>501 2013 60 1212 00002</v>
          </cell>
          <cell r="C1642">
            <v>5012013121200000</v>
          </cell>
          <cell r="D1642">
            <v>0.20004706195153116</v>
          </cell>
          <cell r="F1642">
            <v>0.7999529380484689</v>
          </cell>
          <cell r="G1642">
            <v>0</v>
          </cell>
          <cell r="H1642">
            <v>1</v>
          </cell>
        </row>
        <row r="1643">
          <cell r="B1643" t="str">
            <v>501 2013 10 1211 00007</v>
          </cell>
          <cell r="C1643">
            <v>5012013121100010</v>
          </cell>
          <cell r="D1643">
            <v>0.55182855227178462</v>
          </cell>
          <cell r="F1643">
            <v>0.44817144772821538</v>
          </cell>
          <cell r="G1643">
            <v>0</v>
          </cell>
          <cell r="H1643">
            <v>1</v>
          </cell>
        </row>
        <row r="1644">
          <cell r="B1644" t="str">
            <v>504 2013 10 1212 00004</v>
          </cell>
          <cell r="C1644">
            <v>5042013121200000</v>
          </cell>
          <cell r="D1644">
            <v>9.0298477409122488E-2</v>
          </cell>
          <cell r="F1644">
            <v>0.90970152259087755</v>
          </cell>
          <cell r="G1644">
            <v>0</v>
          </cell>
          <cell r="H1644">
            <v>1</v>
          </cell>
        </row>
        <row r="1645">
          <cell r="B1645" t="str">
            <v>504 2014 10 1211 00003</v>
          </cell>
          <cell r="C1645">
            <v>5042014121100010</v>
          </cell>
          <cell r="D1645">
            <v>1</v>
          </cell>
          <cell r="F1645">
            <v>0</v>
          </cell>
          <cell r="G1645">
            <v>0</v>
          </cell>
          <cell r="H1645">
            <v>1</v>
          </cell>
        </row>
        <row r="1646">
          <cell r="B1646" t="str">
            <v>208 2014 10 1211 00004</v>
          </cell>
          <cell r="C1646">
            <v>2082014121100000</v>
          </cell>
          <cell r="D1646">
            <v>1</v>
          </cell>
          <cell r="F1646">
            <v>0</v>
          </cell>
          <cell r="G1646">
            <v>0</v>
          </cell>
          <cell r="H1646">
            <v>1</v>
          </cell>
        </row>
        <row r="1647">
          <cell r="B1647" t="str">
            <v>501 2014 10 1212 00001</v>
          </cell>
          <cell r="C1647">
            <v>5012014121200010</v>
          </cell>
          <cell r="D1647">
            <v>0.17669423705422171</v>
          </cell>
          <cell r="F1647">
            <v>0.82330576294577829</v>
          </cell>
          <cell r="G1647">
            <v>0</v>
          </cell>
          <cell r="H1647">
            <v>1</v>
          </cell>
        </row>
        <row r="1648">
          <cell r="B1648" t="str">
            <v>501 2013 10 1211 00029</v>
          </cell>
          <cell r="C1648">
            <v>5012013121100010</v>
          </cell>
          <cell r="D1648">
            <v>1</v>
          </cell>
          <cell r="F1648">
            <v>0</v>
          </cell>
          <cell r="G1648">
            <v>0</v>
          </cell>
          <cell r="H1648">
            <v>1</v>
          </cell>
        </row>
        <row r="1649">
          <cell r="B1649" t="str">
            <v>501 2014 10 1211 00029</v>
          </cell>
          <cell r="C1649">
            <v>5012014121100010</v>
          </cell>
          <cell r="D1649">
            <v>1</v>
          </cell>
          <cell r="F1649">
            <v>0</v>
          </cell>
          <cell r="G1649">
            <v>0</v>
          </cell>
          <cell r="H1649">
            <v>1</v>
          </cell>
        </row>
        <row r="1650">
          <cell r="B1650" t="str">
            <v>501 2014 60 1212 00001</v>
          </cell>
          <cell r="C1650">
            <v>5012014121200010</v>
          </cell>
          <cell r="D1650">
            <v>0.24945923791760938</v>
          </cell>
          <cell r="F1650">
            <v>0.75054076208239062</v>
          </cell>
          <cell r="G1650">
            <v>0</v>
          </cell>
          <cell r="H1650">
            <v>1</v>
          </cell>
        </row>
        <row r="1651">
          <cell r="B1651" t="str">
            <v>207 2014 10 1212 00001</v>
          </cell>
          <cell r="C1651">
            <v>2072014121200000</v>
          </cell>
          <cell r="D1651">
            <v>5.4945054945054944E-2</v>
          </cell>
          <cell r="F1651">
            <v>0.94505494505494503</v>
          </cell>
          <cell r="G1651">
            <v>0</v>
          </cell>
          <cell r="H1651">
            <v>1</v>
          </cell>
        </row>
        <row r="1652">
          <cell r="B1652" t="str">
            <v>207 2014 10 1211 00001</v>
          </cell>
          <cell r="C1652">
            <v>2072014121100000</v>
          </cell>
          <cell r="D1652">
            <v>2.4853890193200699E-2</v>
          </cell>
          <cell r="F1652">
            <v>0.34795446270487901</v>
          </cell>
          <cell r="G1652">
            <v>0.62719164710192032</v>
          </cell>
          <cell r="H1652">
            <v>1</v>
          </cell>
        </row>
        <row r="1653">
          <cell r="B1653" t="str">
            <v>207 2014 10 1212 00003</v>
          </cell>
          <cell r="C1653">
            <v>2072014121200000</v>
          </cell>
          <cell r="D1653">
            <v>0.45825020750944145</v>
          </cell>
          <cell r="F1653">
            <v>0.54174979249055855</v>
          </cell>
          <cell r="G1653">
            <v>0</v>
          </cell>
          <cell r="H1653">
            <v>1</v>
          </cell>
        </row>
        <row r="1654">
          <cell r="B1654" t="str">
            <v>501 2014 10 1212 00001</v>
          </cell>
          <cell r="C1654">
            <v>5012014121200010</v>
          </cell>
          <cell r="D1654">
            <v>0.17669423705422171</v>
          </cell>
          <cell r="F1654">
            <v>0.82330576294577829</v>
          </cell>
          <cell r="G1654">
            <v>0</v>
          </cell>
          <cell r="H1654">
            <v>1</v>
          </cell>
        </row>
        <row r="1655">
          <cell r="B1655" t="str">
            <v>501 2014 60 1212 00001</v>
          </cell>
          <cell r="C1655">
            <v>5012014121200010</v>
          </cell>
          <cell r="D1655">
            <v>0.24945923791760938</v>
          </cell>
          <cell r="F1655">
            <v>0.75054076208239062</v>
          </cell>
          <cell r="G1655">
            <v>0</v>
          </cell>
          <cell r="H1655">
            <v>1</v>
          </cell>
        </row>
        <row r="1656">
          <cell r="B1656" t="str">
            <v>501 2013 10 1211 00007</v>
          </cell>
          <cell r="C1656">
            <v>5012013121100010</v>
          </cell>
          <cell r="D1656">
            <v>0.55182855227178462</v>
          </cell>
          <cell r="F1656">
            <v>0.44817144772821538</v>
          </cell>
          <cell r="G1656">
            <v>0</v>
          </cell>
          <cell r="H1656">
            <v>1</v>
          </cell>
        </row>
        <row r="1657">
          <cell r="B1657" t="str">
            <v>303 2014 10 1212 00005</v>
          </cell>
          <cell r="C1657">
            <v>3032014121200000</v>
          </cell>
          <cell r="D1657">
            <v>1</v>
          </cell>
          <cell r="F1657">
            <v>0</v>
          </cell>
          <cell r="G1657">
            <v>0</v>
          </cell>
          <cell r="H1657">
            <v>1</v>
          </cell>
        </row>
        <row r="1658">
          <cell r="B1658" t="str">
            <v>505 2014 10 1211 00019</v>
          </cell>
          <cell r="C1658">
            <v>5052014121100000</v>
          </cell>
          <cell r="D1658">
            <v>0.77524408715132775</v>
          </cell>
          <cell r="F1658">
            <v>0.22475591284867225</v>
          </cell>
          <cell r="G1658">
            <v>0</v>
          </cell>
          <cell r="H1658">
            <v>1</v>
          </cell>
        </row>
        <row r="1659">
          <cell r="B1659" t="str">
            <v>505 2013 60 1211 00001</v>
          </cell>
          <cell r="C1659">
            <v>5052013121100060</v>
          </cell>
          <cell r="D1659">
            <v>0.31290076486414181</v>
          </cell>
          <cell r="F1659">
            <v>0.68709923513585824</v>
          </cell>
          <cell r="G1659">
            <v>0</v>
          </cell>
          <cell r="H1659">
            <v>1</v>
          </cell>
        </row>
        <row r="1660">
          <cell r="B1660" t="str">
            <v>505 2014 10 1211 00023</v>
          </cell>
          <cell r="C1660">
            <v>5052014121100050</v>
          </cell>
          <cell r="D1660">
            <v>0.32341549364147415</v>
          </cell>
          <cell r="F1660">
            <v>0.67658450635852585</v>
          </cell>
          <cell r="G1660">
            <v>0</v>
          </cell>
          <cell r="H1660">
            <v>1</v>
          </cell>
        </row>
        <row r="1661">
          <cell r="B1661" t="str">
            <v>501 2013 10 1211 00039</v>
          </cell>
          <cell r="C1661">
            <v>5012014121100010</v>
          </cell>
          <cell r="D1661">
            <v>0.86206896551724133</v>
          </cell>
          <cell r="F1661">
            <v>0.13793103448275867</v>
          </cell>
          <cell r="G1661">
            <v>0</v>
          </cell>
          <cell r="H1661">
            <v>1</v>
          </cell>
        </row>
        <row r="1662">
          <cell r="B1662" t="str">
            <v>501 2014 10 1212 00001</v>
          </cell>
          <cell r="C1662">
            <v>5012014121200010</v>
          </cell>
          <cell r="D1662">
            <v>0.17669423705422171</v>
          </cell>
          <cell r="F1662">
            <v>0.82330576294577829</v>
          </cell>
          <cell r="G1662">
            <v>0</v>
          </cell>
          <cell r="H1662">
            <v>1</v>
          </cell>
        </row>
        <row r="1663">
          <cell r="B1663" t="str">
            <v>501 2014 10 1212 00001</v>
          </cell>
          <cell r="C1663">
            <v>5012014121200010</v>
          </cell>
          <cell r="D1663">
            <v>0.17669423705422171</v>
          </cell>
          <cell r="F1663">
            <v>0.82330576294577829</v>
          </cell>
          <cell r="G1663">
            <v>0</v>
          </cell>
          <cell r="H1663">
            <v>1</v>
          </cell>
        </row>
        <row r="1664">
          <cell r="B1664" t="str">
            <v>501 2014 60 1212 00001</v>
          </cell>
          <cell r="C1664">
            <v>5012014121200000</v>
          </cell>
          <cell r="D1664">
            <v>0.24945923791760938</v>
          </cell>
          <cell r="F1664">
            <v>0.75054076208239062</v>
          </cell>
          <cell r="G1664">
            <v>0</v>
          </cell>
          <cell r="H1664">
            <v>1</v>
          </cell>
        </row>
        <row r="1665">
          <cell r="B1665" t="str">
            <v>501 2013 60 1212 00002</v>
          </cell>
          <cell r="C1665">
            <v>5012013121200010</v>
          </cell>
          <cell r="D1665">
            <v>0.20004706195153116</v>
          </cell>
          <cell r="F1665">
            <v>0.7999529380484689</v>
          </cell>
          <cell r="G1665">
            <v>0</v>
          </cell>
          <cell r="H1665">
            <v>1</v>
          </cell>
        </row>
        <row r="1666">
          <cell r="B1666" t="str">
            <v>501 2013 10 1211 00032</v>
          </cell>
          <cell r="C1666">
            <v>5012014121100010</v>
          </cell>
          <cell r="D1666">
            <v>0.41148837558664603</v>
          </cell>
          <cell r="F1666">
            <v>0.58851162441335392</v>
          </cell>
          <cell r="G1666">
            <v>0</v>
          </cell>
          <cell r="H1666">
            <v>1</v>
          </cell>
        </row>
        <row r="1667">
          <cell r="B1667" t="str">
            <v>501 2014 10 1212 00001</v>
          </cell>
          <cell r="C1667">
            <v>5012014121200020</v>
          </cell>
          <cell r="D1667">
            <v>0.17669423705422171</v>
          </cell>
          <cell r="F1667">
            <v>0.82330576294577829</v>
          </cell>
          <cell r="G1667">
            <v>0</v>
          </cell>
          <cell r="H1667">
            <v>1</v>
          </cell>
        </row>
        <row r="1668">
          <cell r="B1668" t="str">
            <v>501 2013 10 1211 00043</v>
          </cell>
          <cell r="C1668">
            <v>5012014121100010</v>
          </cell>
          <cell r="D1668">
            <v>1</v>
          </cell>
          <cell r="F1668">
            <v>0</v>
          </cell>
          <cell r="G1668">
            <v>0</v>
          </cell>
          <cell r="H1668">
            <v>1</v>
          </cell>
        </row>
        <row r="1669">
          <cell r="B1669" t="str">
            <v>501 2014 10 1211 00022</v>
          </cell>
          <cell r="C1669">
            <v>5012014121100010</v>
          </cell>
          <cell r="D1669">
            <v>1</v>
          </cell>
          <cell r="F1669">
            <v>0</v>
          </cell>
          <cell r="G1669">
            <v>0</v>
          </cell>
          <cell r="H1669">
            <v>1</v>
          </cell>
        </row>
        <row r="1670">
          <cell r="B1670" t="str">
            <v>207 2012 10 1212 00003</v>
          </cell>
          <cell r="C1670">
            <v>2072013121200000</v>
          </cell>
          <cell r="D1670">
            <v>0.28104822252156691</v>
          </cell>
          <cell r="F1670">
            <v>0.71895177747843309</v>
          </cell>
          <cell r="G1670">
            <v>0</v>
          </cell>
          <cell r="H1670">
            <v>1</v>
          </cell>
        </row>
        <row r="1671">
          <cell r="B1671" t="str">
            <v>501 2014 10 1212 00001</v>
          </cell>
          <cell r="C1671">
            <v>5012014121200020</v>
          </cell>
          <cell r="D1671">
            <v>0.17669423705422171</v>
          </cell>
          <cell r="F1671">
            <v>0.82330576294577829</v>
          </cell>
          <cell r="G1671">
            <v>0</v>
          </cell>
          <cell r="H1671">
            <v>1</v>
          </cell>
        </row>
        <row r="1672">
          <cell r="B1672" t="str">
            <v>208 2013 10 1211 00001</v>
          </cell>
          <cell r="C1672">
            <v>2082013121100000</v>
          </cell>
          <cell r="D1672">
            <v>0.67714834154913806</v>
          </cell>
          <cell r="F1672">
            <v>0.32285165845086194</v>
          </cell>
          <cell r="G1672">
            <v>0</v>
          </cell>
          <cell r="H1672">
            <v>1</v>
          </cell>
        </row>
        <row r="1673">
          <cell r="B1673" t="str">
            <v>501 2012 10 1212 00002</v>
          </cell>
          <cell r="C1673">
            <v>5012012121200000</v>
          </cell>
          <cell r="D1673">
            <v>0.22039433714792711</v>
          </cell>
          <cell r="F1673">
            <v>0.77960566285207289</v>
          </cell>
          <cell r="G1673">
            <v>0</v>
          </cell>
          <cell r="H1673">
            <v>1</v>
          </cell>
        </row>
        <row r="1674">
          <cell r="B1674" t="str">
            <v>208 2013 10 1211 00001</v>
          </cell>
          <cell r="C1674">
            <v>2082013121100010</v>
          </cell>
          <cell r="D1674">
            <v>0.67714834154913806</v>
          </cell>
          <cell r="F1674">
            <v>0.32285165845086194</v>
          </cell>
          <cell r="G1674">
            <v>0</v>
          </cell>
          <cell r="H1674">
            <v>1</v>
          </cell>
        </row>
        <row r="1675">
          <cell r="B1675" t="str">
            <v>301 2013 10 1211 00002</v>
          </cell>
          <cell r="C1675">
            <v>3012013121100000</v>
          </cell>
          <cell r="D1675">
            <v>0.2497241883742872</v>
          </cell>
          <cell r="F1675">
            <v>0.75027581162571277</v>
          </cell>
          <cell r="G1675">
            <v>0</v>
          </cell>
          <cell r="H1675">
            <v>1</v>
          </cell>
        </row>
        <row r="1676">
          <cell r="B1676" t="str">
            <v>301 2013 10 1212 00007</v>
          </cell>
          <cell r="C1676">
            <v>3012014121200000</v>
          </cell>
          <cell r="D1676">
            <v>6.4114893889850616E-2</v>
          </cell>
          <cell r="F1676">
            <v>0.93588510611014941</v>
          </cell>
          <cell r="G1676">
            <v>0</v>
          </cell>
          <cell r="H1676">
            <v>1</v>
          </cell>
        </row>
        <row r="1677">
          <cell r="B1677" t="str">
            <v>301 2014 10 1211 00003</v>
          </cell>
          <cell r="C1677">
            <v>3012014121100000</v>
          </cell>
          <cell r="D1677">
            <v>0.11008851116297504</v>
          </cell>
          <cell r="F1677">
            <v>0.88991148883702498</v>
          </cell>
          <cell r="G1677">
            <v>0</v>
          </cell>
          <cell r="H1677">
            <v>1</v>
          </cell>
        </row>
        <row r="1678">
          <cell r="B1678" t="str">
            <v>301 2012 10 1212 00006</v>
          </cell>
          <cell r="C1678">
            <v>3012013121200000</v>
          </cell>
          <cell r="D1678">
            <v>0.19230769230769232</v>
          </cell>
          <cell r="F1678">
            <v>0.80769230769230771</v>
          </cell>
          <cell r="G1678">
            <v>0</v>
          </cell>
          <cell r="H1678">
            <v>1</v>
          </cell>
        </row>
        <row r="1679">
          <cell r="B1679" t="str">
            <v>301 2013 10 1212 00008</v>
          </cell>
          <cell r="C1679">
            <v>3012014121200010</v>
          </cell>
          <cell r="D1679">
            <v>0.19230769230769232</v>
          </cell>
          <cell r="F1679">
            <v>0.80769230769230771</v>
          </cell>
          <cell r="G1679">
            <v>0</v>
          </cell>
          <cell r="H1679">
            <v>1</v>
          </cell>
        </row>
        <row r="1680">
          <cell r="B1680" t="str">
            <v>301 2012 10 1212 00008</v>
          </cell>
          <cell r="C1680">
            <v>3012013121200010</v>
          </cell>
          <cell r="D1680">
            <v>7.2857833965739319E-2</v>
          </cell>
          <cell r="F1680">
            <v>0.9271421660342607</v>
          </cell>
          <cell r="G1680">
            <v>0</v>
          </cell>
          <cell r="H1680">
            <v>1</v>
          </cell>
        </row>
        <row r="1681">
          <cell r="B1681" t="str">
            <v>301 2013 10 1212 00007</v>
          </cell>
          <cell r="C1681">
            <v>3012014121200010</v>
          </cell>
          <cell r="D1681">
            <v>6.4114893889850616E-2</v>
          </cell>
          <cell r="F1681">
            <v>0.93588510611014941</v>
          </cell>
          <cell r="G1681">
            <v>0</v>
          </cell>
          <cell r="H1681">
            <v>1</v>
          </cell>
        </row>
        <row r="1682">
          <cell r="B1682" t="str">
            <v>301 2013 10 1212 00008</v>
          </cell>
          <cell r="C1682">
            <v>3012013121200050</v>
          </cell>
          <cell r="D1682">
            <v>0.19230769230769232</v>
          </cell>
          <cell r="F1682">
            <v>0.80769230769230771</v>
          </cell>
          <cell r="G1682">
            <v>0</v>
          </cell>
          <cell r="H1682">
            <v>1</v>
          </cell>
        </row>
        <row r="1683">
          <cell r="B1683" t="str">
            <v>301 2013 10 1212 00008</v>
          </cell>
          <cell r="C1683">
            <v>3012013121200080</v>
          </cell>
          <cell r="D1683">
            <v>0.19230769230769232</v>
          </cell>
          <cell r="F1683">
            <v>0.80769230769230771</v>
          </cell>
          <cell r="G1683">
            <v>0</v>
          </cell>
          <cell r="H1683">
            <v>1</v>
          </cell>
        </row>
        <row r="1684">
          <cell r="B1684" t="str">
            <v>503 2014 10 1211 00005</v>
          </cell>
          <cell r="C1684">
            <v>5032014121100000</v>
          </cell>
          <cell r="D1684">
            <v>0.21973202882775583</v>
          </cell>
          <cell r="F1684">
            <v>0.78026797117224422</v>
          </cell>
          <cell r="G1684">
            <v>0</v>
          </cell>
          <cell r="H1684">
            <v>1</v>
          </cell>
        </row>
        <row r="1685">
          <cell r="B1685" t="str">
            <v>301 2013 10 1212 00008</v>
          </cell>
          <cell r="C1685">
            <v>3012013121200030</v>
          </cell>
          <cell r="D1685">
            <v>0.19230769230769232</v>
          </cell>
          <cell r="F1685">
            <v>0.80769230769230771</v>
          </cell>
          <cell r="G1685">
            <v>0</v>
          </cell>
          <cell r="H1685">
            <v>1</v>
          </cell>
        </row>
        <row r="1686">
          <cell r="B1686" t="str">
            <v>301 2012 10 1212 00006</v>
          </cell>
          <cell r="C1686">
            <v>3012012121200050</v>
          </cell>
          <cell r="D1686">
            <v>0.19230769230769232</v>
          </cell>
          <cell r="F1686">
            <v>0.80769230769230771</v>
          </cell>
          <cell r="G1686">
            <v>0</v>
          </cell>
          <cell r="H1686">
            <v>1</v>
          </cell>
        </row>
        <row r="1687">
          <cell r="B1687" t="str">
            <v>301 2013 10 1212 00008</v>
          </cell>
          <cell r="C1687">
            <v>3012013121200060</v>
          </cell>
          <cell r="D1687">
            <v>0.19230769230769232</v>
          </cell>
          <cell r="F1687">
            <v>0.80769230769230771</v>
          </cell>
          <cell r="G1687">
            <v>0</v>
          </cell>
          <cell r="H1687">
            <v>1</v>
          </cell>
        </row>
        <row r="1688">
          <cell r="B1688" t="str">
            <v>301 2013 10 1212 00008</v>
          </cell>
          <cell r="C1688">
            <v>3012013121200070</v>
          </cell>
          <cell r="D1688">
            <v>0.19230769230769232</v>
          </cell>
          <cell r="F1688">
            <v>0.80769230769230771</v>
          </cell>
          <cell r="G1688">
            <v>0</v>
          </cell>
          <cell r="H1688">
            <v>1</v>
          </cell>
        </row>
        <row r="1689">
          <cell r="B1689" t="str">
            <v>503 2013 10 1211 00004</v>
          </cell>
          <cell r="C1689">
            <v>5032013121100000</v>
          </cell>
          <cell r="D1689">
            <v>0.43936731107205623</v>
          </cell>
          <cell r="F1689">
            <v>0.56063268892794382</v>
          </cell>
          <cell r="G1689">
            <v>0</v>
          </cell>
          <cell r="H1689">
            <v>1</v>
          </cell>
        </row>
        <row r="1690">
          <cell r="B1690" t="str">
            <v>301 2013 10 1212 00008</v>
          </cell>
          <cell r="C1690">
            <v>3012013121200070</v>
          </cell>
          <cell r="D1690">
            <v>0.19230769230769232</v>
          </cell>
          <cell r="F1690">
            <v>0.80769230769230771</v>
          </cell>
          <cell r="G1690">
            <v>0</v>
          </cell>
          <cell r="H1690">
            <v>1</v>
          </cell>
        </row>
        <row r="1691">
          <cell r="B1691" t="str">
            <v>301 2012 10 1212 00026</v>
          </cell>
          <cell r="C1691">
            <v>3012013121200080</v>
          </cell>
          <cell r="D1691">
            <v>0.92129956556192694</v>
          </cell>
          <cell r="F1691">
            <v>7.8700434438073064E-2</v>
          </cell>
          <cell r="G1691">
            <v>0</v>
          </cell>
          <cell r="H1691">
            <v>1</v>
          </cell>
        </row>
        <row r="1692">
          <cell r="B1692" t="str">
            <v>401 2014 10 1211 00007</v>
          </cell>
          <cell r="C1692">
            <v>4012014121100010</v>
          </cell>
          <cell r="D1692">
            <v>5.4945054945054937E-2</v>
          </cell>
          <cell r="F1692">
            <v>0.94505494505494503</v>
          </cell>
          <cell r="G1692">
            <v>0</v>
          </cell>
          <cell r="H1692">
            <v>1</v>
          </cell>
        </row>
        <row r="1693">
          <cell r="B1693" t="str">
            <v>501 2013 10 1211 00019</v>
          </cell>
          <cell r="C1693">
            <v>5012013121100010</v>
          </cell>
          <cell r="D1693">
            <v>0.89883905470590419</v>
          </cell>
          <cell r="F1693">
            <v>0.10116094529409581</v>
          </cell>
          <cell r="G1693">
            <v>0</v>
          </cell>
          <cell r="H1693">
            <v>1</v>
          </cell>
        </row>
        <row r="1694">
          <cell r="B1694" t="str">
            <v>401 2013 10 1211 00020</v>
          </cell>
          <cell r="C1694">
            <v>4012014121100010</v>
          </cell>
          <cell r="D1694">
            <v>0.1</v>
          </cell>
          <cell r="F1694">
            <v>0</v>
          </cell>
          <cell r="G1694">
            <v>0.9</v>
          </cell>
          <cell r="H1694">
            <v>1</v>
          </cell>
        </row>
        <row r="1695">
          <cell r="B1695" t="str">
            <v>401 2014 10 1211 00008</v>
          </cell>
          <cell r="C1695">
            <v>4012014121100040</v>
          </cell>
          <cell r="D1695">
            <v>5.4945054945054944E-2</v>
          </cell>
          <cell r="F1695">
            <v>0.94505494505494503</v>
          </cell>
          <cell r="G1695">
            <v>0</v>
          </cell>
          <cell r="H1695">
            <v>1</v>
          </cell>
        </row>
        <row r="1696">
          <cell r="B1696" t="str">
            <v>501 2013 60 1212 00002</v>
          </cell>
          <cell r="C1696">
            <v>5012013121200010</v>
          </cell>
          <cell r="D1696">
            <v>0.20004706195153116</v>
          </cell>
          <cell r="F1696">
            <v>0.7999529380484689</v>
          </cell>
          <cell r="G1696">
            <v>0</v>
          </cell>
          <cell r="H1696">
            <v>1</v>
          </cell>
        </row>
        <row r="1697">
          <cell r="B1697" t="str">
            <v>401 2013 65 1211 00004</v>
          </cell>
          <cell r="C1697">
            <v>4012013121100030</v>
          </cell>
          <cell r="D1697">
            <v>6.1811940385597716E-2</v>
          </cell>
          <cell r="F1697">
            <v>0.93818805961440233</v>
          </cell>
          <cell r="G1697">
            <v>0</v>
          </cell>
          <cell r="H1697">
            <v>1</v>
          </cell>
        </row>
        <row r="1698">
          <cell r="B1698" t="str">
            <v>501 2014 10 1211 00001</v>
          </cell>
          <cell r="C1698">
            <v>5012014121100000</v>
          </cell>
          <cell r="D1698">
            <v>0.14082173130314662</v>
          </cell>
          <cell r="F1698">
            <v>0.85917826869685343</v>
          </cell>
          <cell r="G1698">
            <v>0</v>
          </cell>
          <cell r="H1698">
            <v>1</v>
          </cell>
        </row>
        <row r="1699">
          <cell r="B1699" t="str">
            <v>401 2014 10 1211 00015</v>
          </cell>
          <cell r="C1699">
            <v>4012014121100010</v>
          </cell>
          <cell r="D1699">
            <v>6.4659724280010766E-2</v>
          </cell>
          <cell r="F1699">
            <v>0.93534027571998923</v>
          </cell>
          <cell r="G1699">
            <v>0</v>
          </cell>
          <cell r="H1699">
            <v>1</v>
          </cell>
        </row>
        <row r="1700">
          <cell r="B1700" t="str">
            <v>501 2013 10 1211 00004</v>
          </cell>
          <cell r="C1700">
            <v>5012013121100000</v>
          </cell>
          <cell r="D1700">
            <v>0.9402504323177463</v>
          </cell>
          <cell r="F1700">
            <v>5.9749567682253701E-2</v>
          </cell>
          <cell r="G1700">
            <v>0</v>
          </cell>
          <cell r="H1700">
            <v>1</v>
          </cell>
        </row>
        <row r="1701">
          <cell r="B1701" t="str">
            <v>501 2012 10 1212 00001</v>
          </cell>
          <cell r="C1701">
            <v>5012012121200040</v>
          </cell>
          <cell r="D1701">
            <v>0.20004706195153116</v>
          </cell>
          <cell r="F1701">
            <v>0.7999529380484689</v>
          </cell>
          <cell r="G1701">
            <v>0</v>
          </cell>
          <cell r="H1701">
            <v>1</v>
          </cell>
        </row>
        <row r="1702">
          <cell r="B1702" t="str">
            <v>501 2013 60 1212 00002</v>
          </cell>
          <cell r="C1702">
            <v>5012013121200060</v>
          </cell>
          <cell r="D1702">
            <v>0.20004706195153116</v>
          </cell>
          <cell r="F1702">
            <v>0.7999529380484689</v>
          </cell>
          <cell r="G1702">
            <v>0</v>
          </cell>
          <cell r="H1702">
            <v>1</v>
          </cell>
        </row>
        <row r="1703">
          <cell r="B1703" t="str">
            <v>503 2014 10 1211 00002</v>
          </cell>
          <cell r="C1703">
            <v>5032014121100000</v>
          </cell>
          <cell r="D1703">
            <v>0.23427661275443901</v>
          </cell>
          <cell r="F1703">
            <v>0.76572338724556099</v>
          </cell>
          <cell r="G1703">
            <v>0</v>
          </cell>
          <cell r="H1703">
            <v>1</v>
          </cell>
        </row>
        <row r="1704">
          <cell r="B1704" t="str">
            <v>208 2014 10 1211 00001</v>
          </cell>
          <cell r="C1704">
            <v>2082014121100010</v>
          </cell>
          <cell r="D1704">
            <v>0.28167066700793586</v>
          </cell>
          <cell r="F1704">
            <v>0.71832933299206414</v>
          </cell>
          <cell r="G1704">
            <v>0</v>
          </cell>
          <cell r="H1704">
            <v>1</v>
          </cell>
        </row>
        <row r="1705">
          <cell r="B1705" t="str">
            <v>501 2014 60 1212 00001</v>
          </cell>
          <cell r="C1705">
            <v>5012014121200020</v>
          </cell>
          <cell r="D1705">
            <v>0.24945923791760938</v>
          </cell>
          <cell r="F1705">
            <v>0.75054076208239062</v>
          </cell>
          <cell r="G1705">
            <v>0</v>
          </cell>
          <cell r="H1705">
            <v>1</v>
          </cell>
        </row>
        <row r="1706">
          <cell r="B1706" t="str">
            <v>501 2012 10 1211 00020</v>
          </cell>
          <cell r="C1706">
            <v>5012012121100010</v>
          </cell>
          <cell r="D1706">
            <v>0.30338254626601835</v>
          </cell>
          <cell r="F1706">
            <v>0.69661745373398165</v>
          </cell>
          <cell r="G1706">
            <v>0</v>
          </cell>
          <cell r="H1706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7"/>
      <sheetName val="Sheet1"/>
      <sheetName val="RECAP 2017 MAPFRE"/>
      <sheetName val="RECAP DZD"/>
      <sheetName val="RECAP EURO"/>
      <sheetName val="RECAP_2017_MAPFRE"/>
      <sheetName val="RECAP_DZD"/>
      <sheetName val="RECAP_EURO"/>
      <sheetName val="RECAP_2017_MAPFRE2"/>
      <sheetName val="RECAP_DZD2"/>
      <sheetName val="RECAP_EURO2"/>
      <sheetName val="RECAP_2017_MAPFRE1"/>
      <sheetName val="RECAP_DZD1"/>
      <sheetName val="RECAP_EURO1"/>
      <sheetName val="RECAP_2017_MAPFRE3"/>
      <sheetName val="RECAP_DZD3"/>
      <sheetName val="RECAP_EURO3"/>
    </sheetNames>
    <sheetDataSet>
      <sheetData sheetId="0"/>
      <sheetData sheetId="1">
        <row r="1">
          <cell r="A1" t="str">
            <v xml:space="preserve">EN ATTENTE </v>
          </cell>
        </row>
        <row r="11">
          <cell r="A11" t="str">
            <v>FRAIS MEDICAUX</v>
          </cell>
        </row>
        <row r="12">
          <cell r="A12" t="str">
            <v>SOINS DENTAIRES</v>
          </cell>
        </row>
        <row r="13">
          <cell r="A13" t="str">
            <v>RETARD DE BAGGAGES</v>
          </cell>
        </row>
        <row r="14">
          <cell r="A14" t="str">
            <v>PERTE DE BAGGAGES</v>
          </cell>
        </row>
        <row r="15">
          <cell r="A15" t="str">
            <v>RETARD DE VOL</v>
          </cell>
        </row>
        <row r="16">
          <cell r="A16" t="str">
            <v>DECES</v>
          </cell>
        </row>
        <row r="17">
          <cell r="A17" t="str">
            <v>RAPATRIEMENT SANITAIRES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if "/>
      <sheetName val="Colgate QP &amp; EP"/>
      <sheetName val="GIG"/>
      <sheetName val="Pfizer"/>
      <sheetName val=" PROD 2022"/>
      <sheetName val="Sinistre réglé 2022 "/>
      <sheetName val="SAP 2022"/>
      <sheetName val="CONSOLID  2022 GRP"/>
      <sheetName val="Groupe Gen Re  "/>
      <sheetName val="Groupe CCR "/>
      <sheetName val="groupe Africa Re  "/>
      <sheetName val="PB GEN RE Vie Collective"/>
      <sheetName val="PB CCR Vie Collective"/>
      <sheetName val="PB AFRICA RE Vie Collective"/>
      <sheetName val="PB VIE Décès GEN RE"/>
      <sheetName val="PB "/>
    </sheetNames>
    <sheetDataSet>
      <sheetData sheetId="0">
        <row r="3">
          <cell r="O3" t="str">
            <v>REC</v>
          </cell>
        </row>
        <row r="4">
          <cell r="K4">
            <v>2022</v>
          </cell>
          <cell r="L4">
            <v>0.75</v>
          </cell>
          <cell r="M4">
            <v>0.25</v>
          </cell>
          <cell r="O4">
            <v>0</v>
          </cell>
          <cell r="Q4" t="str">
            <v xml:space="preserve">GEN RE </v>
          </cell>
          <cell r="R4" t="str">
            <v>CCR COR</v>
          </cell>
          <cell r="S4" t="str">
            <v xml:space="preserve">AFRICA RE </v>
          </cell>
        </row>
        <row r="5">
          <cell r="K5">
            <v>2021</v>
          </cell>
          <cell r="L5">
            <v>0.75</v>
          </cell>
          <cell r="M5">
            <v>0.25</v>
          </cell>
          <cell r="O5">
            <v>2017</v>
          </cell>
          <cell r="P5">
            <v>0.65</v>
          </cell>
          <cell r="Q5">
            <v>0.45</v>
          </cell>
          <cell r="R5">
            <v>0.5</v>
          </cell>
          <cell r="S5">
            <v>0.05</v>
          </cell>
        </row>
        <row r="6">
          <cell r="K6">
            <v>2020</v>
          </cell>
          <cell r="L6">
            <v>0.75</v>
          </cell>
          <cell r="M6">
            <v>0.25</v>
          </cell>
          <cell r="O6">
            <v>2018</v>
          </cell>
          <cell r="P6">
            <v>0.5</v>
          </cell>
          <cell r="Q6">
            <v>0.45</v>
          </cell>
          <cell r="R6">
            <v>0.5</v>
          </cell>
          <cell r="S6">
            <v>0.05</v>
          </cell>
        </row>
        <row r="7">
          <cell r="K7">
            <v>2019</v>
          </cell>
          <cell r="L7">
            <v>0.5</v>
          </cell>
          <cell r="M7">
            <v>0.5</v>
          </cell>
          <cell r="O7">
            <v>2019</v>
          </cell>
          <cell r="P7">
            <v>0.5</v>
          </cell>
          <cell r="Q7">
            <v>0.45</v>
          </cell>
          <cell r="R7">
            <v>0.5</v>
          </cell>
          <cell r="S7">
            <v>0.05</v>
          </cell>
        </row>
        <row r="8">
          <cell r="K8">
            <v>2018</v>
          </cell>
          <cell r="L8">
            <v>0.5</v>
          </cell>
          <cell r="M8">
            <v>0.5</v>
          </cell>
          <cell r="O8">
            <v>2020</v>
          </cell>
          <cell r="P8">
            <v>0.75</v>
          </cell>
          <cell r="Q8">
            <v>0.45</v>
          </cell>
          <cell r="R8">
            <v>0.5</v>
          </cell>
          <cell r="S8">
            <v>0.05</v>
          </cell>
        </row>
        <row r="9">
          <cell r="K9">
            <v>2017</v>
          </cell>
          <cell r="L9">
            <v>0.65</v>
          </cell>
          <cell r="M9">
            <v>0.35</v>
          </cell>
          <cell r="O9">
            <v>2021</v>
          </cell>
          <cell r="P9">
            <v>0.75</v>
          </cell>
          <cell r="Q9">
            <v>0.45</v>
          </cell>
          <cell r="R9">
            <v>0.5</v>
          </cell>
          <cell r="S9">
            <v>0.05</v>
          </cell>
        </row>
        <row r="10">
          <cell r="O10">
            <v>2022</v>
          </cell>
          <cell r="P10">
            <v>0.75</v>
          </cell>
          <cell r="Q10">
            <v>0.45</v>
          </cell>
          <cell r="R10">
            <v>0.5</v>
          </cell>
          <cell r="S10">
            <v>0.05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"/>
      <sheetName val="XOL HAMTECH+Jugurtha"/>
      <sheetName val="SAP PAR REASSUREUR"/>
      <sheetName val="au 31 12 2015"/>
      <sheetName val="verif"/>
      <sheetName val="repartition reassureurs"/>
      <sheetName val="XOL_HAMTECH+Jugurtha"/>
      <sheetName val="SAP_PAR_REASSUREUR"/>
      <sheetName val="au_31_12_2015"/>
      <sheetName val="repartition_reassureurs"/>
      <sheetName val="XOL_HAMTECH+Jugurtha1"/>
      <sheetName val="SAP_PAR_REASSUREUR1"/>
      <sheetName val="au_31_12_20151"/>
      <sheetName val="repartition_reassureurs1"/>
      <sheetName val="XOL_HAMTECH+Jugurtha2"/>
      <sheetName val="SAP_PAR_REASSUREUR2"/>
      <sheetName val="au_31_12_20152"/>
      <sheetName val="repartition_reassureurs2"/>
      <sheetName val="XOL_HAMTECH+Jugurtha4"/>
      <sheetName val="SAP_PAR_REASSUREUR4"/>
      <sheetName val="au_31_12_20154"/>
      <sheetName val="repartition_reassureurs4"/>
      <sheetName val="XOL_HAMTECH+Jugurtha3"/>
      <sheetName val="SAP_PAR_REASSUREUR3"/>
      <sheetName val="au_31_12_20153"/>
      <sheetName val="repartition_reassureurs3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B2" t="str">
            <v>100 2001 10 1211 00026</v>
          </cell>
        </row>
      </sheetData>
      <sheetData sheetId="5">
        <row r="19">
          <cell r="B19" t="str">
            <v xml:space="preserve">PART  CCR COR </v>
          </cell>
          <cell r="C19" t="str">
            <v>CCR</v>
          </cell>
          <cell r="D19" t="str">
            <v xml:space="preserve">AFRICA RE </v>
          </cell>
          <cell r="E19" t="str">
            <v>MED RE</v>
          </cell>
          <cell r="F19" t="str">
            <v>SCR</v>
          </cell>
          <cell r="G19" t="str">
            <v>ARIG</v>
          </cell>
          <cell r="H19" t="str">
            <v>BEST RE</v>
          </cell>
          <cell r="I19" t="str">
            <v>SCOR Global P&amp;C</v>
          </cell>
          <cell r="J19" t="str">
            <v>Hannover Ré</v>
          </cell>
          <cell r="K19" t="str">
            <v>CCR PARIS</v>
          </cell>
          <cell r="L19" t="str">
            <v>SAA</v>
          </cell>
          <cell r="M19" t="str">
            <v>Total</v>
          </cell>
        </row>
        <row r="20">
          <cell r="A20">
            <v>2001</v>
          </cell>
          <cell r="B20">
            <v>0</v>
          </cell>
          <cell r="C20">
            <v>0.75</v>
          </cell>
          <cell r="D20">
            <v>0.15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0.1</v>
          </cell>
          <cell r="M20">
            <v>1</v>
          </cell>
        </row>
        <row r="21">
          <cell r="A21">
            <v>2002</v>
          </cell>
          <cell r="B21">
            <v>0</v>
          </cell>
          <cell r="C21">
            <v>0.75</v>
          </cell>
          <cell r="D21">
            <v>0.15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0.1</v>
          </cell>
        </row>
        <row r="22">
          <cell r="A22">
            <v>2003</v>
          </cell>
          <cell r="B22">
            <v>0</v>
          </cell>
          <cell r="C22">
            <v>0.79999999978366043</v>
          </cell>
          <cell r="D22">
            <v>0.20000000021633949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0.99999999999999989</v>
          </cell>
        </row>
        <row r="23">
          <cell r="A23">
            <v>2004</v>
          </cell>
          <cell r="B23">
            <v>0</v>
          </cell>
          <cell r="C23">
            <v>0.75</v>
          </cell>
          <cell r="D23">
            <v>0.2</v>
          </cell>
          <cell r="E23">
            <v>0.05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</v>
          </cell>
        </row>
        <row r="24">
          <cell r="A24">
            <v>2005</v>
          </cell>
          <cell r="B24">
            <v>0</v>
          </cell>
          <cell r="C24">
            <v>0.75</v>
          </cell>
          <cell r="D24">
            <v>0.2</v>
          </cell>
          <cell r="E24">
            <v>0.05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</row>
        <row r="25">
          <cell r="A25">
            <v>2006</v>
          </cell>
          <cell r="B25">
            <v>0</v>
          </cell>
          <cell r="C25">
            <v>0.6</v>
          </cell>
          <cell r="D25">
            <v>0.22</v>
          </cell>
          <cell r="E25">
            <v>0.05</v>
          </cell>
          <cell r="F25">
            <v>5.5E-2</v>
          </cell>
          <cell r="G25">
            <v>7.4999999999999997E-2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</v>
          </cell>
        </row>
        <row r="26">
          <cell r="A26">
            <v>2007</v>
          </cell>
          <cell r="B26">
            <v>0</v>
          </cell>
          <cell r="C26">
            <v>0.59</v>
          </cell>
          <cell r="D26">
            <v>0.22</v>
          </cell>
          <cell r="E26">
            <v>0.06</v>
          </cell>
          <cell r="F26">
            <v>5.5E-2</v>
          </cell>
          <cell r="G26">
            <v>7.4999999999999997E-2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0.99999999999999989</v>
          </cell>
        </row>
        <row r="27">
          <cell r="A27">
            <v>2008</v>
          </cell>
          <cell r="B27">
            <v>0</v>
          </cell>
          <cell r="C27">
            <v>0.58999999991791108</v>
          </cell>
          <cell r="D27">
            <v>0.21999999989054811</v>
          </cell>
          <cell r="E27">
            <v>6.5000000123133339E-2</v>
          </cell>
          <cell r="F27">
            <v>4.0000000054725933E-2</v>
          </cell>
          <cell r="G27">
            <v>7.0000000027362966E-2</v>
          </cell>
          <cell r="H27">
            <v>1.4999999986318515E-2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0.99999999999999989</v>
          </cell>
        </row>
        <row r="28">
          <cell r="A28">
            <v>2009</v>
          </cell>
          <cell r="B28">
            <v>0</v>
          </cell>
          <cell r="C28">
            <v>0.57000000003167439</v>
          </cell>
          <cell r="D28">
            <v>0.16000000007239831</v>
          </cell>
          <cell r="E28">
            <v>6.4999999916289505E-2</v>
          </cell>
          <cell r="F28">
            <v>4.0000000018099578E-2</v>
          </cell>
          <cell r="G28">
            <v>5.0000000022624475E-2</v>
          </cell>
          <cell r="H28">
            <v>4.0000000018099578E-2</v>
          </cell>
          <cell r="I28">
            <v>7.4999999999999997E-2</v>
          </cell>
          <cell r="J28">
            <v>0</v>
          </cell>
          <cell r="K28">
            <v>0</v>
          </cell>
          <cell r="L28">
            <v>0</v>
          </cell>
          <cell r="M28">
            <v>1.0000000000791858</v>
          </cell>
        </row>
        <row r="29">
          <cell r="A29">
            <v>2010</v>
          </cell>
          <cell r="B29">
            <v>0</v>
          </cell>
          <cell r="C29">
            <v>0.63</v>
          </cell>
          <cell r="D29">
            <v>0.16</v>
          </cell>
          <cell r="E29">
            <v>0</v>
          </cell>
          <cell r="F29">
            <v>0.02</v>
          </cell>
          <cell r="G29">
            <v>0.02</v>
          </cell>
          <cell r="H29">
            <v>0.02</v>
          </cell>
          <cell r="I29">
            <v>0.05</v>
          </cell>
          <cell r="J29">
            <v>0.1</v>
          </cell>
          <cell r="K29">
            <v>0</v>
          </cell>
          <cell r="L29">
            <v>0</v>
          </cell>
          <cell r="M29">
            <v>1.0000000000000002</v>
          </cell>
        </row>
        <row r="30">
          <cell r="A30">
            <v>2011</v>
          </cell>
          <cell r="B30">
            <v>0.5</v>
          </cell>
          <cell r="C30">
            <v>0.2</v>
          </cell>
          <cell r="D30">
            <v>0.1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7.4999999999999997E-2</v>
          </cell>
          <cell r="J30">
            <v>0.1</v>
          </cell>
          <cell r="K30">
            <v>2.5000000000000001E-2</v>
          </cell>
          <cell r="L30">
            <v>0</v>
          </cell>
          <cell r="M30">
            <v>0.99999999999999989</v>
          </cell>
        </row>
        <row r="31">
          <cell r="A31">
            <v>2012</v>
          </cell>
          <cell r="B31">
            <v>0.5</v>
          </cell>
          <cell r="C31">
            <v>0.18</v>
          </cell>
          <cell r="D31">
            <v>0.105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7.4999999999999997E-2</v>
          </cell>
          <cell r="J31">
            <v>0.1</v>
          </cell>
          <cell r="K31">
            <v>0.04</v>
          </cell>
          <cell r="L31">
            <v>0</v>
          </cell>
          <cell r="M31">
            <v>0.99999999999999989</v>
          </cell>
        </row>
        <row r="32">
          <cell r="A32">
            <v>2013</v>
          </cell>
          <cell r="B32">
            <v>0.5</v>
          </cell>
          <cell r="C32">
            <v>0.17</v>
          </cell>
          <cell r="D32">
            <v>0.11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0.08</v>
          </cell>
          <cell r="J32">
            <v>0.1</v>
          </cell>
          <cell r="K32">
            <v>0.04</v>
          </cell>
          <cell r="L32">
            <v>0</v>
          </cell>
          <cell r="M32">
            <v>1</v>
          </cell>
        </row>
        <row r="33">
          <cell r="A33">
            <v>2014</v>
          </cell>
          <cell r="B33">
            <v>0.5</v>
          </cell>
          <cell r="C33">
            <v>0.18</v>
          </cell>
          <cell r="D33">
            <v>0.12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0.08</v>
          </cell>
          <cell r="J33">
            <v>0.08</v>
          </cell>
          <cell r="K33">
            <v>0.04</v>
          </cell>
          <cell r="L33">
            <v>0</v>
          </cell>
          <cell r="M33">
            <v>0.99999999999999989</v>
          </cell>
        </row>
        <row r="34">
          <cell r="A34">
            <v>2015</v>
          </cell>
          <cell r="B34">
            <v>0.5</v>
          </cell>
          <cell r="C34">
            <v>0.18</v>
          </cell>
          <cell r="D34">
            <v>0.12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0.08</v>
          </cell>
          <cell r="J34">
            <v>0.08</v>
          </cell>
          <cell r="K34">
            <v>0.04</v>
          </cell>
          <cell r="L34">
            <v>0</v>
          </cell>
          <cell r="M34">
            <v>0.99999999999999989</v>
          </cell>
        </row>
      </sheetData>
      <sheetData sheetId="6"/>
      <sheetData sheetId="7"/>
      <sheetData sheetId="8"/>
      <sheetData sheetId="9">
        <row r="19">
          <cell r="B19" t="str">
            <v xml:space="preserve">PART  CCR COR </v>
          </cell>
        </row>
      </sheetData>
      <sheetData sheetId="10"/>
      <sheetData sheetId="11"/>
      <sheetData sheetId="12"/>
      <sheetData sheetId="13">
        <row r="19">
          <cell r="B19" t="str">
            <v xml:space="preserve">PART  CCR COR </v>
          </cell>
        </row>
      </sheetData>
      <sheetData sheetId="14"/>
      <sheetData sheetId="15"/>
      <sheetData sheetId="16"/>
      <sheetData sheetId="17">
        <row r="19">
          <cell r="B19" t="str">
            <v xml:space="preserve">PART  CCR COR </v>
          </cell>
        </row>
      </sheetData>
      <sheetData sheetId="18"/>
      <sheetData sheetId="19"/>
      <sheetData sheetId="20"/>
      <sheetData sheetId="21">
        <row r="19">
          <cell r="B19" t="str">
            <v xml:space="preserve">PART  CCR COR </v>
          </cell>
        </row>
      </sheetData>
      <sheetData sheetId="22"/>
      <sheetData sheetId="23"/>
      <sheetData sheetId="24"/>
      <sheetData sheetId="25">
        <row r="19">
          <cell r="B19" t="str">
            <v xml:space="preserve">PART  CCR COR 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cap"/>
      <sheetName val="Feuil2"/>
      <sheetName val="detail"/>
      <sheetName val="Feuil4"/>
      <sheetName val="Feuil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ROD 2023"/>
      <sheetName val="Feuil6"/>
      <sheetName val="Feuil7"/>
      <sheetName val="Feuil8"/>
      <sheetName val="Feuil8 (2)"/>
      <sheetName val="base prime de base "/>
      <sheetName val="Feuil2"/>
      <sheetName val="Feuil3"/>
      <sheetName val="Feuil3 (2)"/>
      <sheetName val="Feuil5"/>
      <sheetName val="pe 2023"/>
      <sheetName val="Feuil1"/>
      <sheetName val="reg "/>
      <sheetName val="Sinistre réglé 2023 "/>
      <sheetName val="Feuil9"/>
      <sheetName val="SAP 2023"/>
      <sheetName val="PE GROUPE 2022"/>
      <sheetName val="PE GROUPE 2022 (2)"/>
      <sheetName val="Feuil10"/>
      <sheetName val="PE GROUPE 2022 (3)mmm"/>
      <sheetName val="pe 2023 (2)"/>
      <sheetName val="pe 2023 (3)"/>
      <sheetName val="pe 2023 (4)"/>
      <sheetName val="pe 2023 vfff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E2" t="str">
            <v>Étiquettes de lignes</v>
          </cell>
        </row>
      </sheetData>
      <sheetData sheetId="19">
        <row r="4">
          <cell r="E4" t="str">
            <v>Étiquettes de lignes</v>
          </cell>
          <cell r="G4" t="str">
            <v xml:space="preserve">SAP OUVERTURE </v>
          </cell>
          <cell r="H4" t="str">
            <v>sap au 31/122022</v>
          </cell>
          <cell r="I4" t="str">
            <v xml:space="preserve">REC OUVERTURE </v>
          </cell>
          <cell r="J4" t="str">
            <v>rec 31/12/2022</v>
          </cell>
          <cell r="K4" t="str">
            <v xml:space="preserve">sinistre réglé </v>
          </cell>
          <cell r="L4" t="str">
            <v xml:space="preserve">Report Solde débiteur </v>
          </cell>
          <cell r="M4" t="str">
            <v>Résultat technique</v>
          </cell>
          <cell r="N4" t="str">
            <v>charge sinistre 2022</v>
          </cell>
          <cell r="O4" t="str">
            <v>charge sinistre 2021</v>
          </cell>
          <cell r="P4" t="e">
            <v>#VALUE!</v>
          </cell>
          <cell r="Q4" t="str">
            <v>charge sinistre 2019</v>
          </cell>
          <cell r="R4" t="str">
            <v>provision d'egalisation</v>
          </cell>
        </row>
        <row r="5">
          <cell r="E5" t="str">
            <v>2SP</v>
          </cell>
          <cell r="F5">
            <v>77741532</v>
          </cell>
          <cell r="G5">
            <v>30000000</v>
          </cell>
          <cell r="H5">
            <v>32000000</v>
          </cell>
          <cell r="I5">
            <v>25976102.465753425</v>
          </cell>
          <cell r="J5">
            <v>38678383.232876711</v>
          </cell>
          <cell r="K5">
            <v>25900000</v>
          </cell>
          <cell r="L5">
            <v>-17770828.767123286</v>
          </cell>
          <cell r="M5">
            <v>19368422.465753425</v>
          </cell>
          <cell r="N5">
            <v>27900000</v>
          </cell>
          <cell r="O5">
            <v>75000000</v>
          </cell>
          <cell r="P5">
            <v>6113421.1232876712</v>
          </cell>
          <cell r="Q5">
            <v>0</v>
          </cell>
          <cell r="R5">
            <v>4055671.0561643839</v>
          </cell>
        </row>
        <row r="6">
          <cell r="E6" t="str">
            <v>AEC</v>
          </cell>
          <cell r="F6">
            <v>1379158.56</v>
          </cell>
          <cell r="G6">
            <v>0</v>
          </cell>
          <cell r="H6">
            <v>0</v>
          </cell>
          <cell r="I6">
            <v>72360.432000000001</v>
          </cell>
          <cell r="J6">
            <v>118611.51156164386</v>
          </cell>
          <cell r="K6">
            <v>2000000</v>
          </cell>
          <cell r="L6">
            <v>0</v>
          </cell>
          <cell r="M6">
            <v>-667092.51956164371</v>
          </cell>
          <cell r="N6">
            <v>2000000</v>
          </cell>
          <cell r="O6">
            <v>0</v>
          </cell>
          <cell r="P6">
            <v>66645.374021917814</v>
          </cell>
          <cell r="Q6">
            <v>0</v>
          </cell>
          <cell r="R6">
            <v>0</v>
          </cell>
        </row>
        <row r="7">
          <cell r="E7" t="str">
            <v>AGLIC</v>
          </cell>
          <cell r="F7">
            <v>687055.92</v>
          </cell>
          <cell r="G7">
            <v>0</v>
          </cell>
          <cell r="H7">
            <v>0</v>
          </cell>
          <cell r="I7">
            <v>0</v>
          </cell>
          <cell r="J7">
            <v>183465.31068493152</v>
          </cell>
          <cell r="K7">
            <v>0</v>
          </cell>
          <cell r="L7">
            <v>0</v>
          </cell>
          <cell r="M7">
            <v>503590.60931506852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E8" t="str">
            <v>ALDAPH</v>
          </cell>
          <cell r="F8">
            <v>16296640.800000001</v>
          </cell>
          <cell r="G8">
            <v>12000000</v>
          </cell>
          <cell r="H8">
            <v>0</v>
          </cell>
          <cell r="I8">
            <v>9839574.4701369852</v>
          </cell>
          <cell r="J8">
            <v>9465446.1632876713</v>
          </cell>
          <cell r="K8">
            <v>12000000</v>
          </cell>
          <cell r="L8">
            <v>0</v>
          </cell>
          <cell r="M8">
            <v>16670769.106849313</v>
          </cell>
          <cell r="N8">
            <v>0</v>
          </cell>
          <cell r="O8">
            <v>12000000</v>
          </cell>
          <cell r="P8">
            <v>1433538.4553424655</v>
          </cell>
          <cell r="Q8">
            <v>0</v>
          </cell>
          <cell r="R8">
            <v>671676.92276712332</v>
          </cell>
        </row>
        <row r="9">
          <cell r="E9" t="str">
            <v>ALPHAS</v>
          </cell>
          <cell r="F9">
            <v>85628.400000000009</v>
          </cell>
          <cell r="G9">
            <v>0</v>
          </cell>
          <cell r="H9">
            <v>0</v>
          </cell>
          <cell r="I9">
            <v>51824.909589041097</v>
          </cell>
          <cell r="J9">
            <v>57007.400547945217</v>
          </cell>
          <cell r="K9">
            <v>0</v>
          </cell>
          <cell r="L9">
            <v>0</v>
          </cell>
          <cell r="M9">
            <v>80445.909041095889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E10" t="str">
            <v>AMADEUS</v>
          </cell>
          <cell r="F10">
            <v>37958.400000000001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-956980.48</v>
          </cell>
          <cell r="M10">
            <v>-919022.07999999996</v>
          </cell>
          <cell r="N10">
            <v>0</v>
          </cell>
          <cell r="O10">
            <v>1000000</v>
          </cell>
          <cell r="P10">
            <v>0</v>
          </cell>
          <cell r="Q10">
            <v>0</v>
          </cell>
          <cell r="R10">
            <v>0</v>
          </cell>
        </row>
        <row r="11">
          <cell r="E11" t="str">
            <v>ANAM</v>
          </cell>
          <cell r="F11">
            <v>1084045.3750000002</v>
          </cell>
          <cell r="G11">
            <v>0</v>
          </cell>
          <cell r="H11">
            <v>0</v>
          </cell>
          <cell r="I11">
            <v>983212.89435616438</v>
          </cell>
          <cell r="J11">
            <v>0</v>
          </cell>
          <cell r="K11">
            <v>0</v>
          </cell>
          <cell r="L11">
            <v>0</v>
          </cell>
          <cell r="M11">
            <v>2067258.2693561646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E12" t="str">
            <v>ARAB BANK</v>
          </cell>
          <cell r="F12">
            <v>365866.80000000005</v>
          </cell>
          <cell r="G12">
            <v>0</v>
          </cell>
          <cell r="H12">
            <v>0</v>
          </cell>
          <cell r="I12">
            <v>16307.75391304348</v>
          </cell>
          <cell r="J12">
            <v>14033.247123287674</v>
          </cell>
          <cell r="K12">
            <v>0</v>
          </cell>
          <cell r="L12">
            <v>0</v>
          </cell>
          <cell r="M12">
            <v>368141.30678975582</v>
          </cell>
          <cell r="N12">
            <v>0</v>
          </cell>
          <cell r="O12">
            <v>100000</v>
          </cell>
          <cell r="P12">
            <v>0</v>
          </cell>
          <cell r="Q12">
            <v>0</v>
          </cell>
          <cell r="R12">
            <v>5000</v>
          </cell>
        </row>
        <row r="13">
          <cell r="E13" t="str">
            <v>ASGA</v>
          </cell>
          <cell r="F13">
            <v>1859270.176068096</v>
          </cell>
          <cell r="G13">
            <v>0</v>
          </cell>
          <cell r="H13">
            <v>0</v>
          </cell>
          <cell r="I13">
            <v>375105.48164383561</v>
          </cell>
          <cell r="J13">
            <v>611266.90720046987</v>
          </cell>
          <cell r="K13">
            <v>2500000</v>
          </cell>
          <cell r="L13">
            <v>0</v>
          </cell>
          <cell r="M13">
            <v>-876891.24948853836</v>
          </cell>
          <cell r="N13">
            <v>2500000</v>
          </cell>
          <cell r="O13">
            <v>0</v>
          </cell>
          <cell r="P13">
            <v>81155.437525573085</v>
          </cell>
          <cell r="Q13">
            <v>0</v>
          </cell>
          <cell r="R13">
            <v>0</v>
          </cell>
        </row>
        <row r="14">
          <cell r="E14" t="str">
            <v>BAHIA PHARM</v>
          </cell>
          <cell r="F14">
            <v>151126.56</v>
          </cell>
          <cell r="G14">
            <v>0</v>
          </cell>
          <cell r="H14">
            <v>0</v>
          </cell>
          <cell r="I14">
            <v>36308.593972602735</v>
          </cell>
          <cell r="J14">
            <v>37264.08328767123</v>
          </cell>
          <cell r="K14">
            <v>0</v>
          </cell>
          <cell r="L14">
            <v>-389057.07397260272</v>
          </cell>
          <cell r="M14">
            <v>-238886.00328767122</v>
          </cell>
          <cell r="N14">
            <v>0</v>
          </cell>
          <cell r="O14">
            <v>500000</v>
          </cell>
          <cell r="P14">
            <v>0</v>
          </cell>
          <cell r="Q14">
            <v>0</v>
          </cell>
          <cell r="R14">
            <v>0</v>
          </cell>
        </row>
        <row r="15">
          <cell r="E15" t="str">
            <v xml:space="preserve">BASP </v>
          </cell>
          <cell r="F15">
            <v>7854504.0207656156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7854504.0207656156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E16" t="str">
            <v>BJSP</v>
          </cell>
          <cell r="F16">
            <v>5145382.2865561349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5145382.2865561349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E17" t="str">
            <v>CARGILL ALGERIA</v>
          </cell>
          <cell r="F17">
            <v>22766.783625730994</v>
          </cell>
          <cell r="G17">
            <v>0</v>
          </cell>
          <cell r="H17">
            <v>0</v>
          </cell>
          <cell r="I17">
            <v>20833.166386285349</v>
          </cell>
          <cell r="J17">
            <v>20833.166386285349</v>
          </cell>
          <cell r="K17">
            <v>0</v>
          </cell>
          <cell r="L17">
            <v>0</v>
          </cell>
          <cell r="M17">
            <v>22766.783625730994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E18" t="str">
            <v>CARIP</v>
          </cell>
          <cell r="F18">
            <v>63623.520000000004</v>
          </cell>
          <cell r="G18">
            <v>0</v>
          </cell>
          <cell r="H18">
            <v>0</v>
          </cell>
          <cell r="I18">
            <v>42357.576328767129</v>
          </cell>
          <cell r="J18">
            <v>42357.576328767129</v>
          </cell>
          <cell r="K18">
            <v>0</v>
          </cell>
          <cell r="L18">
            <v>0</v>
          </cell>
          <cell r="M18">
            <v>63623.520000000004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E19" t="str">
            <v xml:space="preserve">CARREFOUR </v>
          </cell>
          <cell r="F19">
            <v>209744.64000000001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209744.64000000001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E20" t="str">
            <v>CASH</v>
          </cell>
          <cell r="F20">
            <v>12213971.639999999</v>
          </cell>
          <cell r="G20">
            <v>0</v>
          </cell>
          <cell r="H20">
            <v>0</v>
          </cell>
          <cell r="I20">
            <v>4462650.5878356164</v>
          </cell>
          <cell r="J20">
            <v>6056791.4159999993</v>
          </cell>
          <cell r="K20">
            <v>6287821.75</v>
          </cell>
          <cell r="L20">
            <v>0</v>
          </cell>
          <cell r="M20">
            <v>4332009.061835615</v>
          </cell>
          <cell r="N20">
            <v>6287821.75</v>
          </cell>
          <cell r="O20">
            <v>1502730</v>
          </cell>
          <cell r="P20">
            <v>606128.04059178068</v>
          </cell>
          <cell r="Q20">
            <v>0</v>
          </cell>
          <cell r="R20">
            <v>105442.90202958904</v>
          </cell>
        </row>
        <row r="21">
          <cell r="E21" t="str">
            <v xml:space="preserve">CIEPTAL CARS SPA </v>
          </cell>
          <cell r="F21">
            <v>773859.36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-2291668.96</v>
          </cell>
          <cell r="M21">
            <v>-1517809.6</v>
          </cell>
          <cell r="N21">
            <v>0</v>
          </cell>
          <cell r="O21">
            <v>0</v>
          </cell>
          <cell r="P21">
            <v>-75890.48000000001</v>
          </cell>
          <cell r="Q21">
            <v>2000000</v>
          </cell>
          <cell r="R21">
            <v>0</v>
          </cell>
        </row>
        <row r="22">
          <cell r="E22" t="str">
            <v>COLGATE</v>
          </cell>
          <cell r="F22">
            <v>638640</v>
          </cell>
          <cell r="G22">
            <v>0</v>
          </cell>
          <cell r="H22">
            <v>0</v>
          </cell>
          <cell r="I22">
            <v>23002.520547945205</v>
          </cell>
          <cell r="J22">
            <v>157472.87671232875</v>
          </cell>
          <cell r="K22">
            <v>0</v>
          </cell>
          <cell r="L22">
            <v>0</v>
          </cell>
          <cell r="M22">
            <v>504169.64383561641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E23" t="str">
            <v>COLPA</v>
          </cell>
          <cell r="F23">
            <v>512778.83999999997</v>
          </cell>
          <cell r="G23">
            <v>0</v>
          </cell>
          <cell r="H23">
            <v>1000000</v>
          </cell>
          <cell r="I23">
            <v>305672.78958904115</v>
          </cell>
          <cell r="J23">
            <v>383530.47484931507</v>
          </cell>
          <cell r="K23">
            <v>0</v>
          </cell>
          <cell r="L23">
            <v>0</v>
          </cell>
          <cell r="M23">
            <v>-565078.8452602739</v>
          </cell>
          <cell r="N23">
            <v>1000000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E24" t="str">
            <v xml:space="preserve">ENAFOR </v>
          </cell>
          <cell r="F24">
            <v>144123200</v>
          </cell>
          <cell r="G24">
            <v>0</v>
          </cell>
          <cell r="H24">
            <v>15600000</v>
          </cell>
          <cell r="I24">
            <v>0</v>
          </cell>
          <cell r="J24">
            <v>0</v>
          </cell>
          <cell r="K24">
            <v>9600000</v>
          </cell>
          <cell r="L24">
            <v>0</v>
          </cell>
          <cell r="M24">
            <v>118923200</v>
          </cell>
          <cell r="N24">
            <v>25200000</v>
          </cell>
          <cell r="O24">
            <v>0</v>
          </cell>
          <cell r="P24">
            <v>6912000</v>
          </cell>
          <cell r="Q24">
            <v>0</v>
          </cell>
          <cell r="R24">
            <v>345600</v>
          </cell>
        </row>
        <row r="25">
          <cell r="E25" t="str">
            <v xml:space="preserve">ENSP </v>
          </cell>
          <cell r="F25">
            <v>105808888</v>
          </cell>
          <cell r="G25">
            <v>0</v>
          </cell>
          <cell r="H25">
            <v>21600000</v>
          </cell>
          <cell r="I25">
            <v>0</v>
          </cell>
          <cell r="J25">
            <v>0</v>
          </cell>
          <cell r="K25">
            <v>22800000</v>
          </cell>
          <cell r="L25">
            <v>0</v>
          </cell>
          <cell r="M25">
            <v>61408888</v>
          </cell>
          <cell r="N25">
            <v>44400000</v>
          </cell>
          <cell r="O25">
            <v>0</v>
          </cell>
          <cell r="P25">
            <v>5290444.4000000004</v>
          </cell>
          <cell r="Q25">
            <v>0</v>
          </cell>
          <cell r="R25">
            <v>264522.22000000003</v>
          </cell>
        </row>
        <row r="26">
          <cell r="E26" t="str">
            <v>EXPRO GULF LTD ALGERIA</v>
          </cell>
          <cell r="F26">
            <v>902556</v>
          </cell>
          <cell r="G26">
            <v>0</v>
          </cell>
          <cell r="H26">
            <v>0</v>
          </cell>
          <cell r="I26">
            <v>0</v>
          </cell>
          <cell r="J26">
            <v>447568.86575342464</v>
          </cell>
          <cell r="K26">
            <v>0</v>
          </cell>
          <cell r="L26">
            <v>0</v>
          </cell>
          <cell r="M26">
            <v>454987.13424657536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E27" t="str">
            <v>FIELDCORE SOLUTIONS INTERNATIONAL ALGERIA</v>
          </cell>
          <cell r="F27">
            <v>908581.55999999994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2000000</v>
          </cell>
          <cell r="L27">
            <v>0</v>
          </cell>
          <cell r="M27">
            <v>-1091418.44</v>
          </cell>
          <cell r="N27">
            <v>2000000</v>
          </cell>
          <cell r="O27">
            <v>0</v>
          </cell>
          <cell r="P27">
            <v>45429.078000000001</v>
          </cell>
          <cell r="Q27">
            <v>0</v>
          </cell>
          <cell r="R27">
            <v>0</v>
          </cell>
        </row>
        <row r="28">
          <cell r="E28" t="str">
            <v>FMC</v>
          </cell>
          <cell r="F28">
            <v>775839.02999772667</v>
          </cell>
          <cell r="G28">
            <v>0</v>
          </cell>
          <cell r="H28">
            <v>0</v>
          </cell>
          <cell r="I28">
            <v>131026.17797260275</v>
          </cell>
          <cell r="J28">
            <v>580285.08271062851</v>
          </cell>
          <cell r="K28">
            <v>3000000</v>
          </cell>
          <cell r="L28">
            <v>-2833971.8035068493</v>
          </cell>
          <cell r="M28">
            <v>-5507391.6782471482</v>
          </cell>
          <cell r="N28">
            <v>3000000</v>
          </cell>
          <cell r="O28">
            <v>3000000</v>
          </cell>
          <cell r="P28">
            <v>24630.416087642592</v>
          </cell>
          <cell r="Q28">
            <v>0</v>
          </cell>
          <cell r="R28">
            <v>0</v>
          </cell>
        </row>
        <row r="29">
          <cell r="E29" t="str">
            <v>FRANSABANK</v>
          </cell>
          <cell r="F29">
            <v>-12467.956699999992</v>
          </cell>
          <cell r="G29">
            <v>0</v>
          </cell>
          <cell r="H29">
            <v>1000000</v>
          </cell>
          <cell r="I29">
            <v>979158.7933150687</v>
          </cell>
          <cell r="J29">
            <v>0</v>
          </cell>
          <cell r="K29">
            <v>0</v>
          </cell>
          <cell r="L29">
            <v>0</v>
          </cell>
          <cell r="M29">
            <v>-33309.163384931278</v>
          </cell>
          <cell r="N29">
            <v>1000000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E30" t="str">
            <v>Fruital</v>
          </cell>
          <cell r="F30">
            <v>2824035.84</v>
          </cell>
          <cell r="G30">
            <v>1000000</v>
          </cell>
          <cell r="H30">
            <v>1000000</v>
          </cell>
          <cell r="I30">
            <v>0</v>
          </cell>
          <cell r="J30">
            <v>422674.06027397263</v>
          </cell>
          <cell r="K30">
            <v>0</v>
          </cell>
          <cell r="L30">
            <v>0</v>
          </cell>
          <cell r="M30">
            <v>2401361.779726027</v>
          </cell>
          <cell r="N30">
            <v>0</v>
          </cell>
          <cell r="O30">
            <v>0</v>
          </cell>
          <cell r="P30">
            <v>0</v>
          </cell>
          <cell r="Q30">
            <v>3000000</v>
          </cell>
          <cell r="R30">
            <v>150000</v>
          </cell>
        </row>
        <row r="31">
          <cell r="E31" t="str">
            <v xml:space="preserve">G-CCO </v>
          </cell>
          <cell r="F31">
            <v>2941502.76</v>
          </cell>
          <cell r="G31">
            <v>0</v>
          </cell>
          <cell r="H31">
            <v>600000</v>
          </cell>
          <cell r="I31">
            <v>0</v>
          </cell>
          <cell r="J31">
            <v>725302.05041095882</v>
          </cell>
          <cell r="K31">
            <v>0</v>
          </cell>
          <cell r="L31">
            <v>0</v>
          </cell>
          <cell r="M31">
            <v>1616200.7095890408</v>
          </cell>
          <cell r="N31">
            <v>600000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E32" t="str">
            <v>GEFCO</v>
          </cell>
          <cell r="F32">
            <v>174531.84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174531.84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E33" t="str">
            <v>GENERAL EMBALLAGE</v>
          </cell>
          <cell r="F33">
            <v>6631905.8400000008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6631905.8400000008</v>
          </cell>
          <cell r="N33">
            <v>0</v>
          </cell>
          <cell r="O33">
            <v>4000000</v>
          </cell>
          <cell r="P33">
            <v>0</v>
          </cell>
          <cell r="Q33">
            <v>1000000</v>
          </cell>
          <cell r="R33">
            <v>250000</v>
          </cell>
        </row>
        <row r="34">
          <cell r="E34" t="str">
            <v>GPS</v>
          </cell>
          <cell r="F34">
            <v>127292.4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127292.4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E35" t="str">
            <v xml:space="preserve">GROUPE RAMDY </v>
          </cell>
          <cell r="F35">
            <v>593312.07499715756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593312.07499715756</v>
          </cell>
          <cell r="N35">
            <v>0</v>
          </cell>
          <cell r="O35">
            <v>0</v>
          </cell>
          <cell r="P35">
            <v>0</v>
          </cell>
          <cell r="Q35">
            <v>2000000</v>
          </cell>
          <cell r="R35">
            <v>99999.999999999985</v>
          </cell>
        </row>
        <row r="36">
          <cell r="E36" t="str">
            <v>HELIOS SPA</v>
          </cell>
          <cell r="F36">
            <v>77912.160000000003</v>
          </cell>
          <cell r="G36">
            <v>0</v>
          </cell>
          <cell r="H36">
            <v>0</v>
          </cell>
          <cell r="I36">
            <v>22477.686246575344</v>
          </cell>
          <cell r="J36">
            <v>32232.1538630137</v>
          </cell>
          <cell r="K36">
            <v>0</v>
          </cell>
          <cell r="L36">
            <v>0</v>
          </cell>
          <cell r="M36">
            <v>68157.692383561662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E37" t="str">
            <v xml:space="preserve">HESP </v>
          </cell>
          <cell r="F37">
            <v>860812.06182915147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860812.06182915147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E38" t="str">
            <v>JOTUN ALGERIE</v>
          </cell>
          <cell r="F38">
            <v>241260.17155925796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241260.17155925796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E39" t="str">
            <v>KCA</v>
          </cell>
          <cell r="F39">
            <v>73378.8</v>
          </cell>
          <cell r="G39">
            <v>0</v>
          </cell>
          <cell r="H39">
            <v>0</v>
          </cell>
          <cell r="I39">
            <v>36387.843287671232</v>
          </cell>
          <cell r="J39">
            <v>36387.843287671232</v>
          </cell>
          <cell r="K39">
            <v>0</v>
          </cell>
          <cell r="L39">
            <v>0</v>
          </cell>
          <cell r="M39">
            <v>73378.8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E40" t="str">
            <v>GROUPE LAFARGE</v>
          </cell>
          <cell r="F40">
            <v>5150964</v>
          </cell>
          <cell r="G40">
            <v>1000000</v>
          </cell>
          <cell r="H40">
            <v>2000000</v>
          </cell>
          <cell r="I40">
            <v>0</v>
          </cell>
          <cell r="J40">
            <v>0</v>
          </cell>
          <cell r="K40">
            <v>1000000</v>
          </cell>
          <cell r="L40">
            <v>0</v>
          </cell>
          <cell r="M40">
            <v>3150964</v>
          </cell>
          <cell r="N40">
            <v>2000000</v>
          </cell>
          <cell r="O40">
            <v>1000000</v>
          </cell>
          <cell r="P40">
            <v>307548.19999999995</v>
          </cell>
          <cell r="Q40">
            <v>0</v>
          </cell>
          <cell r="R40">
            <v>65377.409999999989</v>
          </cell>
        </row>
        <row r="41">
          <cell r="E41" t="str">
            <v>L'ALGERIENNE DES ASSURANCES 2a</v>
          </cell>
          <cell r="F41">
            <v>3490241.9713800098</v>
          </cell>
          <cell r="G41">
            <v>1000000</v>
          </cell>
          <cell r="H41">
            <v>1000000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3490241.9713800102</v>
          </cell>
          <cell r="N41">
            <v>0</v>
          </cell>
          <cell r="O41">
            <v>1000000</v>
          </cell>
          <cell r="P41">
            <v>0</v>
          </cell>
          <cell r="Q41">
            <v>0</v>
          </cell>
          <cell r="R41">
            <v>49999.999999999993</v>
          </cell>
        </row>
        <row r="42">
          <cell r="E42" t="str">
            <v>MARTUR</v>
          </cell>
          <cell r="F42">
            <v>2701.2</v>
          </cell>
          <cell r="G42">
            <v>0</v>
          </cell>
          <cell r="H42">
            <v>0</v>
          </cell>
          <cell r="I42">
            <v>976.87232876712324</v>
          </cell>
          <cell r="J42">
            <v>1339.4991780821917</v>
          </cell>
          <cell r="K42">
            <v>0</v>
          </cell>
          <cell r="L42">
            <v>0</v>
          </cell>
          <cell r="M42">
            <v>2338.5731506849315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E43" t="str">
            <v>MERINAL</v>
          </cell>
          <cell r="F43">
            <v>2694660.72</v>
          </cell>
          <cell r="G43">
            <v>1000000</v>
          </cell>
          <cell r="H43">
            <v>300000</v>
          </cell>
          <cell r="I43">
            <v>175288.8664109589</v>
          </cell>
          <cell r="J43">
            <v>228861.59539726027</v>
          </cell>
          <cell r="K43">
            <v>1000000</v>
          </cell>
          <cell r="L43">
            <v>0</v>
          </cell>
          <cell r="M43">
            <v>2341087.9910136992</v>
          </cell>
          <cell r="N43">
            <v>300000</v>
          </cell>
          <cell r="O43">
            <v>1000000</v>
          </cell>
          <cell r="P43">
            <v>182054.39955068496</v>
          </cell>
          <cell r="Q43">
            <v>0</v>
          </cell>
          <cell r="R43">
            <v>59102.719977534245</v>
          </cell>
        </row>
        <row r="44">
          <cell r="E44" t="str">
            <v>MICHELIN ALGERIE</v>
          </cell>
          <cell r="F44">
            <v>340465.32</v>
          </cell>
          <cell r="G44">
            <v>0</v>
          </cell>
          <cell r="H44">
            <v>0</v>
          </cell>
          <cell r="I44">
            <v>155846.29610958905</v>
          </cell>
          <cell r="J44">
            <v>168833.4874520548</v>
          </cell>
          <cell r="K44">
            <v>0</v>
          </cell>
          <cell r="L44">
            <v>0</v>
          </cell>
          <cell r="M44">
            <v>327478.12865753425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E45" t="str">
            <v>MONTESSORI</v>
          </cell>
          <cell r="F45">
            <v>99365.760000000009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99365.760000000009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E46" t="str">
            <v>MOULIN HABOUR</v>
          </cell>
          <cell r="F46">
            <v>248532</v>
          </cell>
          <cell r="G46">
            <v>0</v>
          </cell>
          <cell r="H46">
            <v>0</v>
          </cell>
          <cell r="I46">
            <v>165461.03013698632</v>
          </cell>
          <cell r="J46">
            <v>165461.03013698632</v>
          </cell>
          <cell r="K46">
            <v>500000</v>
          </cell>
          <cell r="L46">
            <v>0</v>
          </cell>
          <cell r="M46">
            <v>-251468.00000000003</v>
          </cell>
          <cell r="N46">
            <v>500000</v>
          </cell>
          <cell r="O46">
            <v>0</v>
          </cell>
          <cell r="P46">
            <v>12426.599999999997</v>
          </cell>
          <cell r="Q46">
            <v>0</v>
          </cell>
          <cell r="R46">
            <v>0</v>
          </cell>
        </row>
        <row r="47">
          <cell r="E47" t="str">
            <v>PEUGEOT ALGERIE</v>
          </cell>
          <cell r="F47">
            <v>589706.87999999989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589706.87999999989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E48" t="str">
            <v>Pfizer Pharm Algerie SPA</v>
          </cell>
          <cell r="F48">
            <v>5685944.5715332339</v>
          </cell>
          <cell r="G48">
            <v>8000000</v>
          </cell>
          <cell r="H48">
            <v>0</v>
          </cell>
          <cell r="I48">
            <v>0</v>
          </cell>
          <cell r="J48">
            <v>0</v>
          </cell>
          <cell r="K48">
            <v>20069538</v>
          </cell>
          <cell r="L48">
            <v>-6474986.4800000004</v>
          </cell>
          <cell r="M48">
            <v>-12858579.908466768</v>
          </cell>
          <cell r="N48">
            <v>12069538</v>
          </cell>
          <cell r="O48">
            <v>8000000</v>
          </cell>
          <cell r="P48">
            <v>360547.90457666159</v>
          </cell>
          <cell r="Q48">
            <v>0</v>
          </cell>
          <cell r="R48">
            <v>0</v>
          </cell>
        </row>
        <row r="49">
          <cell r="E49" t="str">
            <v>PIGMA COLOR</v>
          </cell>
          <cell r="F49">
            <v>780120.17999999993</v>
          </cell>
          <cell r="G49">
            <v>0</v>
          </cell>
          <cell r="H49">
            <v>0</v>
          </cell>
          <cell r="I49">
            <v>0</v>
          </cell>
          <cell r="J49">
            <v>126101.61813698629</v>
          </cell>
          <cell r="K49">
            <v>0</v>
          </cell>
          <cell r="L49">
            <v>0</v>
          </cell>
          <cell r="M49">
            <v>654018.56186301366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E50" t="str">
            <v>SANDOZ</v>
          </cell>
          <cell r="F50">
            <v>1677293.4000000001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1000000</v>
          </cell>
          <cell r="L50">
            <v>0</v>
          </cell>
          <cell r="M50">
            <v>677293.40000000014</v>
          </cell>
          <cell r="N50">
            <v>1000000</v>
          </cell>
          <cell r="O50">
            <v>0</v>
          </cell>
          <cell r="P50">
            <v>83864.67</v>
          </cell>
          <cell r="Q50">
            <v>0</v>
          </cell>
          <cell r="R50">
            <v>4193.2334999999994</v>
          </cell>
        </row>
        <row r="51">
          <cell r="E51" t="str">
            <v>SARL ALUCOSTAR</v>
          </cell>
          <cell r="F51">
            <v>26522.082173841911</v>
          </cell>
          <cell r="G51">
            <v>0</v>
          </cell>
          <cell r="H51">
            <v>0</v>
          </cell>
          <cell r="I51">
            <v>0</v>
          </cell>
          <cell r="J51">
            <v>13152.04622867229</v>
          </cell>
          <cell r="K51">
            <v>0</v>
          </cell>
          <cell r="L51">
            <v>0</v>
          </cell>
          <cell r="M51">
            <v>13370.03594516962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E52" t="str">
            <v>SARL DD PLUS</v>
          </cell>
          <cell r="F52">
            <v>309529.08</v>
          </cell>
          <cell r="G52">
            <v>0</v>
          </cell>
          <cell r="H52">
            <v>0</v>
          </cell>
          <cell r="I52">
            <v>0</v>
          </cell>
          <cell r="J52">
            <v>128051.75638356166</v>
          </cell>
          <cell r="K52">
            <v>0</v>
          </cell>
          <cell r="L52">
            <v>0</v>
          </cell>
          <cell r="M52">
            <v>181477.32361643837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E53" t="str">
            <v>SARL DRACO</v>
          </cell>
          <cell r="F53">
            <v>235008</v>
          </cell>
          <cell r="G53">
            <v>1500000</v>
          </cell>
          <cell r="H53">
            <v>0</v>
          </cell>
          <cell r="I53">
            <v>89382.575342465745</v>
          </cell>
          <cell r="J53">
            <v>77262.904109589042</v>
          </cell>
          <cell r="K53">
            <v>1500000</v>
          </cell>
          <cell r="L53">
            <v>-2340358.5753424657</v>
          </cell>
          <cell r="M53">
            <v>-2093230.9041095891</v>
          </cell>
          <cell r="N53">
            <v>0</v>
          </cell>
          <cell r="O53">
            <v>1500000</v>
          </cell>
          <cell r="P53">
            <v>-29661.545205479451</v>
          </cell>
          <cell r="Q53">
            <v>0</v>
          </cell>
          <cell r="R53">
            <v>0</v>
          </cell>
        </row>
        <row r="54">
          <cell r="E54" t="str">
            <v>SARL VIGILANCE</v>
          </cell>
          <cell r="F54">
            <v>2422416.9600000004</v>
          </cell>
          <cell r="G54">
            <v>0</v>
          </cell>
          <cell r="H54">
            <v>1000000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1422416.9600000004</v>
          </cell>
          <cell r="N54">
            <v>1000000</v>
          </cell>
          <cell r="O54">
            <v>500000</v>
          </cell>
          <cell r="P54">
            <v>0</v>
          </cell>
          <cell r="Q54">
            <v>0</v>
          </cell>
          <cell r="R54">
            <v>24999.999999999996</v>
          </cell>
        </row>
        <row r="55">
          <cell r="E55" t="str">
            <v xml:space="preserve">SARL WAFA </v>
          </cell>
          <cell r="F55">
            <v>522678.95999999996</v>
          </cell>
          <cell r="G55">
            <v>0</v>
          </cell>
          <cell r="H55">
            <v>0</v>
          </cell>
          <cell r="I55">
            <v>0</v>
          </cell>
          <cell r="J55">
            <v>104535.792</v>
          </cell>
          <cell r="K55">
            <v>400000</v>
          </cell>
          <cell r="L55">
            <v>0</v>
          </cell>
          <cell r="M55">
            <v>18143.167999999947</v>
          </cell>
          <cell r="N55">
            <v>400000</v>
          </cell>
          <cell r="O55">
            <v>0</v>
          </cell>
          <cell r="P55">
            <v>20907.158399999997</v>
          </cell>
          <cell r="Q55">
            <v>0</v>
          </cell>
          <cell r="R55">
            <v>1045.3579199999997</v>
          </cell>
        </row>
        <row r="56">
          <cell r="E56" t="str">
            <v>SARPI</v>
          </cell>
          <cell r="F56">
            <v>45428142.197694272</v>
          </cell>
          <cell r="G56">
            <v>11400000</v>
          </cell>
          <cell r="H56">
            <v>1000000</v>
          </cell>
          <cell r="I56">
            <v>6028490.1369863013</v>
          </cell>
          <cell r="J56">
            <v>22527380.103514146</v>
          </cell>
          <cell r="K56">
            <v>16000000</v>
          </cell>
          <cell r="L56">
            <v>0</v>
          </cell>
          <cell r="M56">
            <v>23329252.231166422</v>
          </cell>
          <cell r="N56">
            <v>5600000</v>
          </cell>
          <cell r="O56">
            <v>7400000</v>
          </cell>
          <cell r="P56">
            <v>1816462.6115583212</v>
          </cell>
          <cell r="Q56">
            <v>10000000</v>
          </cell>
          <cell r="R56">
            <v>960823.13057791605</v>
          </cell>
        </row>
        <row r="57">
          <cell r="E57" t="str">
            <v xml:space="preserve">SETRAM </v>
          </cell>
          <cell r="F57">
            <v>8230207.788306484</v>
          </cell>
          <cell r="G57">
            <v>0</v>
          </cell>
          <cell r="H57">
            <v>0</v>
          </cell>
          <cell r="I57">
            <v>0</v>
          </cell>
          <cell r="J57">
            <v>6155744.4553634804</v>
          </cell>
          <cell r="K57">
            <v>0</v>
          </cell>
          <cell r="L57">
            <v>0</v>
          </cell>
          <cell r="M57">
            <v>2074463.3329430036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E58" t="str">
            <v>SGT ALGERIE</v>
          </cell>
          <cell r="F58">
            <v>284538.36472209456</v>
          </cell>
          <cell r="G58">
            <v>0</v>
          </cell>
          <cell r="H58">
            <v>0</v>
          </cell>
          <cell r="I58">
            <v>79023.310684931523</v>
          </cell>
          <cell r="J58">
            <v>141099.84661561402</v>
          </cell>
          <cell r="K58">
            <v>0</v>
          </cell>
          <cell r="L58">
            <v>-143438.63671232876</v>
          </cell>
          <cell r="M58">
            <v>79023.192079083296</v>
          </cell>
          <cell r="N58">
            <v>0</v>
          </cell>
          <cell r="O58">
            <v>300000</v>
          </cell>
          <cell r="P58">
            <v>0</v>
          </cell>
          <cell r="Q58">
            <v>150000</v>
          </cell>
          <cell r="R58">
            <v>22500</v>
          </cell>
        </row>
        <row r="59">
          <cell r="E59" t="str">
            <v>SNAX</v>
          </cell>
          <cell r="F59">
            <v>369023.04</v>
          </cell>
          <cell r="G59">
            <v>0</v>
          </cell>
          <cell r="H59">
            <v>0</v>
          </cell>
          <cell r="I59">
            <v>78683.888219178072</v>
          </cell>
          <cell r="J59">
            <v>90991.982465753419</v>
          </cell>
          <cell r="K59">
            <v>0</v>
          </cell>
          <cell r="L59">
            <v>0</v>
          </cell>
          <cell r="M59">
            <v>356714.94575342466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E60" t="str">
            <v>SOCAD</v>
          </cell>
          <cell r="F60">
            <v>500578.02723866137</v>
          </cell>
          <cell r="G60">
            <v>0</v>
          </cell>
          <cell r="H60">
            <v>0</v>
          </cell>
          <cell r="I60">
            <v>0</v>
          </cell>
          <cell r="J60">
            <v>290746.68979341426</v>
          </cell>
          <cell r="K60">
            <v>0</v>
          </cell>
          <cell r="L60">
            <v>0</v>
          </cell>
          <cell r="M60">
            <v>209831.3374452471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E61" t="str">
            <v xml:space="preserve">SOMIK </v>
          </cell>
          <cell r="F61">
            <v>21034605</v>
          </cell>
          <cell r="G61">
            <v>4000000</v>
          </cell>
          <cell r="H61">
            <v>7200000</v>
          </cell>
          <cell r="I61">
            <v>7972219.9232876692</v>
          </cell>
          <cell r="J61">
            <v>12217359.616438355</v>
          </cell>
          <cell r="K61">
            <v>15800000</v>
          </cell>
          <cell r="L61">
            <v>0</v>
          </cell>
          <cell r="M61">
            <v>-2210534.693150688</v>
          </cell>
          <cell r="N61">
            <v>19000000</v>
          </cell>
          <cell r="O61">
            <v>12000000</v>
          </cell>
          <cell r="P61">
            <v>1439473.2653424656</v>
          </cell>
          <cell r="Q61">
            <v>0</v>
          </cell>
          <cell r="R61">
            <v>0</v>
          </cell>
        </row>
        <row r="62">
          <cell r="E62" t="str">
            <v>SOUMMAm</v>
          </cell>
          <cell r="F62">
            <v>4052533.5999999996</v>
          </cell>
          <cell r="G62">
            <v>1000000</v>
          </cell>
          <cell r="H62">
            <v>3000000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2052533.5999999996</v>
          </cell>
          <cell r="N62">
            <v>2000000</v>
          </cell>
          <cell r="O62">
            <v>3000000</v>
          </cell>
          <cell r="P62">
            <v>0</v>
          </cell>
          <cell r="Q62">
            <v>0</v>
          </cell>
          <cell r="R62">
            <v>150000</v>
          </cell>
        </row>
        <row r="63">
          <cell r="E63" t="str">
            <v xml:space="preserve">TANGO </v>
          </cell>
          <cell r="F63">
            <v>533820</v>
          </cell>
          <cell r="G63">
            <v>1000000</v>
          </cell>
          <cell r="H63">
            <v>1000000</v>
          </cell>
          <cell r="I63">
            <v>271211.80010958906</v>
          </cell>
          <cell r="J63">
            <v>176964.98630136988</v>
          </cell>
          <cell r="K63">
            <v>0</v>
          </cell>
          <cell r="L63">
            <v>-1360028.9933183971</v>
          </cell>
          <cell r="M63">
            <v>-731962.17951017793</v>
          </cell>
          <cell r="N63">
            <v>0</v>
          </cell>
          <cell r="O63">
            <v>1000000</v>
          </cell>
          <cell r="P63">
            <v>0</v>
          </cell>
          <cell r="Q63">
            <v>0</v>
          </cell>
          <cell r="R63">
            <v>0</v>
          </cell>
        </row>
        <row r="64">
          <cell r="E64" t="str">
            <v xml:space="preserve">TETRA PACK </v>
          </cell>
          <cell r="F64">
            <v>271032</v>
          </cell>
          <cell r="G64">
            <v>0</v>
          </cell>
          <cell r="H64">
            <v>0</v>
          </cell>
          <cell r="I64">
            <v>175307.17808219179</v>
          </cell>
          <cell r="J64">
            <v>134402.1698630137</v>
          </cell>
          <cell r="K64">
            <v>0</v>
          </cell>
          <cell r="L64">
            <v>0</v>
          </cell>
          <cell r="M64">
            <v>311937.00821917807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E65" t="str">
            <v>TIMAC AGRO</v>
          </cell>
          <cell r="F65">
            <v>729020.15999999992</v>
          </cell>
          <cell r="G65">
            <v>0</v>
          </cell>
          <cell r="H65">
            <v>0</v>
          </cell>
          <cell r="I65">
            <v>217162.66783561642</v>
          </cell>
          <cell r="J65">
            <v>207720.81271232874</v>
          </cell>
          <cell r="K65">
            <v>0</v>
          </cell>
          <cell r="L65">
            <v>0</v>
          </cell>
          <cell r="M65">
            <v>738462.01512328757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E66" t="str">
            <v>TMF SPA</v>
          </cell>
          <cell r="F66">
            <v>2672440.64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-1636744.9000000004</v>
          </cell>
          <cell r="M66">
            <v>1035695.7399999998</v>
          </cell>
          <cell r="N66">
            <v>0</v>
          </cell>
          <cell r="O66">
            <v>4000000</v>
          </cell>
          <cell r="P66">
            <v>0</v>
          </cell>
          <cell r="Q66">
            <v>0</v>
          </cell>
          <cell r="R66">
            <v>199999.99999999997</v>
          </cell>
        </row>
        <row r="67">
          <cell r="E67" t="str">
            <v>USA</v>
          </cell>
          <cell r="F67">
            <v>2091217.9199999999</v>
          </cell>
          <cell r="G67">
            <v>0</v>
          </cell>
          <cell r="H67">
            <v>0</v>
          </cell>
          <cell r="I67">
            <v>980216.28493150685</v>
          </cell>
          <cell r="J67">
            <v>1455258.4977534246</v>
          </cell>
          <cell r="K67">
            <v>0</v>
          </cell>
          <cell r="L67">
            <v>0</v>
          </cell>
          <cell r="M67">
            <v>1616175.7071780823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E68" t="str">
            <v>VAPROPHARM</v>
          </cell>
          <cell r="F68">
            <v>121809.36</v>
          </cell>
          <cell r="G68">
            <v>0</v>
          </cell>
          <cell r="H68">
            <v>0</v>
          </cell>
          <cell r="I68">
            <v>13626.696328767124</v>
          </cell>
          <cell r="J68">
            <v>10345.452493150684</v>
          </cell>
          <cell r="K68">
            <v>0</v>
          </cell>
          <cell r="L68">
            <v>0</v>
          </cell>
          <cell r="M68">
            <v>125090.60383561644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E69" t="str">
            <v>VARIAN</v>
          </cell>
          <cell r="F69">
            <v>266976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3000000</v>
          </cell>
          <cell r="L69">
            <v>-1323528</v>
          </cell>
          <cell r="M69">
            <v>-4056552</v>
          </cell>
          <cell r="N69">
            <v>3000000</v>
          </cell>
          <cell r="O69">
            <v>1500000</v>
          </cell>
          <cell r="P69">
            <v>22172.399999999998</v>
          </cell>
          <cell r="Q69">
            <v>0</v>
          </cell>
          <cell r="R69">
            <v>0</v>
          </cell>
        </row>
        <row r="70">
          <cell r="E70" t="str">
            <v>YOKOGAWA</v>
          </cell>
          <cell r="F70">
            <v>14155.2</v>
          </cell>
          <cell r="G70">
            <v>0</v>
          </cell>
          <cell r="H70">
            <v>0</v>
          </cell>
          <cell r="I70">
            <v>0</v>
          </cell>
          <cell r="J70">
            <v>3490.3232876712327</v>
          </cell>
          <cell r="K70">
            <v>0</v>
          </cell>
          <cell r="L70">
            <v>0</v>
          </cell>
          <cell r="M70">
            <v>10664.876712328769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3"/>
      <sheetName val="Feuil2"/>
      <sheetName val="Feuil12"/>
      <sheetName val="Feuil14"/>
      <sheetName val="Feuil13"/>
      <sheetName val="Feuil16"/>
      <sheetName val="res neg"/>
      <sheetName val="Feuil9"/>
      <sheetName val="Sinistre réglé 2022 "/>
      <sheetName val="PE GROUPE 2021"/>
      <sheetName val="PE 2020"/>
      <sheetName val="Feuil4"/>
      <sheetName val="sap et reg"/>
      <sheetName val="PE GROUPE 2022"/>
      <sheetName val="Feuil5"/>
      <sheetName val="Feuil11"/>
      <sheetName val="SAP 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Client</v>
          </cell>
          <cell r="C2" t="str">
            <v>Résultat technique</v>
          </cell>
        </row>
        <row r="3">
          <cell r="B3" t="str">
            <v>2SP</v>
          </cell>
          <cell r="C3">
            <v>-17770828.767123286</v>
          </cell>
        </row>
        <row r="4">
          <cell r="B4" t="str">
            <v>AMADEUS</v>
          </cell>
          <cell r="C4">
            <v>-956980.48</v>
          </cell>
        </row>
        <row r="5">
          <cell r="B5" t="str">
            <v>BAHIA PHARM</v>
          </cell>
          <cell r="C5">
            <v>-389057.07397260272</v>
          </cell>
        </row>
        <row r="6">
          <cell r="B6" t="str">
            <v>BRIQUETERIE ENNOUR</v>
          </cell>
          <cell r="C6">
            <v>-764269.3146873808</v>
          </cell>
        </row>
        <row r="7">
          <cell r="B7" t="str">
            <v>CASTEL SNB</v>
          </cell>
          <cell r="C7">
            <v>-1345942.6400000001</v>
          </cell>
        </row>
        <row r="8">
          <cell r="B8" t="str">
            <v>CDS &amp; CTS ORAN</v>
          </cell>
          <cell r="C8">
            <v>-56327.039999999994</v>
          </cell>
        </row>
        <row r="9">
          <cell r="B9" t="str">
            <v xml:space="preserve">CIEPTAL CARS SPA </v>
          </cell>
          <cell r="C9">
            <v>-2291668.96</v>
          </cell>
        </row>
        <row r="10">
          <cell r="B10" t="str">
            <v>FMC</v>
          </cell>
          <cell r="C10">
            <v>-2833971.8035068493</v>
          </cell>
        </row>
        <row r="11">
          <cell r="B11" t="str">
            <v xml:space="preserve">GROUPE CHIALI (PROFIPLAST) </v>
          </cell>
          <cell r="C11">
            <v>-1158826.1600000001</v>
          </cell>
        </row>
        <row r="12">
          <cell r="B12" t="str">
            <v>Pfizer Pharm Algerie SPA</v>
          </cell>
          <cell r="C12">
            <v>-6474986.4800000004</v>
          </cell>
        </row>
        <row r="13">
          <cell r="B13" t="str">
            <v>SARL BAOSEM</v>
          </cell>
          <cell r="C13">
            <v>-809319.28</v>
          </cell>
        </row>
        <row r="14">
          <cell r="B14" t="str">
            <v>SARL BRIQUETTERIE ZENATA</v>
          </cell>
          <cell r="C14">
            <v>-665155.35043728538</v>
          </cell>
        </row>
        <row r="15">
          <cell r="B15" t="str">
            <v>SARL DRACO</v>
          </cell>
          <cell r="C15">
            <v>-2340358.5753424657</v>
          </cell>
        </row>
        <row r="16">
          <cell r="B16" t="str">
            <v>SGS QUALISTEST</v>
          </cell>
          <cell r="C16">
            <v>-1339449.8166629239</v>
          </cell>
        </row>
        <row r="17">
          <cell r="B17" t="str">
            <v>SGT ALGERIE</v>
          </cell>
          <cell r="C17">
            <v>-143438.63671232876</v>
          </cell>
        </row>
        <row r="18">
          <cell r="B18" t="str">
            <v xml:space="preserve">TANGO </v>
          </cell>
          <cell r="C18">
            <v>-1360028.9933183971</v>
          </cell>
        </row>
        <row r="19">
          <cell r="B19" t="str">
            <v>TMF SPA</v>
          </cell>
          <cell r="C19">
            <v>-1636744.9000000004</v>
          </cell>
        </row>
        <row r="20">
          <cell r="B20" t="str">
            <v>VARIAN</v>
          </cell>
          <cell r="C20">
            <v>-1323528</v>
          </cell>
        </row>
      </sheetData>
      <sheetData sheetId="8"/>
      <sheetData sheetId="9"/>
      <sheetData sheetId="10">
        <row r="2">
          <cell r="A2" t="str">
            <v>Client</v>
          </cell>
          <cell r="B2" t="str">
            <v>Somme de Somme de Prime de base</v>
          </cell>
          <cell r="C2" t="str">
            <v>SAP ouverture 2021</v>
          </cell>
          <cell r="D2" t="str">
            <v>SAP au 31/12/2021</v>
          </cell>
          <cell r="E2" t="str">
            <v>REC ouverture 2021</v>
          </cell>
          <cell r="F2" t="str">
            <v>REC au 31/12/2021</v>
          </cell>
          <cell r="G2" t="str">
            <v>Sinistre réglé au 31/12/2021</v>
          </cell>
          <cell r="H2">
            <v>0</v>
          </cell>
          <cell r="I2" t="str">
            <v>Résultat technique</v>
          </cell>
          <cell r="J2" t="str">
            <v>Charge sinistre 2021</v>
          </cell>
          <cell r="K2" t="str">
            <v>Charge sinistre 2020</v>
          </cell>
          <cell r="L2" t="str">
            <v>Charge sinistre 2019</v>
          </cell>
          <cell r="M2" t="str">
            <v>Charge sinitres 2018</v>
          </cell>
          <cell r="N2" t="str">
            <v>Provision d'égalisation</v>
          </cell>
        </row>
        <row r="3">
          <cell r="A3" t="str">
            <v>2SP</v>
          </cell>
          <cell r="B3">
            <v>55772220</v>
          </cell>
          <cell r="C3">
            <v>6000000</v>
          </cell>
          <cell r="D3">
            <v>30000000</v>
          </cell>
          <cell r="E3">
            <v>27433053.698630136</v>
          </cell>
          <cell r="F3">
            <v>25976102.465753425</v>
          </cell>
          <cell r="G3">
            <v>51000000</v>
          </cell>
          <cell r="H3">
            <v>0</v>
          </cell>
          <cell r="I3">
            <v>-17770828.767123286</v>
          </cell>
          <cell r="J3">
            <v>75000000</v>
          </cell>
          <cell r="K3">
            <v>6000000</v>
          </cell>
          <cell r="L3">
            <v>0</v>
          </cell>
          <cell r="M3">
            <v>0</v>
          </cell>
          <cell r="N3">
            <v>0</v>
          </cell>
        </row>
        <row r="4">
          <cell r="A4" t="str">
            <v>ABDI IBRAHIM REMEDE PHARMA</v>
          </cell>
          <cell r="B4">
            <v>568624.31999999995</v>
          </cell>
          <cell r="C4">
            <v>0</v>
          </cell>
          <cell r="D4">
            <v>0</v>
          </cell>
          <cell r="E4">
            <v>235239.10224657538</v>
          </cell>
          <cell r="F4">
            <v>235239.10224657532</v>
          </cell>
          <cell r="G4">
            <v>0</v>
          </cell>
          <cell r="H4">
            <v>0</v>
          </cell>
          <cell r="I4">
            <v>568624.32000000007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AEC</v>
          </cell>
          <cell r="B5">
            <v>447653.51999999996</v>
          </cell>
          <cell r="C5">
            <v>0</v>
          </cell>
          <cell r="D5">
            <v>0</v>
          </cell>
          <cell r="E5">
            <v>0</v>
          </cell>
          <cell r="F5">
            <v>72360.432000000001</v>
          </cell>
          <cell r="G5">
            <v>0</v>
          </cell>
          <cell r="H5">
            <v>0</v>
          </cell>
          <cell r="I5">
            <v>375293.08799999999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 t="str">
            <v>AGLIC</v>
          </cell>
          <cell r="B6">
            <v>318102.12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318102.12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ALDAPH</v>
          </cell>
          <cell r="B7">
            <v>16940776.800000001</v>
          </cell>
          <cell r="C7">
            <v>12000000</v>
          </cell>
          <cell r="D7">
            <v>12000000</v>
          </cell>
          <cell r="E7">
            <v>11635390.343013698</v>
          </cell>
          <cell r="F7">
            <v>9839574.4701369852</v>
          </cell>
          <cell r="G7">
            <v>12000000</v>
          </cell>
          <cell r="H7">
            <v>-3602760.7430136967</v>
          </cell>
          <cell r="I7">
            <v>3133831.9298630189</v>
          </cell>
          <cell r="J7">
            <v>12000000</v>
          </cell>
          <cell r="K7">
            <v>12000000</v>
          </cell>
          <cell r="L7">
            <v>0</v>
          </cell>
          <cell r="M7">
            <v>0</v>
          </cell>
          <cell r="N7">
            <v>600000</v>
          </cell>
        </row>
        <row r="8">
          <cell r="A8" t="str">
            <v>ALPHAS</v>
          </cell>
          <cell r="B8">
            <v>77844</v>
          </cell>
          <cell r="C8">
            <v>0</v>
          </cell>
          <cell r="D8">
            <v>0</v>
          </cell>
          <cell r="E8">
            <v>50788.411397260286</v>
          </cell>
          <cell r="F8">
            <v>51824.909589041097</v>
          </cell>
          <cell r="G8">
            <v>0</v>
          </cell>
          <cell r="H8">
            <v>0</v>
          </cell>
          <cell r="I8">
            <v>76807.501808219196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AMADEUS</v>
          </cell>
          <cell r="B9">
            <v>43019.519999999997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1000000</v>
          </cell>
          <cell r="H9">
            <v>0</v>
          </cell>
          <cell r="I9">
            <v>-956980.48</v>
          </cell>
          <cell r="J9">
            <v>1000000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ANAM</v>
          </cell>
          <cell r="B10">
            <v>2376640.44</v>
          </cell>
          <cell r="C10">
            <v>0</v>
          </cell>
          <cell r="D10">
            <v>0</v>
          </cell>
          <cell r="E10">
            <v>0</v>
          </cell>
          <cell r="F10">
            <v>983212.89435616438</v>
          </cell>
          <cell r="G10">
            <v>0</v>
          </cell>
          <cell r="H10">
            <v>0</v>
          </cell>
          <cell r="I10">
            <v>1393427.5456438356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ARAB BANK</v>
          </cell>
          <cell r="B11">
            <v>214330.48</v>
          </cell>
          <cell r="C11">
            <v>0</v>
          </cell>
          <cell r="D11">
            <v>0</v>
          </cell>
          <cell r="E11">
            <v>200453.63178082195</v>
          </cell>
          <cell r="F11">
            <v>16307.75391304348</v>
          </cell>
          <cell r="G11">
            <v>100000</v>
          </cell>
          <cell r="H11">
            <v>0</v>
          </cell>
          <cell r="I11">
            <v>298476.35786777845</v>
          </cell>
          <cell r="J11">
            <v>100000</v>
          </cell>
          <cell r="K11">
            <v>0</v>
          </cell>
          <cell r="L11">
            <v>0</v>
          </cell>
          <cell r="M11">
            <v>100000</v>
          </cell>
          <cell r="N11">
            <v>5000</v>
          </cell>
        </row>
        <row r="12">
          <cell r="A12" t="str">
            <v>ARH</v>
          </cell>
          <cell r="B12">
            <v>665887.68000000005</v>
          </cell>
          <cell r="C12">
            <v>0</v>
          </cell>
          <cell r="D12">
            <v>0</v>
          </cell>
          <cell r="E12">
            <v>0</v>
          </cell>
          <cell r="F12">
            <v>514466.64591780829</v>
          </cell>
          <cell r="G12">
            <v>0</v>
          </cell>
          <cell r="H12">
            <v>0</v>
          </cell>
          <cell r="I12">
            <v>151421.03408219176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ASGA</v>
          </cell>
          <cell r="B13">
            <v>1140945.8400000001</v>
          </cell>
          <cell r="C13">
            <v>0</v>
          </cell>
          <cell r="D13">
            <v>0</v>
          </cell>
          <cell r="E13">
            <v>375104.50097847363</v>
          </cell>
          <cell r="F13">
            <v>375105.48164383561</v>
          </cell>
          <cell r="G13">
            <v>0</v>
          </cell>
          <cell r="H13">
            <v>0</v>
          </cell>
          <cell r="I13">
            <v>1140944.8593346381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BAHIA PHARM</v>
          </cell>
          <cell r="B14">
            <v>147251.51999999999</v>
          </cell>
          <cell r="C14">
            <v>0</v>
          </cell>
          <cell r="D14">
            <v>0</v>
          </cell>
          <cell r="E14">
            <v>0</v>
          </cell>
          <cell r="F14">
            <v>36308.593972602735</v>
          </cell>
          <cell r="G14">
            <v>500000</v>
          </cell>
          <cell r="H14">
            <v>0</v>
          </cell>
          <cell r="I14">
            <v>-389057.07397260272</v>
          </cell>
          <cell r="J14">
            <v>500000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 t="str">
            <v>BRIQUETERIE ENNOUR</v>
          </cell>
          <cell r="B15">
            <v>26787.599999999999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-791056.91468738078</v>
          </cell>
          <cell r="I15">
            <v>-764269.3146873808</v>
          </cell>
          <cell r="J15">
            <v>0</v>
          </cell>
          <cell r="K15">
            <v>1000000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CARGILL ALGERIA</v>
          </cell>
          <cell r="B16">
            <v>22766.783625730994</v>
          </cell>
          <cell r="C16">
            <v>0</v>
          </cell>
          <cell r="D16">
            <v>0</v>
          </cell>
          <cell r="E16">
            <v>3482.2382465753426</v>
          </cell>
          <cell r="F16">
            <v>20833.166386285349</v>
          </cell>
          <cell r="G16">
            <v>0</v>
          </cell>
          <cell r="H16">
            <v>0</v>
          </cell>
          <cell r="I16">
            <v>5415.8554860209879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 xml:space="preserve">CARREFOUR </v>
          </cell>
          <cell r="B17">
            <v>117210.24000000001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117210.24000000001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 t="str">
            <v>CASH</v>
          </cell>
          <cell r="B18">
            <v>8999267.7599999998</v>
          </cell>
          <cell r="C18">
            <v>0</v>
          </cell>
          <cell r="D18">
            <v>0</v>
          </cell>
          <cell r="E18">
            <v>4318685.6228709212</v>
          </cell>
          <cell r="F18">
            <v>4462650.5878356164</v>
          </cell>
          <cell r="G18">
            <v>1502730</v>
          </cell>
          <cell r="H18">
            <v>0</v>
          </cell>
          <cell r="I18">
            <v>7352572.7950353026</v>
          </cell>
          <cell r="J18">
            <v>1502730</v>
          </cell>
          <cell r="K18">
            <v>0</v>
          </cell>
          <cell r="L18">
            <v>0</v>
          </cell>
          <cell r="M18">
            <v>6000000</v>
          </cell>
          <cell r="N18">
            <v>300000</v>
          </cell>
        </row>
        <row r="19">
          <cell r="A19" t="str">
            <v>CASTEL ALGAD SPA</v>
          </cell>
          <cell r="B19">
            <v>9725.76</v>
          </cell>
          <cell r="C19">
            <v>0</v>
          </cell>
          <cell r="D19">
            <v>0</v>
          </cell>
          <cell r="E19">
            <v>2398.1326027397258</v>
          </cell>
          <cell r="F19">
            <v>2398.1326027397258</v>
          </cell>
          <cell r="G19">
            <v>0</v>
          </cell>
          <cell r="H19">
            <v>0</v>
          </cell>
          <cell r="I19">
            <v>9725.76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 t="str">
            <v>CASTEL SBOA</v>
          </cell>
          <cell r="B20">
            <v>1052813.52</v>
          </cell>
          <cell r="C20">
            <v>0</v>
          </cell>
          <cell r="D20">
            <v>1000000</v>
          </cell>
          <cell r="E20">
            <v>259597.85424657533</v>
          </cell>
          <cell r="F20">
            <v>259597.85424657533</v>
          </cell>
          <cell r="G20">
            <v>0</v>
          </cell>
          <cell r="H20">
            <v>0</v>
          </cell>
          <cell r="I20">
            <v>52813.520000000019</v>
          </cell>
          <cell r="J20">
            <v>1000000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CASTEL SNB</v>
          </cell>
          <cell r="B21">
            <v>654057.36</v>
          </cell>
          <cell r="C21">
            <v>0</v>
          </cell>
          <cell r="D21">
            <v>0</v>
          </cell>
          <cell r="E21">
            <v>161274.41753424658</v>
          </cell>
          <cell r="F21">
            <v>161274.41753424658</v>
          </cell>
          <cell r="G21">
            <v>2000000</v>
          </cell>
          <cell r="H21">
            <v>0</v>
          </cell>
          <cell r="I21">
            <v>-1345942.6400000001</v>
          </cell>
          <cell r="J21">
            <v>2000000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 t="str">
            <v>CDS &amp; CTS ORAN</v>
          </cell>
          <cell r="B22">
            <v>-56327.039999999994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-56327.039999999994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 t="str">
            <v xml:space="preserve">CIEPTAL CARS SPA </v>
          </cell>
          <cell r="B23">
            <v>638799</v>
          </cell>
          <cell r="C23">
            <v>4000000</v>
          </cell>
          <cell r="D23">
            <v>0</v>
          </cell>
          <cell r="E23">
            <v>0</v>
          </cell>
          <cell r="F23">
            <v>0</v>
          </cell>
          <cell r="G23">
            <v>4000000</v>
          </cell>
          <cell r="H23">
            <v>-2930467.96</v>
          </cell>
          <cell r="I23">
            <v>-2291668.96</v>
          </cell>
          <cell r="J23">
            <v>0</v>
          </cell>
          <cell r="K23">
            <v>4000000</v>
          </cell>
          <cell r="L23">
            <v>2000000</v>
          </cell>
          <cell r="M23">
            <v>0</v>
          </cell>
          <cell r="N23">
            <v>0</v>
          </cell>
        </row>
        <row r="24">
          <cell r="A24" t="str">
            <v>COLGATE</v>
          </cell>
          <cell r="B24">
            <v>93288</v>
          </cell>
          <cell r="C24">
            <v>0</v>
          </cell>
          <cell r="D24">
            <v>0</v>
          </cell>
          <cell r="E24">
            <v>23002.520547945205</v>
          </cell>
          <cell r="F24">
            <v>23002.520547945205</v>
          </cell>
          <cell r="G24">
            <v>0</v>
          </cell>
          <cell r="H24">
            <v>0</v>
          </cell>
          <cell r="I24">
            <v>93288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 t="str">
            <v>COLPA</v>
          </cell>
          <cell r="B25">
            <v>408683.4</v>
          </cell>
          <cell r="C25">
            <v>0</v>
          </cell>
          <cell r="D25">
            <v>0</v>
          </cell>
          <cell r="E25">
            <v>305673.94341027079</v>
          </cell>
          <cell r="F25">
            <v>305672.78958904115</v>
          </cell>
          <cell r="G25">
            <v>0</v>
          </cell>
          <cell r="H25">
            <v>0</v>
          </cell>
          <cell r="I25">
            <v>408684.55382122961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 t="str">
            <v>CREG</v>
          </cell>
          <cell r="B26">
            <v>320039.03999999998</v>
          </cell>
          <cell r="C26">
            <v>0</v>
          </cell>
          <cell r="D26">
            <v>0</v>
          </cell>
          <cell r="E26">
            <v>0</v>
          </cell>
          <cell r="F26">
            <v>267429.88273972599</v>
          </cell>
          <cell r="G26">
            <v>0</v>
          </cell>
          <cell r="H26">
            <v>0</v>
          </cell>
          <cell r="I26">
            <v>52609.157260273991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 t="str">
            <v>CARIP</v>
          </cell>
          <cell r="B27">
            <v>63623.520000000004</v>
          </cell>
          <cell r="C27">
            <v>0</v>
          </cell>
          <cell r="D27">
            <v>0</v>
          </cell>
          <cell r="E27">
            <v>38827.778301369864</v>
          </cell>
          <cell r="F27">
            <v>42357.576328767129</v>
          </cell>
          <cell r="G27">
            <v>0</v>
          </cell>
          <cell r="H27">
            <v>0</v>
          </cell>
          <cell r="I27">
            <v>60093.72197260274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FIELDCORE SOLUTIONS INTERNATIONAL ALGERIA</v>
          </cell>
          <cell r="B28">
            <v>546369.60000000009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546369.60000000009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FMC</v>
          </cell>
          <cell r="B29">
            <v>175181.52</v>
          </cell>
          <cell r="C29">
            <v>0</v>
          </cell>
          <cell r="D29">
            <v>0</v>
          </cell>
          <cell r="E29">
            <v>121872.85446575342</v>
          </cell>
          <cell r="F29">
            <v>131026.17797260275</v>
          </cell>
          <cell r="G29">
            <v>3000000</v>
          </cell>
          <cell r="H29">
            <v>0</v>
          </cell>
          <cell r="I29">
            <v>-2833971.8035068493</v>
          </cell>
          <cell r="J29">
            <v>3000000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>FNI</v>
          </cell>
          <cell r="B30">
            <v>37437.119999999995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37437.119999999995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FRANSABANK</v>
          </cell>
          <cell r="B31">
            <v>1309131.7200000002</v>
          </cell>
          <cell r="C31">
            <v>0</v>
          </cell>
          <cell r="D31">
            <v>0</v>
          </cell>
          <cell r="E31">
            <v>0</v>
          </cell>
          <cell r="F31">
            <v>979158.7933150687</v>
          </cell>
          <cell r="G31">
            <v>0</v>
          </cell>
          <cell r="H31">
            <v>0</v>
          </cell>
          <cell r="I31">
            <v>329972.9266849315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GEFCO</v>
          </cell>
          <cell r="B32">
            <v>196348.32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196348.32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GENERAL EMBALLAGE</v>
          </cell>
          <cell r="B33">
            <v>5092999.8</v>
          </cell>
          <cell r="C33">
            <v>2000000</v>
          </cell>
          <cell r="D33">
            <v>0</v>
          </cell>
          <cell r="E33">
            <v>2035227.2301369864</v>
          </cell>
          <cell r="F33">
            <v>0</v>
          </cell>
          <cell r="G33">
            <v>6000000</v>
          </cell>
          <cell r="H33">
            <v>0</v>
          </cell>
          <cell r="I33">
            <v>3128227.0301369857</v>
          </cell>
          <cell r="J33">
            <v>4000000</v>
          </cell>
          <cell r="K33">
            <v>3000000</v>
          </cell>
          <cell r="L33">
            <v>1000000</v>
          </cell>
          <cell r="M33">
            <v>0</v>
          </cell>
          <cell r="N33">
            <v>199999.99999999997</v>
          </cell>
        </row>
        <row r="34">
          <cell r="A34" t="str">
            <v>GPS</v>
          </cell>
          <cell r="B34">
            <v>264634.2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264634.2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GREIF ALGERIE</v>
          </cell>
          <cell r="B35">
            <v>351187.19999999995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351187.19999999995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 xml:space="preserve">GROUPE CHIALI (PROFIPLAST) </v>
          </cell>
          <cell r="B36">
            <v>91173.84</v>
          </cell>
          <cell r="C36">
            <v>0</v>
          </cell>
          <cell r="D36">
            <v>500000</v>
          </cell>
          <cell r="E36">
            <v>0</v>
          </cell>
          <cell r="F36">
            <v>0</v>
          </cell>
          <cell r="G36">
            <v>750000</v>
          </cell>
          <cell r="H36">
            <v>0</v>
          </cell>
          <cell r="I36">
            <v>-1158826.1600000001</v>
          </cell>
          <cell r="J36">
            <v>1250000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GROUPE CHIKHOUNE</v>
          </cell>
          <cell r="B37">
            <v>33888.959999999999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33888.959999999999</v>
          </cell>
          <cell r="J37">
            <v>0</v>
          </cell>
          <cell r="K37">
            <v>600000</v>
          </cell>
          <cell r="L37">
            <v>0</v>
          </cell>
          <cell r="M37">
            <v>0</v>
          </cell>
          <cell r="N37">
            <v>24400.051199999998</v>
          </cell>
        </row>
        <row r="38">
          <cell r="A38" t="str">
            <v>GROUPE LAFARGE</v>
          </cell>
          <cell r="B38">
            <v>8823864</v>
          </cell>
          <cell r="C38">
            <v>1000000</v>
          </cell>
          <cell r="D38">
            <v>1000000</v>
          </cell>
          <cell r="E38">
            <v>0</v>
          </cell>
          <cell r="F38">
            <v>0</v>
          </cell>
          <cell r="G38">
            <v>1000000</v>
          </cell>
          <cell r="H38">
            <v>0</v>
          </cell>
          <cell r="I38">
            <v>7823864</v>
          </cell>
          <cell r="J38">
            <v>1000000</v>
          </cell>
          <cell r="K38">
            <v>1000000</v>
          </cell>
          <cell r="L38">
            <v>0</v>
          </cell>
          <cell r="M38">
            <v>2000000</v>
          </cell>
          <cell r="N38">
            <v>150000</v>
          </cell>
        </row>
        <row r="39">
          <cell r="A39" t="str">
            <v xml:space="preserve">GROUPE RAMDY </v>
          </cell>
          <cell r="B39">
            <v>226921.73280272889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226921.73280272889</v>
          </cell>
          <cell r="J39">
            <v>0</v>
          </cell>
          <cell r="K39">
            <v>0</v>
          </cell>
          <cell r="L39">
            <v>2000000</v>
          </cell>
          <cell r="M39">
            <v>0</v>
          </cell>
          <cell r="N39">
            <v>99999.999999999985</v>
          </cell>
        </row>
        <row r="40">
          <cell r="A40" t="str">
            <v>HELIOS SPA</v>
          </cell>
          <cell r="B40">
            <v>54333.48</v>
          </cell>
          <cell r="C40">
            <v>0</v>
          </cell>
          <cell r="D40">
            <v>0</v>
          </cell>
          <cell r="E40">
            <v>22477.68624657534</v>
          </cell>
          <cell r="F40">
            <v>22477.686246575344</v>
          </cell>
          <cell r="G40">
            <v>0</v>
          </cell>
          <cell r="H40">
            <v>0</v>
          </cell>
          <cell r="I40">
            <v>54333.48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 t="str">
            <v>HONEYWELL</v>
          </cell>
          <cell r="B41">
            <v>852600</v>
          </cell>
          <cell r="C41">
            <v>0</v>
          </cell>
          <cell r="D41">
            <v>0</v>
          </cell>
          <cell r="E41">
            <v>463439.34246575343</v>
          </cell>
          <cell r="F41">
            <v>422796.16438356164</v>
          </cell>
          <cell r="G41">
            <v>0</v>
          </cell>
          <cell r="H41">
            <v>0</v>
          </cell>
          <cell r="I41">
            <v>893243.17808219185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 t="str">
            <v>JOKTAL</v>
          </cell>
          <cell r="B42">
            <v>108637.92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108637.92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 t="str">
            <v>JOTUN ALGERIE</v>
          </cell>
          <cell r="B43">
            <v>223394.53299109655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223394.53299109655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 t="str">
            <v>KCA</v>
          </cell>
          <cell r="B44">
            <v>73378.8</v>
          </cell>
          <cell r="C44">
            <v>0</v>
          </cell>
          <cell r="D44">
            <v>0</v>
          </cell>
          <cell r="E44">
            <v>37102.803913894335</v>
          </cell>
          <cell r="F44">
            <v>36387.843287671232</v>
          </cell>
          <cell r="G44">
            <v>0</v>
          </cell>
          <cell r="H44">
            <v>0</v>
          </cell>
          <cell r="I44">
            <v>74093.760626223098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 t="str">
            <v>L'ALGERIENNE DES ASSURANCES 2a</v>
          </cell>
          <cell r="B45">
            <v>2949185.64</v>
          </cell>
          <cell r="C45">
            <v>0</v>
          </cell>
          <cell r="D45">
            <v>1000000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1949185.6400000001</v>
          </cell>
          <cell r="J45">
            <v>1000000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 t="str">
            <v>MARTUR</v>
          </cell>
          <cell r="B46">
            <v>2971.32</v>
          </cell>
          <cell r="C46">
            <v>0</v>
          </cell>
          <cell r="D46">
            <v>0</v>
          </cell>
          <cell r="E46">
            <v>0</v>
          </cell>
          <cell r="F46">
            <v>976.87232876712324</v>
          </cell>
          <cell r="G46">
            <v>0</v>
          </cell>
          <cell r="H46">
            <v>0</v>
          </cell>
          <cell r="I46">
            <v>1994.4476712328769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MERINAL</v>
          </cell>
          <cell r="B47">
            <v>2063885.04</v>
          </cell>
          <cell r="C47">
            <v>0</v>
          </cell>
          <cell r="D47">
            <v>1000000</v>
          </cell>
          <cell r="E47">
            <v>0</v>
          </cell>
          <cell r="F47">
            <v>175288.8664109589</v>
          </cell>
          <cell r="G47">
            <v>0</v>
          </cell>
          <cell r="H47">
            <v>0</v>
          </cell>
          <cell r="I47">
            <v>888596.17358904111</v>
          </cell>
          <cell r="J47">
            <v>1000000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 t="str">
            <v>MICHELIN ALGERIE</v>
          </cell>
          <cell r="B48">
            <v>314275.68</v>
          </cell>
          <cell r="C48">
            <v>0</v>
          </cell>
          <cell r="D48">
            <v>0</v>
          </cell>
          <cell r="E48">
            <v>129871.92122740866</v>
          </cell>
          <cell r="F48">
            <v>155846.29610958905</v>
          </cell>
          <cell r="G48">
            <v>0</v>
          </cell>
          <cell r="H48">
            <v>0</v>
          </cell>
          <cell r="I48">
            <v>288301.30511781957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PEUGEOT ALGERIE</v>
          </cell>
          <cell r="B49">
            <v>579795.84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579795.84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Pfizer Pharm Algerie SPA</v>
          </cell>
          <cell r="B50">
            <v>1525013.52</v>
          </cell>
          <cell r="C50">
            <v>0</v>
          </cell>
          <cell r="D50">
            <v>8000000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-6474986.4800000004</v>
          </cell>
          <cell r="J50">
            <v>8000000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 t="str">
            <v>Pfizer Saidal Manufacturing SPA</v>
          </cell>
          <cell r="B51">
            <v>3294604.6799999997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3294604.6799999997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PROMEDEX</v>
          </cell>
          <cell r="B52">
            <v>57847.200000000004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57847.200000000004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SANDOZ</v>
          </cell>
          <cell r="B53">
            <v>1621303.2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1621303.2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SARL BAOSEM</v>
          </cell>
          <cell r="B54">
            <v>190680.72</v>
          </cell>
          <cell r="C54">
            <v>0</v>
          </cell>
          <cell r="D54">
            <v>1000000</v>
          </cell>
          <cell r="E54">
            <v>62689.551780821916</v>
          </cell>
          <cell r="F54">
            <v>62689.551780821916</v>
          </cell>
          <cell r="G54">
            <v>0</v>
          </cell>
          <cell r="H54">
            <v>0</v>
          </cell>
          <cell r="I54">
            <v>-809319.28</v>
          </cell>
          <cell r="J54">
            <v>1000000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>SARL BRIQUETTERIE ZENATA</v>
          </cell>
          <cell r="B55">
            <v>10715.039999999999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-675870.39043728542</v>
          </cell>
          <cell r="I55">
            <v>-665155.35043728538</v>
          </cell>
          <cell r="J55">
            <v>0</v>
          </cell>
          <cell r="K55">
            <v>1000000</v>
          </cell>
          <cell r="L55">
            <v>1000000</v>
          </cell>
          <cell r="M55">
            <v>0</v>
          </cell>
          <cell r="N55">
            <v>0</v>
          </cell>
        </row>
        <row r="56">
          <cell r="A56" t="str">
            <v>SARL DRACO</v>
          </cell>
          <cell r="B56">
            <v>271872</v>
          </cell>
          <cell r="C56">
            <v>1500000</v>
          </cell>
          <cell r="D56">
            <v>1500000</v>
          </cell>
          <cell r="E56">
            <v>113858.63013698629</v>
          </cell>
          <cell r="F56">
            <v>89382.575342465745</v>
          </cell>
          <cell r="G56">
            <v>1500000</v>
          </cell>
          <cell r="H56">
            <v>-1136706.6301369863</v>
          </cell>
          <cell r="I56">
            <v>-2340358.5753424657</v>
          </cell>
          <cell r="J56">
            <v>1500000</v>
          </cell>
          <cell r="K56">
            <v>1500000</v>
          </cell>
          <cell r="L56">
            <v>0</v>
          </cell>
          <cell r="M56">
            <v>0</v>
          </cell>
          <cell r="N56">
            <v>0</v>
          </cell>
        </row>
        <row r="57">
          <cell r="A57" t="str">
            <v>SARL LES MOULINS AMOR BENAMOR</v>
          </cell>
          <cell r="B57">
            <v>3153192</v>
          </cell>
          <cell r="C57">
            <v>0</v>
          </cell>
          <cell r="D57">
            <v>0</v>
          </cell>
          <cell r="E57">
            <v>267073.63934426231</v>
          </cell>
          <cell r="F57">
            <v>509694.04931506852</v>
          </cell>
          <cell r="G57">
            <v>0</v>
          </cell>
          <cell r="H57">
            <v>-468281.55167302943</v>
          </cell>
          <cell r="I57">
            <v>2442290.0383561645</v>
          </cell>
          <cell r="J57">
            <v>0</v>
          </cell>
          <cell r="K57">
            <v>3600000</v>
          </cell>
          <cell r="L57">
            <v>2200000</v>
          </cell>
          <cell r="M57">
            <v>0</v>
          </cell>
          <cell r="N57">
            <v>290000</v>
          </cell>
        </row>
        <row r="58">
          <cell r="A58" t="str">
            <v>SARL MED INFO</v>
          </cell>
          <cell r="B58">
            <v>54954.84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54954.84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MOULIN HABOUR</v>
          </cell>
          <cell r="B59">
            <v>248532</v>
          </cell>
          <cell r="C59">
            <v>0</v>
          </cell>
          <cell r="D59">
            <v>0</v>
          </cell>
          <cell r="E59">
            <v>165520.54849315071</v>
          </cell>
          <cell r="F59">
            <v>165461.03013698632</v>
          </cell>
          <cell r="G59">
            <v>0</v>
          </cell>
          <cell r="H59">
            <v>0</v>
          </cell>
          <cell r="I59">
            <v>248591.51835616442</v>
          </cell>
          <cell r="J59">
            <v>0</v>
          </cell>
          <cell r="K59">
            <v>0</v>
          </cell>
          <cell r="L59">
            <v>0</v>
          </cell>
          <cell r="M59">
            <v>500000</v>
          </cell>
          <cell r="N59">
            <v>24999.999999999996</v>
          </cell>
        </row>
        <row r="60">
          <cell r="A60" t="str">
            <v>SARL VIGILANCE</v>
          </cell>
          <cell r="B60">
            <v>1136863.68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500000</v>
          </cell>
          <cell r="H60">
            <v>0</v>
          </cell>
          <cell r="I60">
            <v>636863.67999999993</v>
          </cell>
          <cell r="J60">
            <v>500000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SARPI</v>
          </cell>
          <cell r="B61">
            <v>12156900</v>
          </cell>
          <cell r="C61">
            <v>14000000</v>
          </cell>
          <cell r="D61">
            <v>11400000</v>
          </cell>
          <cell r="E61">
            <v>6578323.0748008965</v>
          </cell>
          <cell r="F61">
            <v>6028490.1369863013</v>
          </cell>
          <cell r="G61">
            <v>10000000</v>
          </cell>
          <cell r="H61">
            <v>-1544702.7834649263</v>
          </cell>
          <cell r="I61">
            <v>3762030.1543496707</v>
          </cell>
          <cell r="J61">
            <v>7400000</v>
          </cell>
          <cell r="K61">
            <v>20000000</v>
          </cell>
          <cell r="L61">
            <v>10000000</v>
          </cell>
          <cell r="M61">
            <v>0</v>
          </cell>
          <cell r="N61">
            <v>1500000</v>
          </cell>
        </row>
        <row r="62">
          <cell r="A62" t="str">
            <v>SGS QUALISTEST</v>
          </cell>
          <cell r="B62">
            <v>324905.88</v>
          </cell>
          <cell r="C62">
            <v>0</v>
          </cell>
          <cell r="D62">
            <v>0</v>
          </cell>
          <cell r="E62">
            <v>80113.778630136978</v>
          </cell>
          <cell r="F62">
            <v>80113.778630136978</v>
          </cell>
          <cell r="G62">
            <v>1000000</v>
          </cell>
          <cell r="H62">
            <v>-664355.69666292379</v>
          </cell>
          <cell r="I62">
            <v>-1339449.8166629239</v>
          </cell>
          <cell r="J62">
            <v>1000000</v>
          </cell>
          <cell r="K62">
            <v>1000000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SGT ALGERIE</v>
          </cell>
          <cell r="B63">
            <v>159356.40000000002</v>
          </cell>
          <cell r="C63">
            <v>0</v>
          </cell>
          <cell r="D63">
            <v>0</v>
          </cell>
          <cell r="E63">
            <v>76228.273972602736</v>
          </cell>
          <cell r="F63">
            <v>79023.310684931523</v>
          </cell>
          <cell r="G63">
            <v>300000</v>
          </cell>
          <cell r="H63">
            <v>0</v>
          </cell>
          <cell r="I63">
            <v>-143438.63671232876</v>
          </cell>
          <cell r="J63">
            <v>300000</v>
          </cell>
          <cell r="K63">
            <v>0</v>
          </cell>
          <cell r="L63">
            <v>150000</v>
          </cell>
          <cell r="M63">
            <v>150000</v>
          </cell>
          <cell r="N63">
            <v>0</v>
          </cell>
        </row>
        <row r="64">
          <cell r="A64" t="str">
            <v>SIP</v>
          </cell>
          <cell r="B64">
            <v>77460.479999999981</v>
          </cell>
          <cell r="C64">
            <v>0</v>
          </cell>
          <cell r="D64">
            <v>0</v>
          </cell>
          <cell r="E64">
            <v>38411.820824493319</v>
          </cell>
          <cell r="F64">
            <v>38411.909260273962</v>
          </cell>
          <cell r="G64">
            <v>0</v>
          </cell>
          <cell r="H64">
            <v>0</v>
          </cell>
          <cell r="I64">
            <v>77460.391564219346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SNAX</v>
          </cell>
          <cell r="B65">
            <v>363674.88</v>
          </cell>
          <cell r="C65">
            <v>0</v>
          </cell>
          <cell r="D65">
            <v>0</v>
          </cell>
          <cell r="E65">
            <v>54946.849315068488</v>
          </cell>
          <cell r="F65">
            <v>78683.888219178072</v>
          </cell>
          <cell r="G65">
            <v>0</v>
          </cell>
          <cell r="H65">
            <v>0</v>
          </cell>
          <cell r="I65">
            <v>339937.84109589044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 xml:space="preserve">SOMIK </v>
          </cell>
          <cell r="B66">
            <v>13725755.999999998</v>
          </cell>
          <cell r="C66">
            <v>4000000</v>
          </cell>
          <cell r="D66">
            <v>4000000</v>
          </cell>
          <cell r="E66">
            <v>7247464.5981500316</v>
          </cell>
          <cell r="F66">
            <v>7972219.9232876692</v>
          </cell>
          <cell r="G66">
            <v>12000000</v>
          </cell>
          <cell r="H66">
            <v>0</v>
          </cell>
          <cell r="I66">
            <v>1001000.6748623606</v>
          </cell>
          <cell r="J66">
            <v>12000000</v>
          </cell>
          <cell r="K66">
            <v>4000000</v>
          </cell>
          <cell r="L66">
            <v>0</v>
          </cell>
          <cell r="M66">
            <v>0</v>
          </cell>
          <cell r="N66">
            <v>199999.99999999997</v>
          </cell>
        </row>
        <row r="67">
          <cell r="A67" t="str">
            <v>SOUMMAM</v>
          </cell>
          <cell r="B67">
            <v>3172007.4</v>
          </cell>
          <cell r="C67">
            <v>0</v>
          </cell>
          <cell r="D67">
            <v>1000000</v>
          </cell>
          <cell r="E67">
            <v>0</v>
          </cell>
          <cell r="F67">
            <v>0</v>
          </cell>
          <cell r="G67">
            <v>2000000</v>
          </cell>
          <cell r="H67">
            <v>0</v>
          </cell>
          <cell r="I67">
            <v>172007.39999999991</v>
          </cell>
          <cell r="J67">
            <v>3000000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A68" t="str">
            <v xml:space="preserve">TANGO </v>
          </cell>
          <cell r="B68">
            <v>818118.24</v>
          </cell>
          <cell r="C68">
            <v>1000000</v>
          </cell>
          <cell r="D68">
            <v>1000000</v>
          </cell>
          <cell r="E68">
            <v>271211.80010958906</v>
          </cell>
          <cell r="F68">
            <v>271211.80010958906</v>
          </cell>
          <cell r="G68">
            <v>1000000</v>
          </cell>
          <cell r="H68">
            <v>-1178147.2333183971</v>
          </cell>
          <cell r="I68">
            <v>-1360028.9933183971</v>
          </cell>
          <cell r="J68">
            <v>1000000</v>
          </cell>
          <cell r="K68">
            <v>2000000</v>
          </cell>
          <cell r="L68">
            <v>0</v>
          </cell>
          <cell r="M68">
            <v>0</v>
          </cell>
          <cell r="N68">
            <v>0</v>
          </cell>
        </row>
        <row r="69">
          <cell r="A69" t="str">
            <v xml:space="preserve">TETRA PACK </v>
          </cell>
          <cell r="B69">
            <v>353520</v>
          </cell>
          <cell r="C69">
            <v>0</v>
          </cell>
          <cell r="D69">
            <v>0</v>
          </cell>
          <cell r="E69">
            <v>204525.04109589042</v>
          </cell>
          <cell r="F69">
            <v>175307.17808219179</v>
          </cell>
          <cell r="G69">
            <v>0</v>
          </cell>
          <cell r="H69">
            <v>0</v>
          </cell>
          <cell r="I69">
            <v>382737.86301369866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TIMAC AGRO</v>
          </cell>
          <cell r="B70">
            <v>762157.44</v>
          </cell>
          <cell r="C70">
            <v>0</v>
          </cell>
          <cell r="D70">
            <v>0</v>
          </cell>
          <cell r="E70">
            <v>217162.66783561645</v>
          </cell>
          <cell r="F70">
            <v>217162.66783561642</v>
          </cell>
          <cell r="G70">
            <v>0</v>
          </cell>
          <cell r="H70">
            <v>0</v>
          </cell>
          <cell r="I70">
            <v>762157.44000000006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TMF SPA</v>
          </cell>
          <cell r="B71">
            <v>1767407.9</v>
          </cell>
          <cell r="C71">
            <v>0</v>
          </cell>
          <cell r="D71">
            <v>0</v>
          </cell>
          <cell r="E71">
            <v>792257.03671232879</v>
          </cell>
          <cell r="F71">
            <v>0</v>
          </cell>
          <cell r="G71">
            <v>4000000</v>
          </cell>
          <cell r="H71">
            <v>-196409.83671232907</v>
          </cell>
          <cell r="I71">
            <v>-1636744.9000000004</v>
          </cell>
          <cell r="J71">
            <v>4000000</v>
          </cell>
          <cell r="K71">
            <v>2000000</v>
          </cell>
          <cell r="L71">
            <v>0</v>
          </cell>
          <cell r="M71">
            <v>0</v>
          </cell>
          <cell r="N71">
            <v>0</v>
          </cell>
        </row>
        <row r="72">
          <cell r="A72" t="str">
            <v>USA</v>
          </cell>
          <cell r="B72">
            <v>1490745.6</v>
          </cell>
          <cell r="C72">
            <v>0</v>
          </cell>
          <cell r="D72">
            <v>0</v>
          </cell>
          <cell r="E72">
            <v>0</v>
          </cell>
          <cell r="F72">
            <v>980216.28493150685</v>
          </cell>
          <cell r="G72">
            <v>0</v>
          </cell>
          <cell r="H72">
            <v>0</v>
          </cell>
          <cell r="I72">
            <v>510529.31506849325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A73" t="str">
            <v>VAPROPHARM</v>
          </cell>
          <cell r="B73">
            <v>160443.36000000002</v>
          </cell>
          <cell r="C73">
            <v>0</v>
          </cell>
          <cell r="D73">
            <v>0</v>
          </cell>
          <cell r="E73">
            <v>0</v>
          </cell>
          <cell r="F73">
            <v>13626.696328767124</v>
          </cell>
          <cell r="G73">
            <v>0</v>
          </cell>
          <cell r="H73">
            <v>0</v>
          </cell>
          <cell r="I73">
            <v>146816.66367123288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VARIAN</v>
          </cell>
          <cell r="B74">
            <v>176472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1500000</v>
          </cell>
          <cell r="H74">
            <v>0</v>
          </cell>
          <cell r="I74">
            <v>-1323528</v>
          </cell>
          <cell r="J74">
            <v>1500000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</sheetData>
      <sheetData sheetId="11"/>
      <sheetData sheetId="12"/>
      <sheetData sheetId="13">
        <row r="3">
          <cell r="D3" t="str">
            <v xml:space="preserve">SINISTRE Réglé </v>
          </cell>
          <cell r="E3">
            <v>0</v>
          </cell>
        </row>
        <row r="4">
          <cell r="D4" t="str">
            <v>Étiquettes de lignes</v>
          </cell>
          <cell r="E4" t="str">
            <v>Somme de Total</v>
          </cell>
        </row>
        <row r="5">
          <cell r="D5" t="str">
            <v>AEC</v>
          </cell>
          <cell r="E5">
            <v>2000000</v>
          </cell>
        </row>
        <row r="6">
          <cell r="D6" t="str">
            <v>ALDAPH</v>
          </cell>
          <cell r="E6">
            <v>12000000</v>
          </cell>
        </row>
        <row r="7">
          <cell r="D7" t="str">
            <v xml:space="preserve">AMOR BEN AMOR       </v>
          </cell>
          <cell r="E7">
            <v>1200000</v>
          </cell>
        </row>
        <row r="8">
          <cell r="D8" t="str">
            <v>ASGA</v>
          </cell>
          <cell r="E8">
            <v>2500000</v>
          </cell>
        </row>
        <row r="9">
          <cell r="D9" t="str">
            <v>BAOSEM</v>
          </cell>
          <cell r="E9">
            <v>2000000</v>
          </cell>
        </row>
        <row r="10">
          <cell r="D10" t="str">
            <v>CASH</v>
          </cell>
          <cell r="E10">
            <v>6287821.75</v>
          </cell>
        </row>
        <row r="11">
          <cell r="D11" t="str">
            <v>CASTEL</v>
          </cell>
          <cell r="E11">
            <v>2250000</v>
          </cell>
        </row>
        <row r="12">
          <cell r="D12" t="str">
            <v>SARL DRACO</v>
          </cell>
          <cell r="E12">
            <v>1500000</v>
          </cell>
        </row>
        <row r="13">
          <cell r="D13" t="str">
            <v xml:space="preserve">ENAFOR </v>
          </cell>
          <cell r="E13">
            <v>9600000</v>
          </cell>
        </row>
        <row r="14">
          <cell r="D14" t="str">
            <v xml:space="preserve">ENSP </v>
          </cell>
          <cell r="E14">
            <v>22800000</v>
          </cell>
        </row>
        <row r="15">
          <cell r="D15" t="str">
            <v>FAIENCERIE ALGERIENN</v>
          </cell>
          <cell r="E15">
            <v>105000</v>
          </cell>
        </row>
        <row r="16">
          <cell r="D16" t="str">
            <v>FIELDCORE SOLUTIONS INTERNATIONAL ALGERIA</v>
          </cell>
          <cell r="E16">
            <v>2000000</v>
          </cell>
        </row>
        <row r="17">
          <cell r="D17" t="str">
            <v>FMC</v>
          </cell>
          <cell r="E17">
            <v>3000000</v>
          </cell>
        </row>
        <row r="18">
          <cell r="D18" t="str">
            <v>MERINAL</v>
          </cell>
          <cell r="E18">
            <v>1000000</v>
          </cell>
        </row>
        <row r="19">
          <cell r="D19" t="str">
            <v>GROUPE LAFARGE</v>
          </cell>
          <cell r="E19">
            <v>1000000</v>
          </cell>
        </row>
        <row r="20">
          <cell r="D20" t="str">
            <v>MOULIN HABOUR</v>
          </cell>
          <cell r="E20">
            <v>500000</v>
          </cell>
        </row>
        <row r="21">
          <cell r="D21" t="str">
            <v>Pfizer Pharm Algerie SPA</v>
          </cell>
          <cell r="E21">
            <v>20069538</v>
          </cell>
        </row>
        <row r="22">
          <cell r="D22" t="str">
            <v>SANDOZ</v>
          </cell>
          <cell r="E22">
            <v>1000000</v>
          </cell>
        </row>
        <row r="23">
          <cell r="D23" t="str">
            <v>2SP</v>
          </cell>
          <cell r="E23">
            <v>25900000</v>
          </cell>
        </row>
        <row r="24">
          <cell r="D24" t="str">
            <v xml:space="preserve">SARL WAFA </v>
          </cell>
          <cell r="E24">
            <v>400000</v>
          </cell>
        </row>
        <row r="25">
          <cell r="D25" t="str">
            <v>SARPI</v>
          </cell>
          <cell r="E25">
            <v>16000000</v>
          </cell>
        </row>
        <row r="26">
          <cell r="D26" t="str">
            <v xml:space="preserve">SOMIK </v>
          </cell>
          <cell r="E26">
            <v>15800000</v>
          </cell>
        </row>
        <row r="27">
          <cell r="D27" t="str">
            <v>VARIAN</v>
          </cell>
          <cell r="E27">
            <v>3000000</v>
          </cell>
        </row>
        <row r="28">
          <cell r="D28" t="str">
            <v>Total général</v>
          </cell>
          <cell r="E28">
            <v>151912359.75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AP SAP "/>
      <sheetName val="Reassureur"/>
      <sheetName val="SAP Par reassureur"/>
      <sheetName val="Feuil1"/>
      <sheetName val="SAP au 31.12.2017"/>
      <sheetName val="Verif"/>
      <sheetName val="RECAP_SAP_"/>
      <sheetName val="SAP_Par_reassureur"/>
      <sheetName val="SAP_au_31_12_2017"/>
      <sheetName val="RECAP_SAP_1"/>
      <sheetName val="SAP_Par_reassureur1"/>
      <sheetName val="SAP_au_31_12_20171"/>
      <sheetName val="RECAP_SAP_2"/>
      <sheetName val="SAP_Par_reassureur2"/>
      <sheetName val="SAP_au_31_12_20172"/>
      <sheetName val="RECAP_SAP_4"/>
      <sheetName val="SAP_Par_reassureur4"/>
      <sheetName val="SAP_au_31_12_20174"/>
      <sheetName val="RECAP_SAP_3"/>
      <sheetName val="SAP_Par_reassureur3"/>
      <sheetName val="SAP_au_31_12_20173"/>
    </sheetNames>
    <sheetDataSet>
      <sheetData sheetId="0" refreshError="1"/>
      <sheetData sheetId="1">
        <row r="2">
          <cell r="B2" t="str">
            <v xml:space="preserve">PART  CCR COR </v>
          </cell>
          <cell r="C2" t="str">
            <v>CCR</v>
          </cell>
          <cell r="D2" t="str">
            <v xml:space="preserve">AFRICA RE </v>
          </cell>
          <cell r="E2" t="str">
            <v>MED RE</v>
          </cell>
          <cell r="F2" t="str">
            <v>SCR</v>
          </cell>
          <cell r="G2" t="str">
            <v>ARIG</v>
          </cell>
          <cell r="H2" t="str">
            <v>BEST RE</v>
          </cell>
          <cell r="I2" t="str">
            <v>SCOR Global P&amp;C</v>
          </cell>
          <cell r="J2" t="str">
            <v>Hannover Ré</v>
          </cell>
          <cell r="K2" t="str">
            <v>CCR PARIS</v>
          </cell>
          <cell r="L2" t="str">
            <v>Total</v>
          </cell>
        </row>
        <row r="3">
          <cell r="A3">
            <v>2007</v>
          </cell>
          <cell r="B3">
            <v>0</v>
          </cell>
          <cell r="C3">
            <v>0.64</v>
          </cell>
          <cell r="D3">
            <v>0.22</v>
          </cell>
          <cell r="E3">
            <v>0.01</v>
          </cell>
          <cell r="F3">
            <v>5.5E-2</v>
          </cell>
          <cell r="G3">
            <v>7.4999999999999997E-2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</row>
        <row r="4">
          <cell r="A4">
            <v>2008</v>
          </cell>
          <cell r="B4">
            <v>0</v>
          </cell>
          <cell r="C4">
            <v>0.59</v>
          </cell>
          <cell r="D4">
            <v>0.22</v>
          </cell>
          <cell r="E4">
            <v>6.5000000000000002E-2</v>
          </cell>
          <cell r="F4">
            <v>0.04</v>
          </cell>
          <cell r="G4">
            <v>7.0000000000000007E-2</v>
          </cell>
          <cell r="H4">
            <v>1.4999999999999999E-2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</row>
        <row r="5">
          <cell r="A5">
            <v>2009</v>
          </cell>
          <cell r="B5">
            <v>0</v>
          </cell>
          <cell r="C5">
            <v>0.53</v>
          </cell>
          <cell r="D5">
            <v>0.2</v>
          </cell>
          <cell r="E5">
            <v>6.5000000000000002E-2</v>
          </cell>
          <cell r="F5">
            <v>0.04</v>
          </cell>
          <cell r="G5">
            <v>7.0000000000000007E-2</v>
          </cell>
          <cell r="H5">
            <v>0.02</v>
          </cell>
          <cell r="I5">
            <v>7.4999999999999997E-2</v>
          </cell>
          <cell r="J5">
            <v>0</v>
          </cell>
          <cell r="K5">
            <v>0</v>
          </cell>
          <cell r="L5">
            <v>1</v>
          </cell>
        </row>
        <row r="6">
          <cell r="A6">
            <v>2010</v>
          </cell>
          <cell r="B6">
            <v>0</v>
          </cell>
          <cell r="C6">
            <v>0.59</v>
          </cell>
          <cell r="D6">
            <v>0.2</v>
          </cell>
          <cell r="E6">
            <v>0</v>
          </cell>
          <cell r="F6">
            <v>0.02</v>
          </cell>
          <cell r="G6">
            <v>0.02</v>
          </cell>
          <cell r="H6">
            <v>0.02</v>
          </cell>
          <cell r="I6">
            <v>0.05</v>
          </cell>
          <cell r="J6">
            <v>0.1</v>
          </cell>
          <cell r="K6">
            <v>0</v>
          </cell>
          <cell r="L6">
            <v>1.0000000000000002</v>
          </cell>
        </row>
        <row r="7">
          <cell r="A7">
            <v>2011</v>
          </cell>
          <cell r="B7">
            <v>0.5</v>
          </cell>
          <cell r="C7">
            <v>0.22500000000000001</v>
          </cell>
          <cell r="D7">
            <v>0.1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7.4999999999999997E-2</v>
          </cell>
          <cell r="J7">
            <v>0.1</v>
          </cell>
          <cell r="K7">
            <v>0</v>
          </cell>
          <cell r="L7">
            <v>0.99999999999999989</v>
          </cell>
        </row>
        <row r="8">
          <cell r="A8">
            <v>2012</v>
          </cell>
          <cell r="B8">
            <v>0.5</v>
          </cell>
          <cell r="C8">
            <v>0.20499999999999999</v>
          </cell>
          <cell r="D8">
            <v>0.12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7.4999999999999997E-2</v>
          </cell>
          <cell r="J8">
            <v>0.1</v>
          </cell>
          <cell r="K8">
            <v>0</v>
          </cell>
          <cell r="L8">
            <v>0.99999999999999989</v>
          </cell>
        </row>
        <row r="9">
          <cell r="A9">
            <v>2013</v>
          </cell>
          <cell r="B9">
            <v>0.5</v>
          </cell>
          <cell r="C9">
            <v>0.20499999999999999</v>
          </cell>
          <cell r="D9">
            <v>0.115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0.08</v>
          </cell>
          <cell r="J9">
            <v>0.1</v>
          </cell>
          <cell r="K9">
            <v>0</v>
          </cell>
          <cell r="L9">
            <v>0.99999999999999989</v>
          </cell>
        </row>
        <row r="10">
          <cell r="A10">
            <v>2014</v>
          </cell>
          <cell r="B10">
            <v>0.5</v>
          </cell>
          <cell r="C10">
            <v>0.215</v>
          </cell>
          <cell r="D10">
            <v>0.125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0.08</v>
          </cell>
          <cell r="J10">
            <v>0.08</v>
          </cell>
          <cell r="K10">
            <v>0</v>
          </cell>
          <cell r="L10">
            <v>0.99999999999999989</v>
          </cell>
        </row>
        <row r="11">
          <cell r="A11">
            <v>2015</v>
          </cell>
          <cell r="B11">
            <v>0.5</v>
          </cell>
          <cell r="C11">
            <v>0.215</v>
          </cell>
          <cell r="D11">
            <v>0.125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0.08</v>
          </cell>
          <cell r="J11">
            <v>0.08</v>
          </cell>
          <cell r="K11">
            <v>0</v>
          </cell>
          <cell r="L11">
            <v>0.99999999999999989</v>
          </cell>
        </row>
        <row r="12">
          <cell r="A12">
            <v>2016</v>
          </cell>
          <cell r="B12">
            <v>0.5</v>
          </cell>
          <cell r="C12">
            <v>0.22</v>
          </cell>
          <cell r="D12">
            <v>0.12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0.06</v>
          </cell>
          <cell r="K12">
            <v>0.03</v>
          </cell>
          <cell r="L12">
            <v>1</v>
          </cell>
        </row>
        <row r="13">
          <cell r="A13">
            <v>2017</v>
          </cell>
          <cell r="B13">
            <v>0.5</v>
          </cell>
          <cell r="C13">
            <v>0.2</v>
          </cell>
          <cell r="D13">
            <v>0.1</v>
          </cell>
          <cell r="E13">
            <v>0</v>
          </cell>
          <cell r="F13">
            <v>0</v>
          </cell>
          <cell r="G13">
            <v>0.02</v>
          </cell>
          <cell r="H13">
            <v>0</v>
          </cell>
          <cell r="I13">
            <v>7.0000000000000007E-2</v>
          </cell>
          <cell r="J13">
            <v>0.08</v>
          </cell>
          <cell r="K13">
            <v>0.03</v>
          </cell>
          <cell r="L13">
            <v>0.99999999999999989</v>
          </cell>
        </row>
      </sheetData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op-Downs"/>
      <sheetName val="PCS (All Risks)"/>
      <sheetName val="locations"/>
      <sheetName val="PCS_(All_Risks)"/>
      <sheetName val="PCS_(All_Risks)1"/>
      <sheetName val="PCS_(All_Risks)2"/>
      <sheetName val="PCS_(All_Risks)4"/>
      <sheetName val="PCS_(All_Risks)3"/>
    </sheetNames>
    <sheetDataSet>
      <sheetData sheetId="0">
        <row r="1">
          <cell r="A1" t="str">
            <v>Class</v>
          </cell>
          <cell r="C1" t="str">
            <v>Local Policy Deductible</v>
          </cell>
          <cell r="E1" t="str">
            <v>Standard Exclusions</v>
          </cell>
          <cell r="G1" t="str">
            <v>Limit Type</v>
          </cell>
          <cell r="L1" t="str">
            <v>BI Sub Limits</v>
          </cell>
        </row>
        <row r="2">
          <cell r="A2" t="str">
            <v>Material Damage</v>
          </cell>
          <cell r="C2" t="str">
            <v>Local Policy Deductible applied within Policy Limits</v>
          </cell>
          <cell r="E2" t="str">
            <v>Excluded</v>
          </cell>
          <cell r="G2" t="str">
            <v>NOT COVERED</v>
          </cell>
          <cell r="L2" t="str">
            <v>Gross Profit</v>
          </cell>
        </row>
        <row r="3">
          <cell r="A3" t="str">
            <v>Materal Damage and Business Interruption</v>
          </cell>
          <cell r="C3" t="str">
            <v>Local Policy Deductible applied in addition to Policy Limits</v>
          </cell>
          <cell r="E3" t="str">
            <v>Not Excluded</v>
          </cell>
          <cell r="G3" t="str">
            <v>Limit is Per Occurrence Only</v>
          </cell>
          <cell r="L3" t="str">
            <v>Gross Revenue</v>
          </cell>
        </row>
        <row r="4">
          <cell r="A4" t="str">
            <v>Business Interruption</v>
          </cell>
          <cell r="G4" t="str">
            <v>Limit is Per Occurrence &amp; Aggregate for Policy Period</v>
          </cell>
          <cell r="L4" t="str">
            <v>Gross Earnings (US style of cover)</v>
          </cell>
        </row>
        <row r="5">
          <cell r="G5" t="str">
            <v>Separate Limits for Occurrence &amp; for Policy Period Apply</v>
          </cell>
          <cell r="L5" t="str">
            <v>NOT COVERED</v>
          </cell>
        </row>
        <row r="6">
          <cell r="G6" t="str">
            <v>Local Policy Loss Limit</v>
          </cell>
          <cell r="L6" t="str">
            <v>ICOW Only</v>
          </cell>
        </row>
        <row r="7">
          <cell r="G7" t="str">
            <v>Full Value (no Sublimit)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SAP au 31.03.2015"/>
      <sheetName val="Verif"/>
      <sheetName val="Verif 2016"/>
      <sheetName val="SAP_au_31_03_2015"/>
      <sheetName val="Verif_2016"/>
      <sheetName val="SAP_au_31_03_20151"/>
      <sheetName val="Verif_20161"/>
      <sheetName val="SAP_au_31_03_20152"/>
      <sheetName val="Verif_20162"/>
      <sheetName val="SAP_au_31_03_20154"/>
      <sheetName val="Verif_20164"/>
      <sheetName val="SAP_au_31_03_20153"/>
      <sheetName val="Verif_20163"/>
    </sheetNames>
    <sheetDataSet>
      <sheetData sheetId="0"/>
      <sheetData sheetId="1"/>
      <sheetData sheetId="2">
        <row r="1">
          <cell r="A1" t="str">
            <v>POLICE_AVENAT</v>
          </cell>
          <cell r="B1" t="str">
            <v>NUM_SINITRE</v>
          </cell>
          <cell r="C1" t="str">
            <v>Date de survenance</v>
          </cell>
          <cell r="D1" t="str">
            <v>Rétention CASH %</v>
          </cell>
          <cell r="E1" t="str">
            <v>COR Traité 2010 et antérieur %</v>
          </cell>
          <cell r="F1" t="str">
            <v>Traité %</v>
          </cell>
          <cell r="G1" t="str">
            <v>Fac %</v>
          </cell>
        </row>
        <row r="2">
          <cell r="A2" t="str">
            <v>201 2015 10 1212 00007</v>
          </cell>
          <cell r="B2">
            <v>4</v>
          </cell>
          <cell r="C2">
            <v>42019.606226851851</v>
          </cell>
          <cell r="D2">
            <v>2.8799999999999999E-2</v>
          </cell>
          <cell r="E2">
            <v>0</v>
          </cell>
          <cell r="F2">
            <v>0.414750109230765</v>
          </cell>
          <cell r="G2">
            <v>0.55644989076923501</v>
          </cell>
        </row>
        <row r="3">
          <cell r="A3" t="str">
            <v>201 2015 10 1212 00007</v>
          </cell>
          <cell r="B3">
            <v>9</v>
          </cell>
          <cell r="C3">
            <v>42162.643078703702</v>
          </cell>
          <cell r="D3">
            <v>2.8799999999999999E-2</v>
          </cell>
          <cell r="E3">
            <v>0</v>
          </cell>
          <cell r="F3">
            <v>0.414750109230765</v>
          </cell>
          <cell r="G3">
            <v>0.55644989076923501</v>
          </cell>
        </row>
        <row r="4">
          <cell r="A4" t="str">
            <v>201 2014 10 1212 00006</v>
          </cell>
          <cell r="B4">
            <v>17</v>
          </cell>
          <cell r="C4">
            <v>41808.456273148149</v>
          </cell>
          <cell r="D4">
            <v>6.6666666666666666E-2</v>
          </cell>
          <cell r="E4">
            <v>0</v>
          </cell>
          <cell r="F4">
            <v>0.93333333333333335</v>
          </cell>
          <cell r="G4">
            <v>0</v>
          </cell>
        </row>
        <row r="5">
          <cell r="A5" t="str">
            <v>201 2015 10 1212 00007</v>
          </cell>
          <cell r="B5">
            <v>17</v>
          </cell>
          <cell r="C5">
            <v>42263.41547453704</v>
          </cell>
          <cell r="D5">
            <v>2.8799999999999999E-2</v>
          </cell>
          <cell r="E5">
            <v>0</v>
          </cell>
          <cell r="F5">
            <v>0.414750109230765</v>
          </cell>
          <cell r="G5">
            <v>0.55644989076923501</v>
          </cell>
        </row>
        <row r="6">
          <cell r="A6" t="str">
            <v>201 2012 10 1212 00004</v>
          </cell>
          <cell r="B6">
            <v>18</v>
          </cell>
          <cell r="C6">
            <v>41224.619259259256</v>
          </cell>
          <cell r="D6">
            <v>0.10605654604331205</v>
          </cell>
          <cell r="E6">
            <v>0</v>
          </cell>
          <cell r="F6">
            <v>0.89394345395668795</v>
          </cell>
          <cell r="G6">
            <v>0</v>
          </cell>
        </row>
        <row r="7">
          <cell r="A7" t="str">
            <v>201 2013 10 1212 00004</v>
          </cell>
          <cell r="B7">
            <v>31</v>
          </cell>
          <cell r="C7">
            <v>41543.56177083333</v>
          </cell>
          <cell r="D7">
            <v>7.2463768115942032E-2</v>
          </cell>
          <cell r="E7">
            <v>0</v>
          </cell>
          <cell r="F7">
            <v>0.92753623188405798</v>
          </cell>
          <cell r="G7">
            <v>0</v>
          </cell>
        </row>
        <row r="8">
          <cell r="A8" t="str">
            <v>201 2014 11 1212 00026</v>
          </cell>
          <cell r="B8">
            <v>31</v>
          </cell>
          <cell r="C8">
            <v>41991.626319444447</v>
          </cell>
          <cell r="D8">
            <v>0.28979289708690575</v>
          </cell>
          <cell r="E8">
            <v>0</v>
          </cell>
          <cell r="F8">
            <v>0.7102071029130943</v>
          </cell>
          <cell r="G8">
            <v>0</v>
          </cell>
        </row>
        <row r="9">
          <cell r="A9" t="str">
            <v>202 2012 10 1212 00001</v>
          </cell>
          <cell r="B9">
            <v>1</v>
          </cell>
          <cell r="C9">
            <v>41277.427372685182</v>
          </cell>
          <cell r="D9">
            <v>0.13375397424521215</v>
          </cell>
          <cell r="E9">
            <v>0</v>
          </cell>
          <cell r="F9">
            <v>0.86624602575478782</v>
          </cell>
          <cell r="G9">
            <v>0</v>
          </cell>
        </row>
        <row r="10">
          <cell r="A10" t="str">
            <v>202 2012 10 1212 00007</v>
          </cell>
          <cell r="B10">
            <v>6</v>
          </cell>
          <cell r="C10">
            <v>41476.443819444445</v>
          </cell>
          <cell r="D10">
            <v>0.82781456953642385</v>
          </cell>
          <cell r="E10">
            <v>0</v>
          </cell>
          <cell r="F10">
            <v>0.17218543046357615</v>
          </cell>
          <cell r="G10">
            <v>0</v>
          </cell>
        </row>
        <row r="11">
          <cell r="A11" t="str">
            <v>202 2014 10 1212 00003</v>
          </cell>
          <cell r="B11">
            <v>6</v>
          </cell>
          <cell r="C11">
            <v>41994.623993055553</v>
          </cell>
          <cell r="D11">
            <v>0.625</v>
          </cell>
          <cell r="E11">
            <v>0</v>
          </cell>
          <cell r="F11">
            <v>0.375</v>
          </cell>
          <cell r="G11">
            <v>0</v>
          </cell>
        </row>
        <row r="12">
          <cell r="A12" t="str">
            <v>202 2015 10 1212 00008</v>
          </cell>
          <cell r="B12">
            <v>6</v>
          </cell>
          <cell r="C12">
            <v>42089.673888888887</v>
          </cell>
          <cell r="D12">
            <v>0.27379531968513304</v>
          </cell>
          <cell r="E12">
            <v>0</v>
          </cell>
          <cell r="F12">
            <v>0.72620468031486696</v>
          </cell>
          <cell r="G12">
            <v>0</v>
          </cell>
        </row>
        <row r="13">
          <cell r="A13" t="str">
            <v>203 2012 10 1212 00008</v>
          </cell>
          <cell r="B13">
            <v>1</v>
          </cell>
          <cell r="C13">
            <v>41329.619675925926</v>
          </cell>
          <cell r="D13">
            <v>0.15382440640242878</v>
          </cell>
          <cell r="E13">
            <v>0</v>
          </cell>
          <cell r="F13">
            <v>0.84617559359757122</v>
          </cell>
          <cell r="G13">
            <v>0</v>
          </cell>
        </row>
        <row r="14">
          <cell r="A14" t="str">
            <v>201 2015 10 1212 00001</v>
          </cell>
          <cell r="B14">
            <v>1</v>
          </cell>
          <cell r="C14">
            <v>42029.613287037035</v>
          </cell>
          <cell r="D14">
            <v>6.5397433281538561E-2</v>
          </cell>
          <cell r="E14">
            <v>0</v>
          </cell>
          <cell r="F14">
            <v>0.93460256671846142</v>
          </cell>
          <cell r="G14">
            <v>0</v>
          </cell>
        </row>
        <row r="15">
          <cell r="A15" t="str">
            <v>201 2013 10 1212 00004</v>
          </cell>
          <cell r="B15">
            <v>10</v>
          </cell>
          <cell r="C15">
            <v>41408.406435185185</v>
          </cell>
          <cell r="D15">
            <v>7.2463768115942032E-2</v>
          </cell>
          <cell r="E15">
            <v>0</v>
          </cell>
          <cell r="F15">
            <v>0.92753623188405798</v>
          </cell>
          <cell r="G15">
            <v>0</v>
          </cell>
        </row>
        <row r="16">
          <cell r="A16" t="str">
            <v>201 2014 10 1212 00005</v>
          </cell>
          <cell r="B16">
            <v>18</v>
          </cell>
          <cell r="C16">
            <v>41808.47148148148</v>
          </cell>
          <cell r="D16">
            <v>0.15650289709462167</v>
          </cell>
          <cell r="E16">
            <v>0</v>
          </cell>
          <cell r="F16">
            <v>0.84349710290537838</v>
          </cell>
          <cell r="G16">
            <v>0</v>
          </cell>
        </row>
        <row r="17">
          <cell r="A17" t="str">
            <v>201 2015 10 1212 00003</v>
          </cell>
          <cell r="B17">
            <v>18</v>
          </cell>
          <cell r="C17">
            <v>42287.481296296297</v>
          </cell>
          <cell r="D17">
            <v>0.11717994853980247</v>
          </cell>
          <cell r="E17">
            <v>0</v>
          </cell>
          <cell r="F17">
            <v>0.88282005146019749</v>
          </cell>
          <cell r="G17">
            <v>0</v>
          </cell>
        </row>
        <row r="18">
          <cell r="A18" t="str">
            <v>201 2012 10 1212 00005</v>
          </cell>
          <cell r="B18">
            <v>19</v>
          </cell>
          <cell r="C18">
            <v>41226.391481481478</v>
          </cell>
          <cell r="D18">
            <v>7.3642749602937707E-2</v>
          </cell>
          <cell r="E18">
            <v>0</v>
          </cell>
          <cell r="F18">
            <v>0.92635725039706229</v>
          </cell>
          <cell r="G18">
            <v>0</v>
          </cell>
        </row>
        <row r="19">
          <cell r="A19" t="str">
            <v>202 2014 10 1212 00007</v>
          </cell>
          <cell r="B19">
            <v>1</v>
          </cell>
          <cell r="C19">
            <v>42036.395243055558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202 2012 10 1212 00009</v>
          </cell>
          <cell r="B20">
            <v>8</v>
          </cell>
          <cell r="C20">
            <v>41338.496655092589</v>
          </cell>
          <cell r="D20">
            <v>0.61274509803921573</v>
          </cell>
          <cell r="E20">
            <v>0</v>
          </cell>
          <cell r="F20">
            <v>0.38725490196078427</v>
          </cell>
          <cell r="G20">
            <v>0</v>
          </cell>
        </row>
        <row r="21">
          <cell r="A21" t="str">
            <v>202 2015 10 1212 00008</v>
          </cell>
          <cell r="B21">
            <v>8</v>
          </cell>
          <cell r="C21">
            <v>42175.493460648147</v>
          </cell>
          <cell r="D21">
            <v>0.27379531968513304</v>
          </cell>
          <cell r="E21">
            <v>0</v>
          </cell>
          <cell r="F21">
            <v>0.72620468031486696</v>
          </cell>
          <cell r="G21">
            <v>0</v>
          </cell>
        </row>
        <row r="22">
          <cell r="A22" t="str">
            <v>203 2015 10 1212 00003</v>
          </cell>
          <cell r="B22">
            <v>2</v>
          </cell>
          <cell r="C22">
            <v>42033.637881944444</v>
          </cell>
          <cell r="D22">
            <v>2.31076272069227E-2</v>
          </cell>
          <cell r="E22">
            <v>0</v>
          </cell>
          <cell r="F22">
            <v>0.39745118795907064</v>
          </cell>
          <cell r="G22">
            <v>0.57944118483400664</v>
          </cell>
        </row>
        <row r="23">
          <cell r="A23" t="str">
            <v>203 2015 10 1212 00005</v>
          </cell>
          <cell r="B23">
            <v>8</v>
          </cell>
          <cell r="C23">
            <v>42078.351041666669</v>
          </cell>
          <cell r="D23">
            <v>5.9565902215354301E-2</v>
          </cell>
          <cell r="E23">
            <v>0</v>
          </cell>
          <cell r="F23">
            <v>0.83392263101496</v>
          </cell>
          <cell r="G23">
            <v>0.1065114667696857</v>
          </cell>
        </row>
        <row r="24">
          <cell r="A24" t="str">
            <v>201 2015 10 1212 00016</v>
          </cell>
          <cell r="B24">
            <v>21</v>
          </cell>
          <cell r="C24">
            <v>42317.387499999997</v>
          </cell>
          <cell r="D24">
            <v>7.3015301796448911E-2</v>
          </cell>
          <cell r="E24">
            <v>0</v>
          </cell>
          <cell r="F24">
            <v>0.92698469820355101</v>
          </cell>
          <cell r="G24">
            <v>0</v>
          </cell>
        </row>
        <row r="25">
          <cell r="A25" t="str">
            <v>201 2012 10 1212 00004</v>
          </cell>
          <cell r="B25">
            <v>22</v>
          </cell>
          <cell r="C25">
            <v>41247.696273148147</v>
          </cell>
          <cell r="D25">
            <v>0.10605654604331205</v>
          </cell>
          <cell r="E25">
            <v>0</v>
          </cell>
          <cell r="F25">
            <v>0.89394345395668795</v>
          </cell>
          <cell r="G25">
            <v>0</v>
          </cell>
        </row>
        <row r="26">
          <cell r="A26" t="str">
            <v>201 2013 10 1212 00004</v>
          </cell>
          <cell r="B26">
            <v>22</v>
          </cell>
          <cell r="C26">
            <v>41471.557546296295</v>
          </cell>
          <cell r="D26">
            <v>7.2463768115942032E-2</v>
          </cell>
          <cell r="E26">
            <v>0</v>
          </cell>
          <cell r="F26">
            <v>0.92753623188405798</v>
          </cell>
          <cell r="G26">
            <v>0</v>
          </cell>
        </row>
        <row r="27">
          <cell r="A27" t="str">
            <v>201 2015 10 1212 00017</v>
          </cell>
          <cell r="B27">
            <v>22</v>
          </cell>
          <cell r="C27">
            <v>42317.391504629632</v>
          </cell>
          <cell r="D27">
            <v>0.10903988530578052</v>
          </cell>
          <cell r="E27">
            <v>0</v>
          </cell>
          <cell r="F27">
            <v>0.89096011469421943</v>
          </cell>
          <cell r="G27">
            <v>0</v>
          </cell>
        </row>
        <row r="28">
          <cell r="A28" t="str">
            <v>201 2013 10 1212 00004</v>
          </cell>
          <cell r="B28">
            <v>37</v>
          </cell>
          <cell r="C28">
            <v>41586.398680555554</v>
          </cell>
          <cell r="D28">
            <v>7.2463768115942032E-2</v>
          </cell>
          <cell r="E28">
            <v>0</v>
          </cell>
          <cell r="F28">
            <v>0.92753623188405798</v>
          </cell>
          <cell r="G28">
            <v>0</v>
          </cell>
        </row>
        <row r="29">
          <cell r="A29" t="str">
            <v>202 2014 10 1212 00005</v>
          </cell>
          <cell r="B29">
            <v>2</v>
          </cell>
          <cell r="C29">
            <v>41745.566400462965</v>
          </cell>
          <cell r="D29">
            <v>0.75</v>
          </cell>
          <cell r="E29">
            <v>0</v>
          </cell>
          <cell r="F29">
            <v>0.25</v>
          </cell>
          <cell r="G29">
            <v>0</v>
          </cell>
        </row>
        <row r="30">
          <cell r="A30" t="str">
            <v>202 2012 10 1212 00002</v>
          </cell>
          <cell r="B30">
            <v>12</v>
          </cell>
          <cell r="C30">
            <v>41239.466909722221</v>
          </cell>
          <cell r="D30">
            <v>7.386615452799529E-2</v>
          </cell>
          <cell r="E30">
            <v>0</v>
          </cell>
          <cell r="F30">
            <v>0.92613384547200472</v>
          </cell>
          <cell r="G30">
            <v>0</v>
          </cell>
        </row>
        <row r="31">
          <cell r="A31" t="str">
            <v>202 2015 10 1212 00005</v>
          </cell>
          <cell r="B31">
            <v>12</v>
          </cell>
          <cell r="C31">
            <v>42276.427025462966</v>
          </cell>
          <cell r="D31">
            <v>0.86206896551724133</v>
          </cell>
          <cell r="E31">
            <v>0</v>
          </cell>
          <cell r="F31">
            <v>0.13793103448275862</v>
          </cell>
          <cell r="G31">
            <v>0</v>
          </cell>
        </row>
        <row r="32">
          <cell r="A32" t="str">
            <v>203 2011 10 1212 00002</v>
          </cell>
          <cell r="B32">
            <v>3</v>
          </cell>
          <cell r="C32">
            <v>40688</v>
          </cell>
          <cell r="D32">
            <v>0.29682374946065454</v>
          </cell>
          <cell r="E32">
            <v>0</v>
          </cell>
          <cell r="F32">
            <v>0.70317625053934552</v>
          </cell>
          <cell r="G32">
            <v>0</v>
          </cell>
        </row>
        <row r="33">
          <cell r="A33" t="str">
            <v>203 2015 10 1212 00005</v>
          </cell>
          <cell r="B33">
            <v>7</v>
          </cell>
          <cell r="C33">
            <v>42052.575798611113</v>
          </cell>
          <cell r="D33">
            <v>5.9565902215354301E-2</v>
          </cell>
          <cell r="E33">
            <v>0</v>
          </cell>
          <cell r="F33">
            <v>0.83392263101496</v>
          </cell>
          <cell r="G33">
            <v>0.1065114667696857</v>
          </cell>
        </row>
        <row r="34">
          <cell r="A34" t="str">
            <v>203 2014 10 1212 00009</v>
          </cell>
          <cell r="B34">
            <v>20</v>
          </cell>
          <cell r="C34">
            <v>41706.698263888888</v>
          </cell>
          <cell r="D34">
            <v>5.9565902215354273E-2</v>
          </cell>
          <cell r="E34">
            <v>0</v>
          </cell>
          <cell r="F34">
            <v>0.83392263101495978</v>
          </cell>
          <cell r="G34">
            <v>0.10651146676968593</v>
          </cell>
        </row>
        <row r="35">
          <cell r="A35" t="str">
            <v>203 2015 10 1212 00009</v>
          </cell>
          <cell r="B35">
            <v>20</v>
          </cell>
          <cell r="C35">
            <v>42046.551782407405</v>
          </cell>
          <cell r="D35">
            <v>0.1419713052099309</v>
          </cell>
          <cell r="E35">
            <v>0</v>
          </cell>
          <cell r="F35">
            <v>0.85802869479006916</v>
          </cell>
          <cell r="G35">
            <v>0</v>
          </cell>
        </row>
        <row r="36">
          <cell r="A36" t="str">
            <v>203 2013 10 1212 00004</v>
          </cell>
          <cell r="B36">
            <v>12</v>
          </cell>
          <cell r="C36">
            <v>41375.802476851852</v>
          </cell>
          <cell r="D36">
            <v>2.0206579462029521E-2</v>
          </cell>
          <cell r="E36">
            <v>0</v>
          </cell>
          <cell r="F36">
            <v>0.32330527139247234</v>
          </cell>
          <cell r="G36">
            <v>0.65648814914549813</v>
          </cell>
        </row>
        <row r="37">
          <cell r="A37" t="str">
            <v>203 2015 10 1212 00005</v>
          </cell>
          <cell r="B37">
            <v>12</v>
          </cell>
          <cell r="C37">
            <v>42060.570196759261</v>
          </cell>
          <cell r="D37">
            <v>5.9565902215354301E-2</v>
          </cell>
          <cell r="E37">
            <v>0</v>
          </cell>
          <cell r="F37">
            <v>0.83392263101496</v>
          </cell>
          <cell r="G37">
            <v>0.1065114667696857</v>
          </cell>
        </row>
        <row r="38">
          <cell r="A38" t="str">
            <v>203 2015 10 1212 00005</v>
          </cell>
          <cell r="B38">
            <v>26</v>
          </cell>
          <cell r="C38">
            <v>42171.597916666666</v>
          </cell>
          <cell r="D38">
            <v>5.9565902215354301E-2</v>
          </cell>
          <cell r="E38">
            <v>0</v>
          </cell>
          <cell r="F38">
            <v>0.83392263101496</v>
          </cell>
          <cell r="G38">
            <v>0.1065114667696857</v>
          </cell>
        </row>
        <row r="39">
          <cell r="A39" t="str">
            <v>201 2015 10 1212 00007</v>
          </cell>
          <cell r="B39">
            <v>16</v>
          </cell>
          <cell r="C39">
            <v>42226.420902777776</v>
          </cell>
          <cell r="D39">
            <v>2.8799999999999999E-2</v>
          </cell>
          <cell r="E39">
            <v>0</v>
          </cell>
          <cell r="F39">
            <v>0.414750109230765</v>
          </cell>
          <cell r="G39">
            <v>0.55644989076923501</v>
          </cell>
        </row>
        <row r="40">
          <cell r="A40" t="str">
            <v>201 2014 10 1212 00001</v>
          </cell>
          <cell r="B40">
            <v>30</v>
          </cell>
          <cell r="C40">
            <v>41983.454930555556</v>
          </cell>
          <cell r="D40">
            <v>2.8674022167060706E-2</v>
          </cell>
          <cell r="E40">
            <v>0</v>
          </cell>
          <cell r="F40">
            <v>0.40143631033884986</v>
          </cell>
          <cell r="G40">
            <v>0.56988966749408942</v>
          </cell>
        </row>
        <row r="41">
          <cell r="A41" t="str">
            <v>202 2014 10 1212 00006</v>
          </cell>
          <cell r="B41">
            <v>1</v>
          </cell>
          <cell r="C41">
            <v>41734.434814814813</v>
          </cell>
          <cell r="D41">
            <v>0.83333333333333337</v>
          </cell>
          <cell r="E41">
            <v>0</v>
          </cell>
          <cell r="F41">
            <v>0.16666666666666663</v>
          </cell>
          <cell r="G41">
            <v>0</v>
          </cell>
        </row>
        <row r="42">
          <cell r="A42" t="str">
            <v>202 2013 11 1212 00011</v>
          </cell>
          <cell r="B42">
            <v>7</v>
          </cell>
          <cell r="C42">
            <v>41583.672372685185</v>
          </cell>
          <cell r="D42">
            <v>0.1</v>
          </cell>
          <cell r="E42">
            <v>0</v>
          </cell>
          <cell r="F42">
            <v>0.86624602575478782</v>
          </cell>
          <cell r="G42">
            <v>0</v>
          </cell>
        </row>
        <row r="43">
          <cell r="A43" t="str">
            <v>202 2015 10 1212 00008</v>
          </cell>
          <cell r="B43">
            <v>7</v>
          </cell>
          <cell r="C43">
            <v>42169.656076388892</v>
          </cell>
          <cell r="D43">
            <v>0.27379531968513304</v>
          </cell>
          <cell r="E43">
            <v>0</v>
          </cell>
          <cell r="F43">
            <v>0.72620468031486696</v>
          </cell>
          <cell r="G43">
            <v>0</v>
          </cell>
        </row>
        <row r="44">
          <cell r="A44" t="str">
            <v>203 2014 10 1212 00002</v>
          </cell>
          <cell r="B44">
            <v>1</v>
          </cell>
          <cell r="C44">
            <v>41641.708819444444</v>
          </cell>
          <cell r="D44">
            <v>6.9160007392485526E-2</v>
          </cell>
          <cell r="E44">
            <v>0</v>
          </cell>
          <cell r="F44">
            <v>0.93083999260751449</v>
          </cell>
          <cell r="G44">
            <v>0</v>
          </cell>
        </row>
        <row r="45">
          <cell r="A45" t="str">
            <v>203 2014 10 1212 00012</v>
          </cell>
          <cell r="B45">
            <v>5</v>
          </cell>
          <cell r="C45">
            <v>42066.442152777781</v>
          </cell>
          <cell r="D45">
            <v>0.11155616929252038</v>
          </cell>
          <cell r="E45">
            <v>0</v>
          </cell>
          <cell r="F45">
            <v>0.88844383070747956</v>
          </cell>
          <cell r="G45">
            <v>0</v>
          </cell>
        </row>
        <row r="46">
          <cell r="A46" t="str">
            <v>203 2010 10 1212 00001</v>
          </cell>
          <cell r="B46">
            <v>15</v>
          </cell>
          <cell r="C46">
            <v>40433</v>
          </cell>
          <cell r="D46">
            <v>2.013515592986408E-2</v>
          </cell>
          <cell r="E46">
            <v>0</v>
          </cell>
          <cell r="F46">
            <v>0.38256796266741755</v>
          </cell>
          <cell r="G46">
            <v>0.59729688140271842</v>
          </cell>
        </row>
        <row r="47">
          <cell r="A47" t="str">
            <v>203 2013 10 1212 00004</v>
          </cell>
          <cell r="B47">
            <v>15</v>
          </cell>
          <cell r="C47">
            <v>41384.645833333336</v>
          </cell>
          <cell r="D47">
            <v>2.0206579462029521E-2</v>
          </cell>
          <cell r="E47">
            <v>0</v>
          </cell>
          <cell r="F47">
            <v>0.32330527139247234</v>
          </cell>
          <cell r="G47">
            <v>0.65648814914549813</v>
          </cell>
        </row>
        <row r="48">
          <cell r="A48" t="str">
            <v>203 2015 10 1212 00003</v>
          </cell>
          <cell r="B48">
            <v>15</v>
          </cell>
          <cell r="C48">
            <v>42107.544583333336</v>
          </cell>
          <cell r="D48">
            <v>2.31076272069227E-2</v>
          </cell>
          <cell r="E48">
            <v>0</v>
          </cell>
          <cell r="F48">
            <v>0.39745118795907064</v>
          </cell>
          <cell r="G48">
            <v>0.57944118483400664</v>
          </cell>
        </row>
        <row r="49">
          <cell r="A49" t="str">
            <v>203 2015 10 1212 00005</v>
          </cell>
          <cell r="B49">
            <v>32</v>
          </cell>
          <cell r="C49">
            <v>42213.474421296298</v>
          </cell>
          <cell r="D49">
            <v>5.9565902215354301E-2</v>
          </cell>
          <cell r="E49">
            <v>0</v>
          </cell>
          <cell r="F49">
            <v>0.83392263101496</v>
          </cell>
          <cell r="G49">
            <v>0.1065114667696857</v>
          </cell>
        </row>
        <row r="50">
          <cell r="A50" t="str">
            <v>203 2013 10 1212 00009</v>
          </cell>
          <cell r="B50">
            <v>33</v>
          </cell>
          <cell r="C50">
            <v>41374.59516203704</v>
          </cell>
          <cell r="D50">
            <v>0.18108070573789475</v>
          </cell>
          <cell r="E50">
            <v>0</v>
          </cell>
          <cell r="F50">
            <v>0.8189192942621053</v>
          </cell>
          <cell r="G50">
            <v>0</v>
          </cell>
        </row>
        <row r="51">
          <cell r="A51" t="str">
            <v>201 2012 10 1212 00004</v>
          </cell>
          <cell r="B51">
            <v>2</v>
          </cell>
          <cell r="C51">
            <v>40948.588182870371</v>
          </cell>
          <cell r="D51">
            <v>0.10605654604331205</v>
          </cell>
          <cell r="E51">
            <v>0</v>
          </cell>
          <cell r="F51">
            <v>0.89394345395668795</v>
          </cell>
          <cell r="G51">
            <v>0</v>
          </cell>
        </row>
        <row r="52">
          <cell r="A52" t="str">
            <v>201 2014 10 1212 00006</v>
          </cell>
          <cell r="B52">
            <v>5</v>
          </cell>
          <cell r="C52">
            <v>41680.597083333334</v>
          </cell>
          <cell r="D52">
            <v>6.6666666666666666E-2</v>
          </cell>
          <cell r="E52">
            <v>0</v>
          </cell>
          <cell r="F52">
            <v>0.93333333333333335</v>
          </cell>
          <cell r="G52">
            <v>0</v>
          </cell>
        </row>
        <row r="53">
          <cell r="A53" t="str">
            <v>201 2015 10 1212 00007</v>
          </cell>
          <cell r="B53">
            <v>5</v>
          </cell>
          <cell r="C53">
            <v>42029.61173611111</v>
          </cell>
          <cell r="D53">
            <v>2.8799999999999999E-2</v>
          </cell>
          <cell r="E53">
            <v>0</v>
          </cell>
          <cell r="F53">
            <v>0.414750109230765</v>
          </cell>
          <cell r="G53">
            <v>0.55644989076923501</v>
          </cell>
        </row>
        <row r="54">
          <cell r="A54" t="str">
            <v>201 2013 10 1212 00004</v>
          </cell>
          <cell r="B54">
            <v>11</v>
          </cell>
          <cell r="C54">
            <v>41415.380891203706</v>
          </cell>
          <cell r="D54">
            <v>7.2463768115942032E-2</v>
          </cell>
          <cell r="E54">
            <v>0</v>
          </cell>
          <cell r="F54">
            <v>0.92753623188405798</v>
          </cell>
          <cell r="G54">
            <v>0</v>
          </cell>
        </row>
        <row r="55">
          <cell r="A55" t="str">
            <v>201 2014 10 1212 00006</v>
          </cell>
          <cell r="B55">
            <v>11</v>
          </cell>
          <cell r="C55">
            <v>41738.38858796296</v>
          </cell>
          <cell r="D55">
            <v>6.6666666666666666E-2</v>
          </cell>
          <cell r="E55">
            <v>0</v>
          </cell>
          <cell r="F55">
            <v>0.93333333333333335</v>
          </cell>
          <cell r="G55">
            <v>0</v>
          </cell>
        </row>
        <row r="56">
          <cell r="A56" t="str">
            <v>201 2015 10 1212 00007</v>
          </cell>
          <cell r="B56">
            <v>11</v>
          </cell>
          <cell r="C56">
            <v>42191.399976851855</v>
          </cell>
          <cell r="D56">
            <v>2.8799999999999999E-2</v>
          </cell>
          <cell r="E56">
            <v>0</v>
          </cell>
          <cell r="F56">
            <v>0.414750109230765</v>
          </cell>
          <cell r="G56">
            <v>0.55644989076923501</v>
          </cell>
        </row>
        <row r="57">
          <cell r="A57" t="str">
            <v>201 2013 10 1212 00004</v>
          </cell>
          <cell r="B57">
            <v>21</v>
          </cell>
          <cell r="C57">
            <v>41460.421099537038</v>
          </cell>
          <cell r="D57">
            <v>7.2463768115942032E-2</v>
          </cell>
          <cell r="E57">
            <v>0</v>
          </cell>
          <cell r="F57">
            <v>0.92753623188405798</v>
          </cell>
          <cell r="G57">
            <v>0</v>
          </cell>
        </row>
        <row r="58">
          <cell r="A58" t="str">
            <v>201 2014 10 1212 00001</v>
          </cell>
          <cell r="B58">
            <v>21</v>
          </cell>
          <cell r="C58">
            <v>41886.602523148147</v>
          </cell>
          <cell r="D58">
            <v>2.8674022167060706E-2</v>
          </cell>
          <cell r="E58">
            <v>0</v>
          </cell>
          <cell r="F58">
            <v>0.40143631033884986</v>
          </cell>
          <cell r="G58">
            <v>0.56988966749408942</v>
          </cell>
        </row>
        <row r="59">
          <cell r="A59" t="str">
            <v>202 2015 10 1212 00004</v>
          </cell>
          <cell r="B59">
            <v>10</v>
          </cell>
          <cell r="C59">
            <v>42214.555613425924</v>
          </cell>
          <cell r="D59">
            <v>0.51759834368530022</v>
          </cell>
          <cell r="E59">
            <v>0</v>
          </cell>
          <cell r="F59">
            <v>0.48240165631469978</v>
          </cell>
          <cell r="G59">
            <v>0</v>
          </cell>
        </row>
        <row r="60">
          <cell r="A60" t="str">
            <v>202 2015 10 1212 00005</v>
          </cell>
          <cell r="B60">
            <v>11</v>
          </cell>
          <cell r="C60">
            <v>42219.689583333333</v>
          </cell>
          <cell r="D60">
            <v>0.86206896551724133</v>
          </cell>
          <cell r="E60">
            <v>0</v>
          </cell>
          <cell r="F60">
            <v>0.13793103448275862</v>
          </cell>
          <cell r="G60">
            <v>0</v>
          </cell>
        </row>
        <row r="61">
          <cell r="A61" t="str">
            <v>203 2013 10 1212 00004</v>
          </cell>
          <cell r="B61">
            <v>16</v>
          </cell>
          <cell r="C61">
            <v>41394.680555555555</v>
          </cell>
          <cell r="D61">
            <v>2.0206579462029521E-2</v>
          </cell>
          <cell r="E61">
            <v>0</v>
          </cell>
          <cell r="F61">
            <v>0.32330527139247234</v>
          </cell>
          <cell r="G61">
            <v>0.65648814914549813</v>
          </cell>
        </row>
        <row r="62">
          <cell r="A62" t="str">
            <v>203 2015 10 1212 00005</v>
          </cell>
          <cell r="B62">
            <v>34</v>
          </cell>
          <cell r="C62">
            <v>42218.634872685187</v>
          </cell>
          <cell r="D62">
            <v>5.9565902215354301E-2</v>
          </cell>
          <cell r="E62">
            <v>0</v>
          </cell>
          <cell r="F62">
            <v>0.83392263101496</v>
          </cell>
          <cell r="G62">
            <v>0.1065114667696857</v>
          </cell>
        </row>
        <row r="63">
          <cell r="A63" t="str">
            <v>203 2013 10 1212 00004</v>
          </cell>
          <cell r="B63">
            <v>35</v>
          </cell>
          <cell r="C63">
            <v>41488.613055555557</v>
          </cell>
          <cell r="D63">
            <v>2.0206579462029521E-2</v>
          </cell>
          <cell r="E63">
            <v>0</v>
          </cell>
          <cell r="F63">
            <v>0.32330527139247234</v>
          </cell>
          <cell r="G63">
            <v>0.65648814914549813</v>
          </cell>
        </row>
        <row r="64">
          <cell r="A64" t="str">
            <v>201 2015 10 1212 00001</v>
          </cell>
          <cell r="B64">
            <v>2</v>
          </cell>
          <cell r="C64">
            <v>42023.629247685189</v>
          </cell>
          <cell r="D64">
            <v>6.5397433281538561E-2</v>
          </cell>
          <cell r="E64">
            <v>0</v>
          </cell>
          <cell r="F64">
            <v>0.93460256671846142</v>
          </cell>
          <cell r="G64">
            <v>0</v>
          </cell>
        </row>
        <row r="65">
          <cell r="A65" t="str">
            <v>201 2015 10 1212 00007</v>
          </cell>
          <cell r="B65">
            <v>6</v>
          </cell>
          <cell r="C65">
            <v>42029.61619212963</v>
          </cell>
          <cell r="D65">
            <v>2.8799999999999999E-2</v>
          </cell>
          <cell r="E65">
            <v>0</v>
          </cell>
          <cell r="F65">
            <v>0.414750109230765</v>
          </cell>
          <cell r="G65">
            <v>0.55644989076923501</v>
          </cell>
        </row>
        <row r="66">
          <cell r="A66" t="str">
            <v>201 2012 10 1212 00004</v>
          </cell>
          <cell r="B66">
            <v>13</v>
          </cell>
          <cell r="C66">
            <v>41169.430567129632</v>
          </cell>
          <cell r="D66">
            <v>0.10605654604331205</v>
          </cell>
          <cell r="E66">
            <v>0</v>
          </cell>
          <cell r="F66">
            <v>0.89394345395668795</v>
          </cell>
          <cell r="G66">
            <v>0</v>
          </cell>
        </row>
        <row r="67">
          <cell r="A67" t="str">
            <v>201 2012 16 1212 00015</v>
          </cell>
          <cell r="B67">
            <v>24</v>
          </cell>
          <cell r="C67">
            <v>41256.382488425923</v>
          </cell>
          <cell r="D67">
            <v>7.3642749602937707E-2</v>
          </cell>
          <cell r="E67">
            <v>0</v>
          </cell>
          <cell r="F67">
            <v>0.92635725039706229</v>
          </cell>
          <cell r="G67">
            <v>0</v>
          </cell>
        </row>
        <row r="68">
          <cell r="A68" t="str">
            <v>201 2013 10 1212 00019</v>
          </cell>
          <cell r="B68">
            <v>24</v>
          </cell>
          <cell r="C68">
            <v>41446.382534722223</v>
          </cell>
          <cell r="D68">
            <v>0.11718494688808323</v>
          </cell>
          <cell r="E68">
            <v>0</v>
          </cell>
          <cell r="F68">
            <v>0.88281505311191677</v>
          </cell>
          <cell r="G68">
            <v>0</v>
          </cell>
        </row>
        <row r="69">
          <cell r="A69" t="str">
            <v>201 2014 10 1212 00007</v>
          </cell>
          <cell r="B69">
            <v>24</v>
          </cell>
          <cell r="C69">
            <v>41925.589571759258</v>
          </cell>
          <cell r="D69">
            <v>5.8823529411764698E-2</v>
          </cell>
          <cell r="E69">
            <v>0</v>
          </cell>
          <cell r="F69">
            <v>0.94117647058823528</v>
          </cell>
          <cell r="G69">
            <v>0</v>
          </cell>
        </row>
        <row r="70">
          <cell r="A70" t="str">
            <v>201 2015 10 1212 00018</v>
          </cell>
          <cell r="B70">
            <v>24</v>
          </cell>
          <cell r="C70">
            <v>42325.666817129626</v>
          </cell>
          <cell r="D70">
            <v>0.25</v>
          </cell>
          <cell r="E70">
            <v>0</v>
          </cell>
          <cell r="F70">
            <v>0.25838030258083655</v>
          </cell>
          <cell r="G70">
            <v>0</v>
          </cell>
        </row>
        <row r="71">
          <cell r="A71" t="str">
            <v>202 2012 10 1212 00009</v>
          </cell>
          <cell r="B71">
            <v>3</v>
          </cell>
          <cell r="C71">
            <v>41405.145856481482</v>
          </cell>
          <cell r="D71">
            <v>0.61274509803921573</v>
          </cell>
          <cell r="E71">
            <v>0</v>
          </cell>
          <cell r="F71">
            <v>0.38725490196078427</v>
          </cell>
          <cell r="G71">
            <v>0</v>
          </cell>
        </row>
        <row r="72">
          <cell r="A72" t="str">
            <v>202 2014 10 1212 00005</v>
          </cell>
          <cell r="B72">
            <v>3</v>
          </cell>
          <cell r="C72">
            <v>41863.476655092592</v>
          </cell>
          <cell r="D72">
            <v>0.75</v>
          </cell>
          <cell r="E72">
            <v>0</v>
          </cell>
          <cell r="F72">
            <v>0.25</v>
          </cell>
          <cell r="G72">
            <v>0</v>
          </cell>
        </row>
        <row r="73">
          <cell r="A73" t="str">
            <v>202 2015 10 1212 00008</v>
          </cell>
          <cell r="B73">
            <v>3</v>
          </cell>
          <cell r="C73">
            <v>42071.614583333336</v>
          </cell>
          <cell r="D73">
            <v>0.27379531968513304</v>
          </cell>
          <cell r="E73">
            <v>0</v>
          </cell>
          <cell r="F73">
            <v>0.72620468031486696</v>
          </cell>
          <cell r="G73">
            <v>0</v>
          </cell>
        </row>
        <row r="74">
          <cell r="A74" t="str">
            <v>202 2015 10 1212 00006</v>
          </cell>
          <cell r="B74">
            <v>15</v>
          </cell>
          <cell r="C74">
            <v>42302.496111111112</v>
          </cell>
          <cell r="D74">
            <v>0.51545221835459865</v>
          </cell>
          <cell r="E74">
            <v>0</v>
          </cell>
          <cell r="F74">
            <v>0.48454778164540135</v>
          </cell>
          <cell r="G74">
            <v>0</v>
          </cell>
        </row>
        <row r="75">
          <cell r="A75" t="str">
            <v>203 2015 10 1212 00005</v>
          </cell>
          <cell r="B75">
            <v>18</v>
          </cell>
          <cell r="C75">
            <v>42127.541574074072</v>
          </cell>
          <cell r="D75">
            <v>5.9565902215354301E-2</v>
          </cell>
          <cell r="E75">
            <v>0</v>
          </cell>
          <cell r="F75">
            <v>0.83392263101496</v>
          </cell>
          <cell r="G75">
            <v>0.1065114667696857</v>
          </cell>
        </row>
        <row r="76">
          <cell r="A76" t="str">
            <v>203 2015 10 1212 00005</v>
          </cell>
          <cell r="B76">
            <v>37</v>
          </cell>
          <cell r="C76">
            <v>42249.385162037041</v>
          </cell>
          <cell r="D76">
            <v>5.9565902215354301E-2</v>
          </cell>
          <cell r="E76">
            <v>0</v>
          </cell>
          <cell r="F76">
            <v>0.83392263101496</v>
          </cell>
          <cell r="G76">
            <v>0.1065114667696857</v>
          </cell>
        </row>
        <row r="77">
          <cell r="A77" t="str">
            <v>201 2013 10 1212 00004</v>
          </cell>
          <cell r="B77">
            <v>5</v>
          </cell>
          <cell r="C77">
            <v>41350.387407407405</v>
          </cell>
          <cell r="D77">
            <v>7.2463768115942032E-2</v>
          </cell>
          <cell r="E77">
            <v>0</v>
          </cell>
          <cell r="F77">
            <v>0.92753623188405798</v>
          </cell>
          <cell r="G77">
            <v>0</v>
          </cell>
        </row>
        <row r="78">
          <cell r="A78" t="str">
            <v>201 2012 10 1212 00005</v>
          </cell>
          <cell r="B78">
            <v>11</v>
          </cell>
          <cell r="C78">
            <v>41141.418206018519</v>
          </cell>
          <cell r="D78">
            <v>7.3642749602937707E-2</v>
          </cell>
          <cell r="E78">
            <v>0</v>
          </cell>
          <cell r="F78">
            <v>0.92635725039706229</v>
          </cell>
          <cell r="G78">
            <v>0</v>
          </cell>
        </row>
        <row r="79">
          <cell r="A79" t="str">
            <v>201 2014 10 1212 00007</v>
          </cell>
          <cell r="B79">
            <v>20</v>
          </cell>
          <cell r="C79">
            <v>41852.461064814815</v>
          </cell>
          <cell r="D79">
            <v>5.8823529411764698E-2</v>
          </cell>
          <cell r="E79">
            <v>0</v>
          </cell>
          <cell r="F79">
            <v>0.94117647058823528</v>
          </cell>
          <cell r="G79">
            <v>0</v>
          </cell>
        </row>
        <row r="80">
          <cell r="A80" t="str">
            <v>201 2015 10 1212 00003</v>
          </cell>
          <cell r="B80">
            <v>20</v>
          </cell>
          <cell r="C80">
            <v>42297.378530092596</v>
          </cell>
          <cell r="D80">
            <v>0.11717994853980247</v>
          </cell>
          <cell r="E80">
            <v>0</v>
          </cell>
          <cell r="F80">
            <v>0.88282005146019749</v>
          </cell>
          <cell r="G80">
            <v>0</v>
          </cell>
        </row>
        <row r="81">
          <cell r="A81" t="str">
            <v>201 2013 10 1212 00015</v>
          </cell>
          <cell r="B81">
            <v>34</v>
          </cell>
          <cell r="C81">
            <v>41536.401342592595</v>
          </cell>
          <cell r="D81">
            <v>0.15175409523601405</v>
          </cell>
          <cell r="E81">
            <v>0</v>
          </cell>
          <cell r="F81">
            <v>0.84824590476398598</v>
          </cell>
          <cell r="G81">
            <v>0</v>
          </cell>
        </row>
        <row r="82">
          <cell r="A82" t="str">
            <v>202 2012 10 1212 00002</v>
          </cell>
          <cell r="B82">
            <v>9</v>
          </cell>
          <cell r="C82">
            <v>41181.475497685184</v>
          </cell>
          <cell r="D82">
            <v>7.386615452799529E-2</v>
          </cell>
          <cell r="E82">
            <v>0</v>
          </cell>
          <cell r="F82">
            <v>0.92613384547200472</v>
          </cell>
          <cell r="G82">
            <v>0</v>
          </cell>
        </row>
        <row r="83">
          <cell r="A83" t="str">
            <v>202 2015 10 1212 00005</v>
          </cell>
          <cell r="B83">
            <v>9</v>
          </cell>
          <cell r="C83">
            <v>42196.394560185188</v>
          </cell>
          <cell r="D83">
            <v>0.86206896551724133</v>
          </cell>
          <cell r="E83">
            <v>0</v>
          </cell>
          <cell r="F83">
            <v>0.13793103448275862</v>
          </cell>
          <cell r="G83">
            <v>0</v>
          </cell>
        </row>
        <row r="84">
          <cell r="A84" t="str">
            <v>203 2013 10 1212 00002</v>
          </cell>
          <cell r="B84">
            <v>2</v>
          </cell>
          <cell r="C84">
            <v>41312.672233796293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</row>
        <row r="85">
          <cell r="A85" t="str">
            <v>203 2011 10 1212 00002</v>
          </cell>
          <cell r="B85">
            <v>7</v>
          </cell>
          <cell r="C85">
            <v>40706</v>
          </cell>
          <cell r="D85">
            <v>0.29682374946065454</v>
          </cell>
          <cell r="E85">
            <v>0</v>
          </cell>
          <cell r="F85">
            <v>0.70317625053934552</v>
          </cell>
          <cell r="G85">
            <v>0</v>
          </cell>
        </row>
        <row r="86">
          <cell r="A86" t="str">
            <v>203 2015 10 1212 00005</v>
          </cell>
          <cell r="B86">
            <v>19</v>
          </cell>
          <cell r="C86">
            <v>42121.573078703703</v>
          </cell>
          <cell r="D86">
            <v>5.9565902215354301E-2</v>
          </cell>
          <cell r="E86">
            <v>0</v>
          </cell>
          <cell r="F86">
            <v>0.83392263101496</v>
          </cell>
          <cell r="G86">
            <v>0.1065114667696857</v>
          </cell>
        </row>
        <row r="87">
          <cell r="A87" t="str">
            <v>203 2012 10 1212 00004</v>
          </cell>
          <cell r="B87">
            <v>39</v>
          </cell>
          <cell r="C87">
            <v>41273.383020833331</v>
          </cell>
          <cell r="D87">
            <v>0.10190846484248681</v>
          </cell>
          <cell r="E87">
            <v>0</v>
          </cell>
          <cell r="F87">
            <v>0.89809153515751317</v>
          </cell>
          <cell r="G87">
            <v>0</v>
          </cell>
        </row>
        <row r="88">
          <cell r="A88" t="str">
            <v>203 2013 10 1212 00002</v>
          </cell>
          <cell r="B88">
            <v>39</v>
          </cell>
          <cell r="C88">
            <v>41504.496099537035</v>
          </cell>
          <cell r="D88">
            <v>1</v>
          </cell>
          <cell r="E88">
            <v>0</v>
          </cell>
          <cell r="F88">
            <v>0</v>
          </cell>
          <cell r="G88">
            <v>0</v>
          </cell>
        </row>
        <row r="89">
          <cell r="A89" t="str">
            <v>203 2015 10 1212 00005</v>
          </cell>
          <cell r="B89">
            <v>39</v>
          </cell>
          <cell r="C89">
            <v>42243.543437499997</v>
          </cell>
          <cell r="D89">
            <v>5.9565902215354301E-2</v>
          </cell>
          <cell r="E89">
            <v>0</v>
          </cell>
          <cell r="F89">
            <v>0.83392263101496</v>
          </cell>
          <cell r="G89">
            <v>0.1065114667696857</v>
          </cell>
        </row>
        <row r="90">
          <cell r="A90" t="str">
            <v>201 2014 10 1212 00004</v>
          </cell>
          <cell r="B90">
            <v>2</v>
          </cell>
          <cell r="C90">
            <v>41645.585381944446</v>
          </cell>
          <cell r="D90">
            <v>0.11839683618058792</v>
          </cell>
          <cell r="E90">
            <v>0</v>
          </cell>
          <cell r="F90">
            <v>0.88160316381941206</v>
          </cell>
          <cell r="G90">
            <v>0</v>
          </cell>
        </row>
        <row r="91">
          <cell r="A91" t="str">
            <v>201 2013 10 1212 00004</v>
          </cell>
          <cell r="B91">
            <v>12</v>
          </cell>
          <cell r="C91">
            <v>41415.384791666664</v>
          </cell>
          <cell r="D91">
            <v>7.2463768115942032E-2</v>
          </cell>
          <cell r="E91">
            <v>0</v>
          </cell>
          <cell r="F91">
            <v>0.92753623188405798</v>
          </cell>
          <cell r="G91">
            <v>0</v>
          </cell>
        </row>
        <row r="92">
          <cell r="A92" t="str">
            <v>201 2014 10 1212 00001</v>
          </cell>
          <cell r="B92">
            <v>23</v>
          </cell>
          <cell r="C92">
            <v>41924.44295138889</v>
          </cell>
          <cell r="D92">
            <v>2.8674022167060706E-2</v>
          </cell>
          <cell r="E92">
            <v>0</v>
          </cell>
          <cell r="F92">
            <v>0.40143631033884986</v>
          </cell>
          <cell r="G92">
            <v>0.56988966749408942</v>
          </cell>
        </row>
        <row r="93">
          <cell r="A93" t="str">
            <v>202 2015 10 1212 00005</v>
          </cell>
          <cell r="B93">
            <v>2</v>
          </cell>
          <cell r="C93">
            <v>42096.610810185186</v>
          </cell>
          <cell r="D93">
            <v>0.86206896551724133</v>
          </cell>
          <cell r="E93">
            <v>0</v>
          </cell>
          <cell r="F93">
            <v>0.13793103448275862</v>
          </cell>
          <cell r="G93">
            <v>0</v>
          </cell>
        </row>
        <row r="94">
          <cell r="A94" t="str">
            <v>202 2015 14 1212 00008</v>
          </cell>
          <cell r="B94">
            <v>13</v>
          </cell>
          <cell r="C94">
            <v>42255.565069444441</v>
          </cell>
          <cell r="D94">
            <v>0.27379531968513304</v>
          </cell>
          <cell r="E94">
            <v>0</v>
          </cell>
          <cell r="F94">
            <v>0.72620468031486696</v>
          </cell>
          <cell r="G94">
            <v>0</v>
          </cell>
        </row>
        <row r="95">
          <cell r="A95" t="str">
            <v>203 2015 10 1212 00005</v>
          </cell>
          <cell r="B95">
            <v>9</v>
          </cell>
          <cell r="C95">
            <v>42076.600092592591</v>
          </cell>
          <cell r="D95">
            <v>5.9565902215354301E-2</v>
          </cell>
          <cell r="E95">
            <v>0</v>
          </cell>
          <cell r="F95">
            <v>0.83392263101496</v>
          </cell>
          <cell r="G95">
            <v>0.1065114667696857</v>
          </cell>
        </row>
        <row r="96">
          <cell r="A96" t="str">
            <v>203 2014 11 1212 00013</v>
          </cell>
          <cell r="B96">
            <v>23</v>
          </cell>
          <cell r="C96">
            <v>42156.43136574074</v>
          </cell>
          <cell r="D96">
            <v>0.17038277082944103</v>
          </cell>
          <cell r="E96">
            <v>0</v>
          </cell>
          <cell r="F96">
            <v>0.82961722917055902</v>
          </cell>
          <cell r="G96">
            <v>0</v>
          </cell>
        </row>
        <row r="97">
          <cell r="A97" t="str">
            <v>203 2013 10 1212 00002</v>
          </cell>
          <cell r="B97">
            <v>24</v>
          </cell>
          <cell r="C97">
            <v>41420.382106481484</v>
          </cell>
          <cell r="D97">
            <v>1</v>
          </cell>
          <cell r="E97">
            <v>0</v>
          </cell>
          <cell r="F97">
            <v>0</v>
          </cell>
          <cell r="G97">
            <v>0</v>
          </cell>
        </row>
        <row r="98">
          <cell r="A98" t="str">
            <v>203 2014 10 1212 00004</v>
          </cell>
          <cell r="B98">
            <v>24</v>
          </cell>
          <cell r="C98">
            <v>41711.599953703706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</row>
        <row r="99">
          <cell r="A99" t="str">
            <v>203 2015 10 1212 00005</v>
          </cell>
          <cell r="B99">
            <v>24</v>
          </cell>
          <cell r="C99">
            <v>42155.504340277781</v>
          </cell>
          <cell r="D99">
            <v>5.9565902215354301E-2</v>
          </cell>
          <cell r="E99">
            <v>0</v>
          </cell>
          <cell r="F99">
            <v>0.83392263101496</v>
          </cell>
          <cell r="G99">
            <v>0.1065114667696857</v>
          </cell>
        </row>
        <row r="100">
          <cell r="A100" t="str">
            <v>203 2015 10 1212 00005</v>
          </cell>
          <cell r="B100">
            <v>45</v>
          </cell>
          <cell r="C100">
            <v>42278.456493055557</v>
          </cell>
          <cell r="D100">
            <v>5.9565902215354301E-2</v>
          </cell>
          <cell r="E100">
            <v>0</v>
          </cell>
          <cell r="F100">
            <v>0.83392263101496</v>
          </cell>
          <cell r="G100">
            <v>0.1065114667696857</v>
          </cell>
        </row>
        <row r="101">
          <cell r="A101" t="str">
            <v>203 2013 10 1212 00002</v>
          </cell>
          <cell r="B101">
            <v>46</v>
          </cell>
          <cell r="C101">
            <v>41560.459803240738</v>
          </cell>
          <cell r="D101">
            <v>1</v>
          </cell>
          <cell r="E101">
            <v>0</v>
          </cell>
          <cell r="F101">
            <v>0</v>
          </cell>
          <cell r="G101">
            <v>0</v>
          </cell>
        </row>
        <row r="102">
          <cell r="A102" t="str">
            <v>201 2013 10 1212 00015</v>
          </cell>
          <cell r="B102">
            <v>28</v>
          </cell>
          <cell r="C102">
            <v>41497.467650462961</v>
          </cell>
          <cell r="D102">
            <v>0.15175409523601405</v>
          </cell>
          <cell r="E102">
            <v>0</v>
          </cell>
          <cell r="F102">
            <v>0.84824590476398598</v>
          </cell>
          <cell r="G102">
            <v>0</v>
          </cell>
        </row>
        <row r="103">
          <cell r="A103" t="str">
            <v>201 2014 10 1212 00007</v>
          </cell>
          <cell r="B103">
            <v>28</v>
          </cell>
          <cell r="C103">
            <v>41977.438935185186</v>
          </cell>
          <cell r="D103">
            <v>5.8823529411764698E-2</v>
          </cell>
          <cell r="E103">
            <v>0</v>
          </cell>
          <cell r="F103">
            <v>0.94117647058823528</v>
          </cell>
          <cell r="G103">
            <v>0</v>
          </cell>
        </row>
        <row r="104">
          <cell r="A104" t="str">
            <v>202 2012 11 1212 00006</v>
          </cell>
          <cell r="B104">
            <v>6</v>
          </cell>
          <cell r="C104">
            <v>41074.449363425927</v>
          </cell>
          <cell r="D104">
            <v>1</v>
          </cell>
          <cell r="E104">
            <v>0</v>
          </cell>
          <cell r="F104">
            <v>0</v>
          </cell>
          <cell r="G104">
            <v>0</v>
          </cell>
        </row>
        <row r="105">
          <cell r="A105" t="str">
            <v>201 2013 10 1212 00004</v>
          </cell>
          <cell r="B105">
            <v>13</v>
          </cell>
          <cell r="C105">
            <v>41416.416250000002</v>
          </cell>
          <cell r="D105">
            <v>7.2463768115942032E-2</v>
          </cell>
          <cell r="E105">
            <v>0</v>
          </cell>
          <cell r="F105">
            <v>0.92753623188405798</v>
          </cell>
          <cell r="G105">
            <v>0</v>
          </cell>
        </row>
        <row r="106">
          <cell r="A106" t="str">
            <v>201 2014 10 1212 00010</v>
          </cell>
          <cell r="B106">
            <v>13</v>
          </cell>
          <cell r="C106">
            <v>41665.355613425927</v>
          </cell>
          <cell r="D106">
            <v>0.11718494688808323</v>
          </cell>
          <cell r="E106">
            <v>0</v>
          </cell>
          <cell r="F106">
            <v>0.88281505311191677</v>
          </cell>
          <cell r="G106">
            <v>0</v>
          </cell>
        </row>
        <row r="107">
          <cell r="A107" t="str">
            <v>201 2013 10 1212 00007</v>
          </cell>
          <cell r="B107">
            <v>25</v>
          </cell>
          <cell r="C107">
            <v>41422.41578703704</v>
          </cell>
          <cell r="D107">
            <v>0.28996487511877078</v>
          </cell>
          <cell r="E107">
            <v>0</v>
          </cell>
          <cell r="F107">
            <v>0.71003512488122922</v>
          </cell>
          <cell r="G107">
            <v>0</v>
          </cell>
        </row>
        <row r="108">
          <cell r="A108" t="str">
            <v>201 2014 10 1212 00010</v>
          </cell>
          <cell r="B108">
            <v>25</v>
          </cell>
          <cell r="C108">
            <v>41934.415925925925</v>
          </cell>
          <cell r="D108">
            <v>0.11718494688808323</v>
          </cell>
          <cell r="E108">
            <v>0</v>
          </cell>
          <cell r="F108">
            <v>0.88281505311191677</v>
          </cell>
          <cell r="G108">
            <v>0</v>
          </cell>
        </row>
        <row r="109">
          <cell r="A109" t="str">
            <v>202 2013 12 1212 00015</v>
          </cell>
          <cell r="B109">
            <v>4</v>
          </cell>
          <cell r="C109">
            <v>41288.647777777776</v>
          </cell>
          <cell r="D109">
            <v>7.386615452799529E-2</v>
          </cell>
          <cell r="E109">
            <v>0</v>
          </cell>
          <cell r="F109">
            <v>0.92613384547200472</v>
          </cell>
          <cell r="G109">
            <v>0</v>
          </cell>
        </row>
        <row r="110">
          <cell r="A110" t="str">
            <v>202 2014 15 1212 00013</v>
          </cell>
          <cell r="B110">
            <v>4</v>
          </cell>
          <cell r="C110">
            <v>41855.522777777776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</row>
        <row r="111">
          <cell r="A111" t="str">
            <v>203 2015 10 1212 00001</v>
          </cell>
          <cell r="B111">
            <v>3</v>
          </cell>
          <cell r="C111">
            <v>42055.440289351849</v>
          </cell>
          <cell r="D111">
            <v>1</v>
          </cell>
          <cell r="E111">
            <v>0</v>
          </cell>
          <cell r="F111">
            <v>0</v>
          </cell>
          <cell r="G111">
            <v>0</v>
          </cell>
        </row>
        <row r="112">
          <cell r="A112" t="str">
            <v>203 2015 10 1212 00003</v>
          </cell>
          <cell r="B112">
            <v>4</v>
          </cell>
          <cell r="C112">
            <v>42057.588969907411</v>
          </cell>
          <cell r="D112">
            <v>2.31076272069227E-2</v>
          </cell>
          <cell r="E112">
            <v>0</v>
          </cell>
          <cell r="F112">
            <v>0.39745118795907064</v>
          </cell>
          <cell r="G112">
            <v>0.57944118483400664</v>
          </cell>
        </row>
        <row r="113">
          <cell r="A113" t="str">
            <v>203 2011 10 1212 00001</v>
          </cell>
          <cell r="B113">
            <v>13</v>
          </cell>
          <cell r="C113">
            <v>40846.430231481485</v>
          </cell>
          <cell r="D113">
            <v>9.8538667104225187E-3</v>
          </cell>
          <cell r="E113">
            <v>0</v>
          </cell>
          <cell r="F113">
            <v>0.18722346749802787</v>
          </cell>
          <cell r="G113">
            <v>0.80292266579154958</v>
          </cell>
        </row>
        <row r="114">
          <cell r="A114" t="str">
            <v>203 2015 10 1212 00006</v>
          </cell>
          <cell r="B114">
            <v>13</v>
          </cell>
          <cell r="C114">
            <v>42010.451180555552</v>
          </cell>
          <cell r="D114">
            <v>0.19400920096068436</v>
          </cell>
          <cell r="E114">
            <v>0</v>
          </cell>
          <cell r="F114">
            <v>0.8059907990393157</v>
          </cell>
          <cell r="G114">
            <v>0</v>
          </cell>
        </row>
        <row r="115">
          <cell r="A115" t="str">
            <v>203 2015 10 1212 00003</v>
          </cell>
          <cell r="B115">
            <v>28</v>
          </cell>
          <cell r="C115">
            <v>42194.489942129629</v>
          </cell>
          <cell r="D115">
            <v>2.31076272069227E-2</v>
          </cell>
          <cell r="E115">
            <v>0</v>
          </cell>
          <cell r="F115">
            <v>0.39745118795907064</v>
          </cell>
          <cell r="G115">
            <v>0.57944118483400664</v>
          </cell>
        </row>
        <row r="116">
          <cell r="A116" t="str">
            <v>203 2013 10 1212 00004</v>
          </cell>
          <cell r="B116">
            <v>29</v>
          </cell>
          <cell r="C116">
            <v>41436.594513888886</v>
          </cell>
          <cell r="D116">
            <v>2.0206579462029521E-2</v>
          </cell>
          <cell r="E116">
            <v>0</v>
          </cell>
          <cell r="F116">
            <v>0.32330527139247234</v>
          </cell>
          <cell r="G116">
            <v>0.65648814914549813</v>
          </cell>
        </row>
        <row r="117">
          <cell r="A117" t="str">
            <v>203 2015 10 1212 00005</v>
          </cell>
          <cell r="B117">
            <v>29</v>
          </cell>
          <cell r="C117">
            <v>42185.652175925927</v>
          </cell>
          <cell r="D117">
            <v>5.9565902215354301E-2</v>
          </cell>
          <cell r="E117">
            <v>0</v>
          </cell>
          <cell r="F117">
            <v>0.83392263101496</v>
          </cell>
          <cell r="G117">
            <v>0.1065114667696857</v>
          </cell>
        </row>
        <row r="118">
          <cell r="A118" t="str">
            <v>203 2014 10 1212 00002</v>
          </cell>
          <cell r="B118">
            <v>50</v>
          </cell>
          <cell r="C118">
            <v>41772.411562499998</v>
          </cell>
          <cell r="D118">
            <v>6.9160007392485526E-2</v>
          </cell>
          <cell r="E118">
            <v>0</v>
          </cell>
          <cell r="F118">
            <v>0.93083999260751449</v>
          </cell>
          <cell r="G118">
            <v>0</v>
          </cell>
        </row>
        <row r="119">
          <cell r="A119" t="str">
            <v>203 2015 10 1212 00003</v>
          </cell>
          <cell r="B119">
            <v>50</v>
          </cell>
          <cell r="C119">
            <v>42296.602430555555</v>
          </cell>
          <cell r="D119">
            <v>2.31076272069227E-2</v>
          </cell>
          <cell r="E119">
            <v>0</v>
          </cell>
          <cell r="F119">
            <v>0.39745118795907064</v>
          </cell>
          <cell r="G119">
            <v>0.57944118483400664</v>
          </cell>
        </row>
        <row r="120">
          <cell r="A120" t="str">
            <v>201 2015 10 1212 00001</v>
          </cell>
          <cell r="B120">
            <v>3</v>
          </cell>
          <cell r="C120">
            <v>42049.356273148151</v>
          </cell>
          <cell r="D120">
            <v>6.5397433281538561E-2</v>
          </cell>
          <cell r="E120">
            <v>0</v>
          </cell>
          <cell r="F120">
            <v>0.93460256671846142</v>
          </cell>
          <cell r="G120">
            <v>0</v>
          </cell>
        </row>
        <row r="121">
          <cell r="A121" t="str">
            <v>201 2014 10 1212 00006</v>
          </cell>
          <cell r="B121">
            <v>7</v>
          </cell>
          <cell r="C121">
            <v>41707.539050925923</v>
          </cell>
          <cell r="D121">
            <v>6.6666666666666666E-2</v>
          </cell>
          <cell r="E121">
            <v>0</v>
          </cell>
          <cell r="F121">
            <v>0.93333333333333335</v>
          </cell>
          <cell r="G121">
            <v>0</v>
          </cell>
        </row>
        <row r="122">
          <cell r="A122" t="str">
            <v>206 2015 10 1221 00005</v>
          </cell>
          <cell r="B122">
            <v>1</v>
          </cell>
          <cell r="C122">
            <v>42036.649548611109</v>
          </cell>
          <cell r="D122">
            <v>0.1855976243504083</v>
          </cell>
          <cell r="E122">
            <v>0</v>
          </cell>
          <cell r="F122">
            <v>0.81440237564959173</v>
          </cell>
          <cell r="G122">
            <v>0</v>
          </cell>
        </row>
        <row r="123">
          <cell r="A123" t="str">
            <v>201 2014 10 1221 00015</v>
          </cell>
          <cell r="B123">
            <v>1</v>
          </cell>
          <cell r="C123">
            <v>42106.576249999998</v>
          </cell>
          <cell r="D123">
            <v>0.33867093171678742</v>
          </cell>
          <cell r="E123">
            <v>0</v>
          </cell>
          <cell r="F123">
            <v>0.66132906828321258</v>
          </cell>
          <cell r="G123">
            <v>0</v>
          </cell>
        </row>
        <row r="124">
          <cell r="A124" t="str">
            <v>206 2015 10 1221 00005</v>
          </cell>
          <cell r="B124">
            <v>4</v>
          </cell>
          <cell r="C124">
            <v>42138</v>
          </cell>
          <cell r="D124">
            <v>0.1855976243504083</v>
          </cell>
          <cell r="E124">
            <v>0</v>
          </cell>
          <cell r="F124">
            <v>0.81440237564959173</v>
          </cell>
          <cell r="G124">
            <v>0</v>
          </cell>
        </row>
        <row r="125">
          <cell r="A125" t="str">
            <v>206 2014 10 1221 00007</v>
          </cell>
          <cell r="B125">
            <v>5</v>
          </cell>
          <cell r="C125">
            <v>41969.459120370368</v>
          </cell>
          <cell r="D125">
            <v>0.37202380952380953</v>
          </cell>
          <cell r="E125">
            <v>0</v>
          </cell>
          <cell r="F125">
            <v>0.62797619047619047</v>
          </cell>
          <cell r="G125">
            <v>0</v>
          </cell>
        </row>
        <row r="126">
          <cell r="A126" t="str">
            <v>502 2015 10 1221 00007</v>
          </cell>
          <cell r="B126">
            <v>1</v>
          </cell>
          <cell r="C126">
            <v>42074.6875</v>
          </cell>
          <cell r="D126">
            <v>0.37103038824780704</v>
          </cell>
          <cell r="E126">
            <v>0</v>
          </cell>
          <cell r="F126">
            <v>0.62896961175219301</v>
          </cell>
          <cell r="G126">
            <v>0</v>
          </cell>
        </row>
        <row r="127">
          <cell r="A127" t="str">
            <v>206 2014 10 1221 00010</v>
          </cell>
          <cell r="B127">
            <v>1</v>
          </cell>
          <cell r="C127">
            <v>41727</v>
          </cell>
          <cell r="D127">
            <v>0.59523809523809523</v>
          </cell>
          <cell r="E127">
            <v>0</v>
          </cell>
          <cell r="F127">
            <v>0.40476190476190477</v>
          </cell>
          <cell r="G127">
            <v>0</v>
          </cell>
        </row>
        <row r="128">
          <cell r="A128" t="str">
            <v>502 2011 10 1221 00002</v>
          </cell>
          <cell r="B128">
            <v>2</v>
          </cell>
          <cell r="C128">
            <v>40577</v>
          </cell>
          <cell r="D128">
            <v>1</v>
          </cell>
          <cell r="E128">
            <v>0</v>
          </cell>
          <cell r="F128">
            <v>0</v>
          </cell>
          <cell r="G128">
            <v>0</v>
          </cell>
        </row>
        <row r="129">
          <cell r="A129" t="str">
            <v>207 2014 10 1221 00004</v>
          </cell>
          <cell r="B129">
            <v>1</v>
          </cell>
          <cell r="C129">
            <v>41956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</row>
        <row r="130">
          <cell r="A130" t="str">
            <v>207 2015 10 1221 00001</v>
          </cell>
          <cell r="B130">
            <v>1</v>
          </cell>
          <cell r="C130">
            <v>42111.416666666664</v>
          </cell>
          <cell r="D130">
            <v>1</v>
          </cell>
          <cell r="E130">
            <v>0</v>
          </cell>
          <cell r="F130">
            <v>0</v>
          </cell>
          <cell r="G130">
            <v>0</v>
          </cell>
        </row>
        <row r="131">
          <cell r="A131" t="str">
            <v>203 2014 11 1221 00003</v>
          </cell>
          <cell r="B131">
            <v>3</v>
          </cell>
          <cell r="C131">
            <v>41872.580381944441</v>
          </cell>
          <cell r="D131">
            <v>1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206 2015 10 1221 00007</v>
          </cell>
          <cell r="B132">
            <v>5</v>
          </cell>
          <cell r="C132">
            <v>42086.587256944447</v>
          </cell>
          <cell r="D132">
            <v>0.19405417992703564</v>
          </cell>
          <cell r="E132">
            <v>0</v>
          </cell>
          <cell r="F132">
            <v>0.80594582007296434</v>
          </cell>
          <cell r="G132">
            <v>0</v>
          </cell>
        </row>
        <row r="133">
          <cell r="A133" t="str">
            <v>505 2015 10 1221 00004</v>
          </cell>
          <cell r="B133">
            <v>4</v>
          </cell>
          <cell r="C133">
            <v>42064.388171296298</v>
          </cell>
          <cell r="D133">
            <v>5.4945054945054944E-2</v>
          </cell>
          <cell r="E133">
            <v>0</v>
          </cell>
          <cell r="F133">
            <v>0.94505494505494503</v>
          </cell>
          <cell r="G133">
            <v>0</v>
          </cell>
        </row>
        <row r="134">
          <cell r="A134" t="str">
            <v>505 2015 10 1221 00006</v>
          </cell>
          <cell r="B134">
            <v>9</v>
          </cell>
          <cell r="C134">
            <v>42201.416666666664</v>
          </cell>
          <cell r="D134">
            <v>1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402 2014 10 1221 00002</v>
          </cell>
          <cell r="B135">
            <v>2</v>
          </cell>
          <cell r="C135">
            <v>41714.791886574072</v>
          </cell>
          <cell r="D135">
            <v>1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201 2014 10 1221 00001</v>
          </cell>
          <cell r="B136">
            <v>3</v>
          </cell>
          <cell r="C136">
            <v>41825.5</v>
          </cell>
          <cell r="D136">
            <v>0.23126734505087881</v>
          </cell>
          <cell r="E136">
            <v>0</v>
          </cell>
          <cell r="F136">
            <v>0.76873265494912113</v>
          </cell>
          <cell r="G136">
            <v>0</v>
          </cell>
        </row>
        <row r="137">
          <cell r="A137" t="str">
            <v>201 2015 10 1221 00005</v>
          </cell>
          <cell r="B137">
            <v>3</v>
          </cell>
          <cell r="C137">
            <v>42319.428622685184</v>
          </cell>
          <cell r="D137">
            <v>0.1702305541144459</v>
          </cell>
          <cell r="E137">
            <v>0</v>
          </cell>
          <cell r="F137">
            <v>0.82976944588555412</v>
          </cell>
          <cell r="G137">
            <v>0</v>
          </cell>
        </row>
        <row r="138">
          <cell r="A138" t="str">
            <v>505 2015 10 1221 00004</v>
          </cell>
          <cell r="B138">
            <v>6</v>
          </cell>
          <cell r="C138">
            <v>42135</v>
          </cell>
          <cell r="D138">
            <v>5.4945054945054944E-2</v>
          </cell>
          <cell r="E138">
            <v>0</v>
          </cell>
          <cell r="F138">
            <v>0.94505494505494503</v>
          </cell>
          <cell r="G138">
            <v>0</v>
          </cell>
        </row>
        <row r="139">
          <cell r="A139" t="str">
            <v>505 2015 10 1221 00020</v>
          </cell>
          <cell r="B139">
            <v>12</v>
          </cell>
          <cell r="C139">
            <v>42292.467488425929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505 2015 10 1221 00004</v>
          </cell>
          <cell r="B140">
            <v>13</v>
          </cell>
          <cell r="C140">
            <v>42292</v>
          </cell>
          <cell r="D140">
            <v>5.4945054945054944E-2</v>
          </cell>
          <cell r="E140">
            <v>0</v>
          </cell>
          <cell r="F140">
            <v>0.94505494505494503</v>
          </cell>
          <cell r="G140">
            <v>0</v>
          </cell>
        </row>
        <row r="141">
          <cell r="A141" t="str">
            <v>505 2015 10 1221 00004</v>
          </cell>
          <cell r="B141">
            <v>14</v>
          </cell>
          <cell r="C141">
            <v>42298.68</v>
          </cell>
          <cell r="D141">
            <v>5.4945054945054944E-2</v>
          </cell>
          <cell r="E141">
            <v>0</v>
          </cell>
          <cell r="F141">
            <v>0.94505494505494503</v>
          </cell>
          <cell r="G141">
            <v>0</v>
          </cell>
        </row>
        <row r="142">
          <cell r="A142" t="str">
            <v>505 2015 10 1221 00004</v>
          </cell>
          <cell r="B142">
            <v>23</v>
          </cell>
          <cell r="C142">
            <v>42353.618796296294</v>
          </cell>
          <cell r="D142">
            <v>5.4945054945054944E-2</v>
          </cell>
          <cell r="E142">
            <v>0</v>
          </cell>
          <cell r="F142">
            <v>0.94505494505494503</v>
          </cell>
          <cell r="G142">
            <v>0</v>
          </cell>
        </row>
        <row r="143">
          <cell r="A143" t="str">
            <v>505 2015 10 1221 00004</v>
          </cell>
          <cell r="B143">
            <v>24</v>
          </cell>
          <cell r="C143">
            <v>42355.365358796298</v>
          </cell>
          <cell r="D143">
            <v>5.4945054945054944E-2</v>
          </cell>
          <cell r="E143">
            <v>0</v>
          </cell>
          <cell r="F143">
            <v>0.94505494505494503</v>
          </cell>
          <cell r="G143">
            <v>0</v>
          </cell>
        </row>
        <row r="144">
          <cell r="A144" t="str">
            <v>205 2012 10 1221 00014</v>
          </cell>
          <cell r="B144">
            <v>1</v>
          </cell>
          <cell r="C144">
            <v>41546.675000000003</v>
          </cell>
          <cell r="D144">
            <v>1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205 2015 10 1221 00005</v>
          </cell>
          <cell r="B145">
            <v>1</v>
          </cell>
          <cell r="C145">
            <v>42026.532939814817</v>
          </cell>
          <cell r="D145">
            <v>1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205 2013 10 1221 00003</v>
          </cell>
          <cell r="B146">
            <v>2</v>
          </cell>
          <cell r="C146">
            <v>41603.3125</v>
          </cell>
          <cell r="D146">
            <v>0.46728921774007959</v>
          </cell>
          <cell r="E146">
            <v>0</v>
          </cell>
          <cell r="F146">
            <v>0.53271078225992041</v>
          </cell>
          <cell r="G146">
            <v>0</v>
          </cell>
        </row>
        <row r="147">
          <cell r="A147" t="str">
            <v>208 2015 10 1221 00001</v>
          </cell>
          <cell r="B147">
            <v>1</v>
          </cell>
          <cell r="C147">
            <v>42022.813321759262</v>
          </cell>
          <cell r="D147">
            <v>1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206 2014 10 1221 00007</v>
          </cell>
          <cell r="B148">
            <v>2</v>
          </cell>
          <cell r="C148">
            <v>41791</v>
          </cell>
          <cell r="D148">
            <v>0.37202380952380953</v>
          </cell>
          <cell r="E148">
            <v>0</v>
          </cell>
          <cell r="F148">
            <v>0.62797619047619047</v>
          </cell>
          <cell r="G148">
            <v>0</v>
          </cell>
        </row>
        <row r="149">
          <cell r="A149" t="str">
            <v>206 2015 10 1221 00011</v>
          </cell>
          <cell r="B149">
            <v>2</v>
          </cell>
          <cell r="C149">
            <v>42073.229166666664</v>
          </cell>
          <cell r="D149">
            <v>1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108 2005 10 1221 00012</v>
          </cell>
          <cell r="B150">
            <v>2</v>
          </cell>
          <cell r="C150">
            <v>38804</v>
          </cell>
          <cell r="D150">
            <v>1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108 2005 10 1221 00012</v>
          </cell>
          <cell r="B151">
            <v>3</v>
          </cell>
          <cell r="C151">
            <v>38855</v>
          </cell>
          <cell r="D151">
            <v>1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504 2014 10 1221 00002</v>
          </cell>
          <cell r="B152">
            <v>1</v>
          </cell>
          <cell r="C152">
            <v>41861.416666666664</v>
          </cell>
          <cell r="D152">
            <v>1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504 2015 10 1221 00004</v>
          </cell>
          <cell r="B153">
            <v>1</v>
          </cell>
          <cell r="C153">
            <v>42344.604166666664</v>
          </cell>
          <cell r="D153">
            <v>5.4945054945054944E-2</v>
          </cell>
          <cell r="E153">
            <v>0</v>
          </cell>
          <cell r="F153">
            <v>0.94505494505494503</v>
          </cell>
          <cell r="G153">
            <v>0</v>
          </cell>
        </row>
        <row r="154">
          <cell r="A154" t="str">
            <v>505 2015 10 1221 00006</v>
          </cell>
          <cell r="B154">
            <v>15</v>
          </cell>
          <cell r="C154">
            <v>42299.417129629626</v>
          </cell>
          <cell r="D154">
            <v>1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505 2015 10 1221 00004</v>
          </cell>
          <cell r="B155">
            <v>16</v>
          </cell>
          <cell r="C155">
            <v>42303.625983796293</v>
          </cell>
          <cell r="D155">
            <v>5.4945054945054944E-2</v>
          </cell>
          <cell r="E155">
            <v>0</v>
          </cell>
          <cell r="F155">
            <v>0.94505494505494503</v>
          </cell>
          <cell r="G155">
            <v>0</v>
          </cell>
        </row>
        <row r="156">
          <cell r="A156" t="str">
            <v>505 2015 10 1221 00004</v>
          </cell>
          <cell r="B156">
            <v>17</v>
          </cell>
          <cell r="C156">
            <v>42318.482430555552</v>
          </cell>
          <cell r="D156">
            <v>5.4945054945054944E-2</v>
          </cell>
          <cell r="E156">
            <v>0</v>
          </cell>
          <cell r="F156">
            <v>0.94505494505494503</v>
          </cell>
          <cell r="G156">
            <v>0</v>
          </cell>
        </row>
        <row r="157">
          <cell r="A157" t="str">
            <v>505 2015 10 1221 00004</v>
          </cell>
          <cell r="B157">
            <v>21</v>
          </cell>
          <cell r="C157">
            <v>42340.620150462964</v>
          </cell>
          <cell r="D157">
            <v>5.4945054945054944E-2</v>
          </cell>
          <cell r="E157">
            <v>0</v>
          </cell>
          <cell r="F157">
            <v>0.94505494505494503</v>
          </cell>
          <cell r="G157">
            <v>0</v>
          </cell>
        </row>
        <row r="158">
          <cell r="A158" t="str">
            <v>201 2015 10 1211 00006</v>
          </cell>
          <cell r="B158">
            <v>3</v>
          </cell>
          <cell r="C158">
            <v>42015.454664351855</v>
          </cell>
          <cell r="D158">
            <v>5.5730525106515168E-2</v>
          </cell>
          <cell r="E158">
            <v>0</v>
          </cell>
          <cell r="F158">
            <v>0.94426947489348489</v>
          </cell>
          <cell r="G158">
            <v>0</v>
          </cell>
        </row>
        <row r="159">
          <cell r="A159" t="str">
            <v>201 2014 10 1211 00006</v>
          </cell>
          <cell r="B159">
            <v>7</v>
          </cell>
          <cell r="C159">
            <v>41718.632615740738</v>
          </cell>
          <cell r="D159">
            <v>5.4945054945054937E-2</v>
          </cell>
          <cell r="E159">
            <v>0</v>
          </cell>
          <cell r="F159">
            <v>0.94505494505494503</v>
          </cell>
          <cell r="G159">
            <v>0</v>
          </cell>
        </row>
        <row r="160">
          <cell r="A160" t="str">
            <v>201 2015 10 1211 00006</v>
          </cell>
          <cell r="B160">
            <v>7</v>
          </cell>
          <cell r="C160">
            <v>42035.51358796296</v>
          </cell>
          <cell r="D160">
            <v>5.5730525106515168E-2</v>
          </cell>
          <cell r="E160">
            <v>0</v>
          </cell>
          <cell r="F160">
            <v>0.94426947489348489</v>
          </cell>
          <cell r="G160">
            <v>0</v>
          </cell>
        </row>
        <row r="161">
          <cell r="A161" t="str">
            <v>201 2013 10 1211 00006</v>
          </cell>
          <cell r="B161">
            <v>14</v>
          </cell>
          <cell r="C161">
            <v>41320.476284722223</v>
          </cell>
          <cell r="D161">
            <v>5.8823529411764705E-2</v>
          </cell>
          <cell r="E161">
            <v>0</v>
          </cell>
          <cell r="F161">
            <v>0.94117647058823528</v>
          </cell>
          <cell r="G161">
            <v>0</v>
          </cell>
        </row>
        <row r="162">
          <cell r="A162" t="str">
            <v>201 2014 10 1211 00006</v>
          </cell>
          <cell r="B162">
            <v>14</v>
          </cell>
          <cell r="C162">
            <v>41708.657384259262</v>
          </cell>
          <cell r="D162">
            <v>5.4945054945054937E-2</v>
          </cell>
          <cell r="E162">
            <v>0</v>
          </cell>
          <cell r="F162">
            <v>0.94505494505494503</v>
          </cell>
          <cell r="G162">
            <v>0</v>
          </cell>
        </row>
        <row r="163">
          <cell r="A163" t="str">
            <v>201 2015 10 1211 00006</v>
          </cell>
          <cell r="B163">
            <v>14</v>
          </cell>
          <cell r="C163">
            <v>42057.416365740741</v>
          </cell>
          <cell r="D163">
            <v>5.5730525106515168E-2</v>
          </cell>
          <cell r="E163">
            <v>0</v>
          </cell>
          <cell r="F163">
            <v>0.94426947489348489</v>
          </cell>
          <cell r="G163">
            <v>0</v>
          </cell>
        </row>
        <row r="164">
          <cell r="A164" t="str">
            <v>115 2014 11 1211 00005</v>
          </cell>
          <cell r="B164">
            <v>12</v>
          </cell>
          <cell r="C164">
            <v>42123.379571759258</v>
          </cell>
          <cell r="D164">
            <v>0.5494505494505495</v>
          </cell>
          <cell r="E164">
            <v>0</v>
          </cell>
          <cell r="F164">
            <v>0.45054945054945056</v>
          </cell>
          <cell r="G164">
            <v>0</v>
          </cell>
        </row>
        <row r="165">
          <cell r="A165" t="str">
            <v>115 2015 11 1211 00008</v>
          </cell>
          <cell r="B165">
            <v>13</v>
          </cell>
          <cell r="C165">
            <v>42142.625</v>
          </cell>
          <cell r="D165">
            <v>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115 2015 11 1211 00007</v>
          </cell>
          <cell r="B166">
            <v>14</v>
          </cell>
          <cell r="C166">
            <v>42252.00068287037</v>
          </cell>
          <cell r="D166">
            <v>1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115 2015 11 1211 00007</v>
          </cell>
          <cell r="B167">
            <v>15</v>
          </cell>
          <cell r="C167">
            <v>42257</v>
          </cell>
          <cell r="D167">
            <v>1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201 2012 10 1211 00004</v>
          </cell>
          <cell r="B168">
            <v>1</v>
          </cell>
          <cell r="C168">
            <v>41316.646273148152</v>
          </cell>
          <cell r="D168">
            <v>1.4755744083876299E-2</v>
          </cell>
          <cell r="E168">
            <v>0</v>
          </cell>
          <cell r="F168">
            <v>0.12524425591612401</v>
          </cell>
          <cell r="G168">
            <v>0.85999999999999976</v>
          </cell>
        </row>
        <row r="169">
          <cell r="A169" t="str">
            <v>201 2013 10 1211 00006</v>
          </cell>
          <cell r="B169">
            <v>4</v>
          </cell>
          <cell r="C169">
            <v>41299.428414351853</v>
          </cell>
          <cell r="D169">
            <v>5.8823529411764705E-2</v>
          </cell>
          <cell r="E169">
            <v>0</v>
          </cell>
          <cell r="F169">
            <v>0.94117647058823528</v>
          </cell>
          <cell r="G169">
            <v>0</v>
          </cell>
        </row>
        <row r="170">
          <cell r="A170" t="str">
            <v>505 2015 10 1221 00004</v>
          </cell>
          <cell r="B170">
            <v>22</v>
          </cell>
          <cell r="C170">
            <v>42348.61582175926</v>
          </cell>
          <cell r="D170">
            <v>5.4945054945054944E-2</v>
          </cell>
          <cell r="E170">
            <v>0</v>
          </cell>
          <cell r="F170">
            <v>0.94505494505494503</v>
          </cell>
          <cell r="G170">
            <v>0</v>
          </cell>
        </row>
        <row r="171">
          <cell r="A171" t="str">
            <v>402 2013 10 1221 00002</v>
          </cell>
          <cell r="B171">
            <v>1</v>
          </cell>
          <cell r="C171">
            <v>41579.041921296295</v>
          </cell>
          <cell r="D171">
            <v>1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501 2015 10 1221 00002</v>
          </cell>
          <cell r="B172">
            <v>1</v>
          </cell>
          <cell r="C172">
            <v>42302.569687499999</v>
          </cell>
          <cell r="D172">
            <v>1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203 2015 11 1221 00005</v>
          </cell>
          <cell r="B173">
            <v>3</v>
          </cell>
          <cell r="C173">
            <v>42180.56753472222</v>
          </cell>
          <cell r="D173">
            <v>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204 2014 10 1221 00001</v>
          </cell>
          <cell r="B174">
            <v>1</v>
          </cell>
          <cell r="C174">
            <v>41852.470567129632</v>
          </cell>
          <cell r="D174">
            <v>1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301 2007 10 1221 00002</v>
          </cell>
          <cell r="B175">
            <v>10</v>
          </cell>
          <cell r="C175">
            <v>39264</v>
          </cell>
          <cell r="D175">
            <v>9.8531999999999995E-2</v>
          </cell>
          <cell r="E175">
            <v>4.5073000000000002E-2</v>
          </cell>
          <cell r="F175">
            <v>0.85639500000000002</v>
          </cell>
          <cell r="G175">
            <v>0</v>
          </cell>
        </row>
        <row r="176">
          <cell r="A176" t="str">
            <v>504 2014 10 1221 00002</v>
          </cell>
          <cell r="B176">
            <v>2</v>
          </cell>
          <cell r="C176">
            <v>41861.416666666664</v>
          </cell>
          <cell r="D176">
            <v>1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205 2015 10 1221 00001</v>
          </cell>
          <cell r="B177">
            <v>2</v>
          </cell>
          <cell r="C177">
            <v>42143.537199074075</v>
          </cell>
          <cell r="D177">
            <v>0.12003771496963885</v>
          </cell>
          <cell r="E177">
            <v>0</v>
          </cell>
          <cell r="F177">
            <v>0.87996228503036111</v>
          </cell>
          <cell r="G177">
            <v>0</v>
          </cell>
        </row>
        <row r="178">
          <cell r="A178" t="str">
            <v>205 2014 10 1221 00005</v>
          </cell>
          <cell r="B178">
            <v>5</v>
          </cell>
          <cell r="C178">
            <v>41819.656331018516</v>
          </cell>
          <cell r="D178">
            <v>0.12972291271207567</v>
          </cell>
          <cell r="E178">
            <v>0</v>
          </cell>
          <cell r="F178">
            <v>0.8702770872879243</v>
          </cell>
          <cell r="G178">
            <v>0</v>
          </cell>
        </row>
        <row r="179">
          <cell r="A179" t="str">
            <v>206 2014 10 1221 00014</v>
          </cell>
          <cell r="B179">
            <v>4</v>
          </cell>
          <cell r="C179">
            <v>41972.394652777781</v>
          </cell>
          <cell r="D179">
            <v>0.12719141823604066</v>
          </cell>
          <cell r="E179">
            <v>0</v>
          </cell>
          <cell r="F179">
            <v>0.87280858176395937</v>
          </cell>
          <cell r="G179">
            <v>0</v>
          </cell>
        </row>
        <row r="180">
          <cell r="A180" t="str">
            <v>502 2013 10 1221 00001</v>
          </cell>
          <cell r="B180">
            <v>2</v>
          </cell>
          <cell r="C180">
            <v>41538.375</v>
          </cell>
          <cell r="D180">
            <v>1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502 2013 10 1221 00001</v>
          </cell>
          <cell r="B181">
            <v>3</v>
          </cell>
          <cell r="C181">
            <v>41552.9375</v>
          </cell>
          <cell r="D181">
            <v>1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115 2014 11 1211 00007</v>
          </cell>
          <cell r="B182">
            <v>4</v>
          </cell>
          <cell r="C182">
            <v>42072.3125</v>
          </cell>
          <cell r="D182">
            <v>1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115 2014 11 1211 00003</v>
          </cell>
          <cell r="B183">
            <v>5</v>
          </cell>
          <cell r="C183">
            <v>42074.416666666664</v>
          </cell>
          <cell r="D183">
            <v>1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115 2014 11 1211 00005</v>
          </cell>
          <cell r="B184">
            <v>6</v>
          </cell>
          <cell r="C184">
            <v>42081.458333333336</v>
          </cell>
          <cell r="D184">
            <v>0.5494505494505495</v>
          </cell>
          <cell r="E184">
            <v>0</v>
          </cell>
          <cell r="F184">
            <v>0.45054945054945056</v>
          </cell>
          <cell r="G184">
            <v>0</v>
          </cell>
        </row>
        <row r="185">
          <cell r="A185" t="str">
            <v>201 2008 10 1211 00005</v>
          </cell>
          <cell r="B185">
            <v>1</v>
          </cell>
          <cell r="C185">
            <v>39823</v>
          </cell>
          <cell r="D185">
            <v>9.2200000000000004E-2</v>
          </cell>
          <cell r="E185">
            <v>9.0800000000000006E-2</v>
          </cell>
          <cell r="F185">
            <v>0.81699999999999995</v>
          </cell>
          <cell r="G185">
            <v>0</v>
          </cell>
        </row>
        <row r="186">
          <cell r="A186" t="str">
            <v>201 2014 10 1211 00006</v>
          </cell>
          <cell r="B186">
            <v>3</v>
          </cell>
          <cell r="C186">
            <v>41711.598703703705</v>
          </cell>
          <cell r="D186">
            <v>5.4945054945054937E-2</v>
          </cell>
          <cell r="E186">
            <v>0</v>
          </cell>
          <cell r="F186">
            <v>0.94505494505494503</v>
          </cell>
          <cell r="G186">
            <v>0</v>
          </cell>
        </row>
        <row r="187">
          <cell r="A187" t="str">
            <v>201 2014 10 1211 00006</v>
          </cell>
          <cell r="B187">
            <v>4</v>
          </cell>
          <cell r="C187">
            <v>41698.614594907405</v>
          </cell>
          <cell r="D187">
            <v>5.4945054945054937E-2</v>
          </cell>
          <cell r="E187">
            <v>0</v>
          </cell>
          <cell r="F187">
            <v>0.94505494505494503</v>
          </cell>
          <cell r="G187">
            <v>0</v>
          </cell>
        </row>
        <row r="188">
          <cell r="A188" t="str">
            <v>201 2013 10 1211 00006</v>
          </cell>
          <cell r="B188">
            <v>9</v>
          </cell>
          <cell r="C188">
            <v>41310.459421296298</v>
          </cell>
          <cell r="D188">
            <v>5.8823529411764705E-2</v>
          </cell>
          <cell r="E188">
            <v>0</v>
          </cell>
          <cell r="F188">
            <v>0.94117647058823528</v>
          </cell>
          <cell r="G188">
            <v>0</v>
          </cell>
        </row>
        <row r="189">
          <cell r="A189" t="str">
            <v>201 2014 10 1211 00006</v>
          </cell>
          <cell r="B189">
            <v>9</v>
          </cell>
          <cell r="C189">
            <v>41748.640636574077</v>
          </cell>
          <cell r="D189">
            <v>5.4945054945054937E-2</v>
          </cell>
          <cell r="E189">
            <v>0</v>
          </cell>
          <cell r="F189">
            <v>0.94505494505494503</v>
          </cell>
          <cell r="G189">
            <v>0</v>
          </cell>
        </row>
        <row r="190">
          <cell r="A190" t="str">
            <v>201 2015 10 1211 00006</v>
          </cell>
          <cell r="B190">
            <v>16</v>
          </cell>
          <cell r="C190">
            <v>42095.462326388886</v>
          </cell>
          <cell r="D190">
            <v>5.5730525106515168E-2</v>
          </cell>
          <cell r="E190">
            <v>0</v>
          </cell>
          <cell r="F190">
            <v>0.94426947489348489</v>
          </cell>
          <cell r="G190">
            <v>0</v>
          </cell>
        </row>
        <row r="191">
          <cell r="A191" t="str">
            <v>201 2012 10 1211 00006</v>
          </cell>
          <cell r="B191">
            <v>17</v>
          </cell>
          <cell r="C191">
            <v>41191.673668981479</v>
          </cell>
          <cell r="D191">
            <v>7.2738201232028885E-2</v>
          </cell>
          <cell r="E191">
            <v>0</v>
          </cell>
          <cell r="F191">
            <v>0.9272617987679711</v>
          </cell>
          <cell r="G191">
            <v>0</v>
          </cell>
        </row>
        <row r="192">
          <cell r="A192" t="str">
            <v>115 2015 11 1211 00007</v>
          </cell>
          <cell r="B192">
            <v>16</v>
          </cell>
          <cell r="C192">
            <v>42257</v>
          </cell>
          <cell r="D192">
            <v>1</v>
          </cell>
          <cell r="E192">
            <v>0</v>
          </cell>
          <cell r="F192">
            <v>0</v>
          </cell>
          <cell r="G192">
            <v>0</v>
          </cell>
        </row>
        <row r="193">
          <cell r="A193" t="str">
            <v>115 2015 11 1211 00007</v>
          </cell>
          <cell r="B193">
            <v>17</v>
          </cell>
          <cell r="C193">
            <v>42281.403460648151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</row>
        <row r="194">
          <cell r="A194" t="str">
            <v>502 2013 10 1221 00001</v>
          </cell>
          <cell r="B194">
            <v>4</v>
          </cell>
          <cell r="C194">
            <v>41552.9375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</row>
        <row r="195">
          <cell r="A195" t="str">
            <v>202 2013 10 1221 00002</v>
          </cell>
          <cell r="B195">
            <v>2</v>
          </cell>
          <cell r="C195">
            <v>41427.61917824074</v>
          </cell>
          <cell r="D195">
            <v>0.3104433130510369</v>
          </cell>
          <cell r="E195">
            <v>0</v>
          </cell>
          <cell r="F195">
            <v>0.6895566869489631</v>
          </cell>
          <cell r="G195">
            <v>0</v>
          </cell>
        </row>
        <row r="196">
          <cell r="A196" t="str">
            <v>505 2015 10 1221 00004</v>
          </cell>
          <cell r="B196">
            <v>3</v>
          </cell>
          <cell r="C196">
            <v>42057</v>
          </cell>
          <cell r="D196">
            <v>5.4945054945054944E-2</v>
          </cell>
          <cell r="E196">
            <v>0</v>
          </cell>
          <cell r="F196">
            <v>0.94505494505494503</v>
          </cell>
          <cell r="G196">
            <v>0</v>
          </cell>
        </row>
        <row r="197">
          <cell r="A197" t="str">
            <v>505 2015 10 1221 00006</v>
          </cell>
          <cell r="B197">
            <v>7</v>
          </cell>
          <cell r="C197">
            <v>42179</v>
          </cell>
          <cell r="D197">
            <v>1</v>
          </cell>
          <cell r="E197">
            <v>0</v>
          </cell>
          <cell r="F197">
            <v>0</v>
          </cell>
          <cell r="G197">
            <v>0</v>
          </cell>
        </row>
        <row r="198">
          <cell r="A198" t="str">
            <v>402 2014 10 1221 00001</v>
          </cell>
          <cell r="B198">
            <v>4</v>
          </cell>
          <cell r="C198">
            <v>41740.646481481483</v>
          </cell>
          <cell r="D198">
            <v>1</v>
          </cell>
          <cell r="E198">
            <v>0</v>
          </cell>
          <cell r="F198">
            <v>0</v>
          </cell>
          <cell r="G198">
            <v>0</v>
          </cell>
        </row>
        <row r="199">
          <cell r="A199" t="str">
            <v>301 2015 10 1221 00004</v>
          </cell>
          <cell r="B199">
            <v>1</v>
          </cell>
          <cell r="C199">
            <v>42162.36822916667</v>
          </cell>
          <cell r="D199">
            <v>1</v>
          </cell>
          <cell r="E199">
            <v>0</v>
          </cell>
          <cell r="F199">
            <v>0</v>
          </cell>
          <cell r="G199">
            <v>0</v>
          </cell>
        </row>
        <row r="200">
          <cell r="A200" t="str">
            <v>207 2015 10 1221 00007</v>
          </cell>
          <cell r="B200">
            <v>2</v>
          </cell>
          <cell r="C200">
            <v>42255</v>
          </cell>
          <cell r="D200">
            <v>1</v>
          </cell>
          <cell r="E200">
            <v>0</v>
          </cell>
          <cell r="F200">
            <v>0</v>
          </cell>
          <cell r="G200">
            <v>0</v>
          </cell>
        </row>
        <row r="201">
          <cell r="A201" t="str">
            <v>402 2013 10 1221 00007</v>
          </cell>
          <cell r="B201">
            <v>3</v>
          </cell>
          <cell r="C201">
            <v>41711.458333333336</v>
          </cell>
          <cell r="D201">
            <v>1</v>
          </cell>
          <cell r="E201">
            <v>0</v>
          </cell>
          <cell r="F201">
            <v>0</v>
          </cell>
          <cell r="G201">
            <v>0</v>
          </cell>
        </row>
        <row r="202">
          <cell r="A202" t="str">
            <v>203 2013 11 1221 00007</v>
          </cell>
          <cell r="B202">
            <v>1</v>
          </cell>
          <cell r="C202">
            <v>41667.380787037036</v>
          </cell>
          <cell r="D202">
            <v>1</v>
          </cell>
          <cell r="E202">
            <v>0</v>
          </cell>
          <cell r="F202">
            <v>0</v>
          </cell>
          <cell r="G202">
            <v>0</v>
          </cell>
        </row>
        <row r="203">
          <cell r="A203" t="str">
            <v>201 2015 10 1221 00002</v>
          </cell>
          <cell r="B203">
            <v>2</v>
          </cell>
          <cell r="C203">
            <v>42253.483518518522</v>
          </cell>
          <cell r="D203">
            <v>0.61094605358077048</v>
          </cell>
          <cell r="E203">
            <v>0</v>
          </cell>
          <cell r="F203">
            <v>0.38905394641922952</v>
          </cell>
          <cell r="G203">
            <v>0</v>
          </cell>
        </row>
        <row r="204">
          <cell r="A204" t="str">
            <v>203 2015 11 1221 00006</v>
          </cell>
          <cell r="B204">
            <v>2</v>
          </cell>
          <cell r="C204">
            <v>42027.514305555553</v>
          </cell>
          <cell r="D204">
            <v>1</v>
          </cell>
          <cell r="E204">
            <v>0</v>
          </cell>
          <cell r="F204">
            <v>0</v>
          </cell>
          <cell r="G204">
            <v>0</v>
          </cell>
        </row>
        <row r="205">
          <cell r="A205" t="str">
            <v>205 2013 10 1221 00013</v>
          </cell>
          <cell r="B205">
            <v>3</v>
          </cell>
          <cell r="C205">
            <v>41699.586192129631</v>
          </cell>
          <cell r="D205">
            <v>1</v>
          </cell>
          <cell r="E205">
            <v>0</v>
          </cell>
          <cell r="F205">
            <v>0</v>
          </cell>
          <cell r="G205">
            <v>0</v>
          </cell>
        </row>
        <row r="206">
          <cell r="A206" t="str">
            <v>115 2015 11 1211 00007</v>
          </cell>
          <cell r="B206">
            <v>18</v>
          </cell>
          <cell r="C206">
            <v>42329.412094907406</v>
          </cell>
          <cell r="D206">
            <v>1</v>
          </cell>
          <cell r="E206">
            <v>0</v>
          </cell>
          <cell r="F206">
            <v>0</v>
          </cell>
          <cell r="G206">
            <v>0</v>
          </cell>
        </row>
        <row r="207">
          <cell r="A207" t="str">
            <v>115 2015 11 1211 00007</v>
          </cell>
          <cell r="B207">
            <v>19</v>
          </cell>
          <cell r="C207">
            <v>42336.444768518515</v>
          </cell>
          <cell r="D207">
            <v>1</v>
          </cell>
          <cell r="E207">
            <v>0</v>
          </cell>
          <cell r="F207">
            <v>0</v>
          </cell>
          <cell r="G207">
            <v>0</v>
          </cell>
        </row>
        <row r="208">
          <cell r="A208" t="str">
            <v>115 2015 11 1211 00007</v>
          </cell>
          <cell r="B208">
            <v>20</v>
          </cell>
          <cell r="C208">
            <v>42345.4294212963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</row>
        <row r="209">
          <cell r="A209" t="str">
            <v>201 2014 10 1211 00006</v>
          </cell>
          <cell r="B209">
            <v>1</v>
          </cell>
          <cell r="C209">
            <v>41652.582152777781</v>
          </cell>
          <cell r="D209">
            <v>5.4945054945054937E-2</v>
          </cell>
          <cell r="E209">
            <v>0</v>
          </cell>
          <cell r="F209">
            <v>0.94505494505494503</v>
          </cell>
          <cell r="G209">
            <v>0</v>
          </cell>
        </row>
        <row r="210">
          <cell r="A210" t="str">
            <v>201 2015 10 1211 00006</v>
          </cell>
          <cell r="B210">
            <v>9</v>
          </cell>
          <cell r="C210">
            <v>42045.52921296296</v>
          </cell>
          <cell r="D210">
            <v>5.5730525106515168E-2</v>
          </cell>
          <cell r="E210">
            <v>0</v>
          </cell>
          <cell r="F210">
            <v>0.94426947489348489</v>
          </cell>
          <cell r="G210">
            <v>0</v>
          </cell>
        </row>
        <row r="211">
          <cell r="A211" t="str">
            <v>201 2015 10 1211 00006</v>
          </cell>
          <cell r="B211">
            <v>17</v>
          </cell>
          <cell r="C211">
            <v>42061.472060185188</v>
          </cell>
          <cell r="D211">
            <v>5.5730525106515168E-2</v>
          </cell>
          <cell r="E211">
            <v>0</v>
          </cell>
          <cell r="F211">
            <v>0.94426947489348489</v>
          </cell>
          <cell r="G211">
            <v>0</v>
          </cell>
        </row>
        <row r="212">
          <cell r="A212" t="str">
            <v>201 2012 10 1211 00006</v>
          </cell>
          <cell r="B212">
            <v>18</v>
          </cell>
          <cell r="C212">
            <v>41202.647662037038</v>
          </cell>
          <cell r="D212">
            <v>7.2738201232028885E-2</v>
          </cell>
          <cell r="E212">
            <v>0</v>
          </cell>
          <cell r="F212">
            <v>0.9272617987679711</v>
          </cell>
          <cell r="G212">
            <v>0</v>
          </cell>
        </row>
        <row r="213">
          <cell r="A213" t="str">
            <v>115 2014 11 1211 00003</v>
          </cell>
          <cell r="B213">
            <v>9</v>
          </cell>
          <cell r="C213">
            <v>42109.496481481481</v>
          </cell>
          <cell r="D213">
            <v>1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115 2014 11 1211 00005</v>
          </cell>
          <cell r="B214">
            <v>10</v>
          </cell>
          <cell r="C214">
            <v>42123.370196759257</v>
          </cell>
          <cell r="D214">
            <v>0.5494505494505495</v>
          </cell>
          <cell r="E214">
            <v>0</v>
          </cell>
          <cell r="F214">
            <v>0.45054945054945056</v>
          </cell>
          <cell r="G214">
            <v>0</v>
          </cell>
        </row>
        <row r="215">
          <cell r="A215" t="str">
            <v>115 2014 11 1211 00005</v>
          </cell>
          <cell r="B215">
            <v>11</v>
          </cell>
          <cell r="C215">
            <v>42123.376226851855</v>
          </cell>
          <cell r="D215">
            <v>0.5494505494505495</v>
          </cell>
          <cell r="E215">
            <v>0</v>
          </cell>
          <cell r="F215">
            <v>0.45054945054945056</v>
          </cell>
          <cell r="G215">
            <v>0</v>
          </cell>
        </row>
        <row r="216">
          <cell r="A216" t="str">
            <v>201 2015 10 1211 00006</v>
          </cell>
          <cell r="B216">
            <v>13</v>
          </cell>
          <cell r="C216">
            <v>42026.579282407409</v>
          </cell>
          <cell r="D216">
            <v>5.5730525106515168E-2</v>
          </cell>
          <cell r="E216">
            <v>0</v>
          </cell>
          <cell r="F216">
            <v>0.94426947489348489</v>
          </cell>
          <cell r="G216">
            <v>0</v>
          </cell>
        </row>
        <row r="217">
          <cell r="A217" t="str">
            <v>201 2012 10 1211 00006</v>
          </cell>
          <cell r="B217">
            <v>14</v>
          </cell>
          <cell r="C217">
            <v>41158.654386574075</v>
          </cell>
          <cell r="D217">
            <v>7.2738201232028885E-2</v>
          </cell>
          <cell r="E217">
            <v>0</v>
          </cell>
          <cell r="F217">
            <v>0.9272617987679711</v>
          </cell>
          <cell r="G217">
            <v>0</v>
          </cell>
        </row>
        <row r="218">
          <cell r="A218" t="str">
            <v>205 2015 10 1221 00008</v>
          </cell>
          <cell r="B218">
            <v>3</v>
          </cell>
          <cell r="C218">
            <v>42283.471284722225</v>
          </cell>
          <cell r="D218">
            <v>0.71022727272727271</v>
          </cell>
          <cell r="E218">
            <v>0</v>
          </cell>
          <cell r="F218">
            <v>0.28977272727272729</v>
          </cell>
          <cell r="G218">
            <v>0</v>
          </cell>
        </row>
        <row r="219">
          <cell r="A219" t="str">
            <v>205 2014 10 1221 00001</v>
          </cell>
          <cell r="B219">
            <v>4</v>
          </cell>
          <cell r="C219">
            <v>41798.399953703702</v>
          </cell>
          <cell r="D219">
            <v>0.71022727272727271</v>
          </cell>
          <cell r="E219">
            <v>0</v>
          </cell>
          <cell r="F219">
            <v>0.28977272727272729</v>
          </cell>
          <cell r="G219">
            <v>0</v>
          </cell>
        </row>
        <row r="220">
          <cell r="A220" t="str">
            <v>201 2014 10 1221 00003</v>
          </cell>
          <cell r="B220">
            <v>4</v>
          </cell>
          <cell r="C220">
            <v>41967.456076388888</v>
          </cell>
          <cell r="D220">
            <v>0.60355709803933799</v>
          </cell>
          <cell r="E220">
            <v>0</v>
          </cell>
          <cell r="F220">
            <v>0.39644290196066201</v>
          </cell>
          <cell r="G220">
            <v>0</v>
          </cell>
        </row>
        <row r="221">
          <cell r="A221" t="str">
            <v>201 2014 10 1221 00021</v>
          </cell>
          <cell r="B221">
            <v>4</v>
          </cell>
          <cell r="C221">
            <v>42313.595023148147</v>
          </cell>
          <cell r="D221">
            <v>0.79127240231161899</v>
          </cell>
          <cell r="E221">
            <v>0</v>
          </cell>
          <cell r="F221">
            <v>0.20872759768838103</v>
          </cell>
          <cell r="G221">
            <v>0</v>
          </cell>
        </row>
        <row r="222">
          <cell r="A222" t="str">
            <v>202 2013 10 1221 00002</v>
          </cell>
          <cell r="B222">
            <v>1</v>
          </cell>
          <cell r="C222">
            <v>41363.590856481482</v>
          </cell>
          <cell r="D222">
            <v>0.3104433130510369</v>
          </cell>
          <cell r="E222">
            <v>0</v>
          </cell>
          <cell r="F222">
            <v>0.6895566869489631</v>
          </cell>
          <cell r="G222">
            <v>0</v>
          </cell>
        </row>
        <row r="223">
          <cell r="A223" t="str">
            <v>209 2013 10 1221 00007</v>
          </cell>
          <cell r="B223">
            <v>1</v>
          </cell>
          <cell r="C223">
            <v>41479.633043981485</v>
          </cell>
          <cell r="D223">
            <v>0.47336475996925548</v>
          </cell>
          <cell r="E223">
            <v>0</v>
          </cell>
          <cell r="F223">
            <v>0.52663524003074458</v>
          </cell>
          <cell r="G223">
            <v>0</v>
          </cell>
        </row>
        <row r="224">
          <cell r="A224" t="str">
            <v>209 2015 10 1221 00001</v>
          </cell>
          <cell r="B224">
            <v>1</v>
          </cell>
          <cell r="C224">
            <v>42113.683449074073</v>
          </cell>
          <cell r="D224">
            <v>0.35583165888849155</v>
          </cell>
          <cell r="E224">
            <v>0</v>
          </cell>
          <cell r="F224">
            <v>0.64416834111150845</v>
          </cell>
          <cell r="G224">
            <v>0</v>
          </cell>
        </row>
        <row r="225">
          <cell r="A225" t="str">
            <v>502 2013 10 1221 00001</v>
          </cell>
          <cell r="B225">
            <v>1</v>
          </cell>
          <cell r="C225">
            <v>41478</v>
          </cell>
          <cell r="D225">
            <v>1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206 2014 10 1221 00013</v>
          </cell>
          <cell r="B226">
            <v>3</v>
          </cell>
          <cell r="C226">
            <v>41872.375833333332</v>
          </cell>
          <cell r="D226">
            <v>0.96153846153846156</v>
          </cell>
          <cell r="E226">
            <v>0</v>
          </cell>
          <cell r="F226">
            <v>3.8461538461538436E-2</v>
          </cell>
          <cell r="G226">
            <v>0</v>
          </cell>
        </row>
        <row r="227">
          <cell r="A227" t="str">
            <v>206 2015 10 1221 00013</v>
          </cell>
          <cell r="B227">
            <v>3</v>
          </cell>
          <cell r="C227">
            <v>42121.3125</v>
          </cell>
          <cell r="D227">
            <v>0.59808612440191389</v>
          </cell>
          <cell r="E227">
            <v>0</v>
          </cell>
          <cell r="F227">
            <v>0.40191387559808611</v>
          </cell>
          <cell r="G227">
            <v>0</v>
          </cell>
        </row>
        <row r="228">
          <cell r="A228" t="str">
            <v>211 2015 10 1221 00004</v>
          </cell>
          <cell r="B228">
            <v>1</v>
          </cell>
          <cell r="C228">
            <v>42268.375</v>
          </cell>
          <cell r="D228">
            <v>1</v>
          </cell>
          <cell r="E228">
            <v>0</v>
          </cell>
          <cell r="F228">
            <v>0</v>
          </cell>
          <cell r="G228">
            <v>0</v>
          </cell>
        </row>
        <row r="229">
          <cell r="A229" t="str">
            <v>203 2015 10 1221 00004</v>
          </cell>
          <cell r="B229">
            <v>1</v>
          </cell>
          <cell r="C229">
            <v>42087.43645833333</v>
          </cell>
          <cell r="D229">
            <v>0.17895490336435219</v>
          </cell>
          <cell r="E229">
            <v>0</v>
          </cell>
          <cell r="F229">
            <v>0.82104509663564784</v>
          </cell>
          <cell r="G229">
            <v>0</v>
          </cell>
        </row>
        <row r="230">
          <cell r="A230" t="str">
            <v>201 2015 10 1211 00006</v>
          </cell>
          <cell r="B230">
            <v>25</v>
          </cell>
          <cell r="C230">
            <v>42103.420648148145</v>
          </cell>
          <cell r="D230">
            <v>5.5730525106515168E-2</v>
          </cell>
          <cell r="E230">
            <v>0</v>
          </cell>
          <cell r="F230">
            <v>0.94426947489348489</v>
          </cell>
          <cell r="G230">
            <v>0</v>
          </cell>
        </row>
        <row r="231">
          <cell r="A231" t="str">
            <v>201 2013 10 1211 00006</v>
          </cell>
          <cell r="B231">
            <v>26</v>
          </cell>
          <cell r="C231">
            <v>41326.635682870372</v>
          </cell>
          <cell r="D231">
            <v>5.8823529411764705E-2</v>
          </cell>
          <cell r="E231">
            <v>0</v>
          </cell>
          <cell r="F231">
            <v>0.94117647058823528</v>
          </cell>
          <cell r="G231">
            <v>0</v>
          </cell>
        </row>
        <row r="232">
          <cell r="A232" t="str">
            <v>201 2013 10 1211 00006</v>
          </cell>
          <cell r="B232">
            <v>43</v>
          </cell>
          <cell r="C232">
            <v>41376.365856481483</v>
          </cell>
          <cell r="D232">
            <v>5.8823529411764705E-2</v>
          </cell>
          <cell r="E232">
            <v>0</v>
          </cell>
          <cell r="F232">
            <v>0.94117647058823528</v>
          </cell>
          <cell r="G232">
            <v>0</v>
          </cell>
        </row>
        <row r="233">
          <cell r="A233" t="str">
            <v>201 2015 10 1211 00006</v>
          </cell>
          <cell r="B233">
            <v>43</v>
          </cell>
          <cell r="C233">
            <v>42156.622314814813</v>
          </cell>
          <cell r="D233">
            <v>5.5730525106515168E-2</v>
          </cell>
          <cell r="E233">
            <v>0</v>
          </cell>
          <cell r="F233">
            <v>0.94426947489348489</v>
          </cell>
          <cell r="G233">
            <v>0</v>
          </cell>
        </row>
        <row r="234">
          <cell r="A234" t="str">
            <v>201 2013 10 1211 00006</v>
          </cell>
          <cell r="B234">
            <v>44</v>
          </cell>
          <cell r="C234">
            <v>41374.372199074074</v>
          </cell>
          <cell r="D234">
            <v>5.8823529411764705E-2</v>
          </cell>
          <cell r="E234">
            <v>0</v>
          </cell>
          <cell r="F234">
            <v>0.94117647058823528</v>
          </cell>
          <cell r="G234">
            <v>0</v>
          </cell>
        </row>
        <row r="235">
          <cell r="A235" t="str">
            <v>201 2014 10 1211 00006</v>
          </cell>
          <cell r="B235">
            <v>63</v>
          </cell>
          <cell r="C235">
            <v>41740.66134259259</v>
          </cell>
          <cell r="D235">
            <v>5.4945054945054937E-2</v>
          </cell>
          <cell r="E235">
            <v>0</v>
          </cell>
          <cell r="F235">
            <v>0.94505494505494503</v>
          </cell>
          <cell r="G235">
            <v>0</v>
          </cell>
        </row>
        <row r="236">
          <cell r="A236" t="str">
            <v>201 2014 10 1211 00006</v>
          </cell>
          <cell r="B236">
            <v>64</v>
          </cell>
          <cell r="C236">
            <v>41697.361921296295</v>
          </cell>
          <cell r="D236">
            <v>5.4945054945054937E-2</v>
          </cell>
          <cell r="E236">
            <v>0</v>
          </cell>
          <cell r="F236">
            <v>0.94505494505494503</v>
          </cell>
          <cell r="G236">
            <v>0</v>
          </cell>
        </row>
        <row r="237">
          <cell r="A237" t="str">
            <v>201 2013 10 1211 00006</v>
          </cell>
          <cell r="B237">
            <v>88</v>
          </cell>
          <cell r="C237">
            <v>41459.552546296298</v>
          </cell>
          <cell r="D237">
            <v>5.8823529411764705E-2</v>
          </cell>
          <cell r="E237">
            <v>0</v>
          </cell>
          <cell r="F237">
            <v>0.94117647058823528</v>
          </cell>
          <cell r="G237">
            <v>0</v>
          </cell>
        </row>
        <row r="238">
          <cell r="A238" t="str">
            <v>201 2015 10 1211 00006</v>
          </cell>
          <cell r="B238">
            <v>26</v>
          </cell>
          <cell r="C238">
            <v>42097.426342592589</v>
          </cell>
          <cell r="D238">
            <v>5.5730525106515168E-2</v>
          </cell>
          <cell r="E238">
            <v>0</v>
          </cell>
          <cell r="F238">
            <v>0.94426947489348489</v>
          </cell>
          <cell r="G238">
            <v>0</v>
          </cell>
        </row>
        <row r="239">
          <cell r="A239" t="str">
            <v>201 2012 10 1211 00006</v>
          </cell>
          <cell r="B239">
            <v>27</v>
          </cell>
          <cell r="C239">
            <v>41236.463587962964</v>
          </cell>
          <cell r="D239">
            <v>7.2738201232028885E-2</v>
          </cell>
          <cell r="E239">
            <v>0</v>
          </cell>
          <cell r="F239">
            <v>0.9272617987679711</v>
          </cell>
          <cell r="G239">
            <v>0</v>
          </cell>
        </row>
        <row r="240">
          <cell r="A240" t="str">
            <v>201 2013 10 1211 00006</v>
          </cell>
          <cell r="B240">
            <v>27</v>
          </cell>
          <cell r="C240">
            <v>41334.642546296294</v>
          </cell>
          <cell r="D240">
            <v>5.8823529411764705E-2</v>
          </cell>
          <cell r="E240">
            <v>0</v>
          </cell>
          <cell r="F240">
            <v>0.94117647058823528</v>
          </cell>
          <cell r="G240">
            <v>0</v>
          </cell>
        </row>
        <row r="241">
          <cell r="A241" t="str">
            <v>201 2015 10 1211 00006</v>
          </cell>
          <cell r="B241">
            <v>44</v>
          </cell>
          <cell r="C241">
            <v>42185.624780092592</v>
          </cell>
          <cell r="D241">
            <v>5.5730525106515168E-2</v>
          </cell>
          <cell r="E241">
            <v>0</v>
          </cell>
          <cell r="F241">
            <v>0.94426947489348489</v>
          </cell>
          <cell r="G241">
            <v>0</v>
          </cell>
        </row>
        <row r="242">
          <cell r="A242" t="str">
            <v>503 2015 10 1221 00001</v>
          </cell>
          <cell r="B242">
            <v>1</v>
          </cell>
          <cell r="C242">
            <v>42035.500289351854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</row>
        <row r="243">
          <cell r="A243" t="str">
            <v>505 2015 10 1221 00004</v>
          </cell>
          <cell r="B243">
            <v>1</v>
          </cell>
          <cell r="C243">
            <v>42057</v>
          </cell>
          <cell r="D243">
            <v>5.4945054945054944E-2</v>
          </cell>
          <cell r="E243">
            <v>0</v>
          </cell>
          <cell r="F243">
            <v>0.94505494505494503</v>
          </cell>
          <cell r="G243">
            <v>0</v>
          </cell>
        </row>
        <row r="244">
          <cell r="A244" t="str">
            <v>505 2015 10 1221 00004</v>
          </cell>
          <cell r="B244">
            <v>2</v>
          </cell>
          <cell r="C244">
            <v>42057</v>
          </cell>
          <cell r="D244">
            <v>5.4945054945054944E-2</v>
          </cell>
          <cell r="E244">
            <v>0</v>
          </cell>
          <cell r="F244">
            <v>0.94505494505494503</v>
          </cell>
          <cell r="G244">
            <v>0</v>
          </cell>
        </row>
        <row r="245">
          <cell r="A245" t="str">
            <v>505 2015 10 1221 00004</v>
          </cell>
          <cell r="B245">
            <v>5</v>
          </cell>
          <cell r="C245">
            <v>42073</v>
          </cell>
          <cell r="D245">
            <v>5.4945054945054944E-2</v>
          </cell>
          <cell r="E245">
            <v>0</v>
          </cell>
          <cell r="F245">
            <v>0.94505494505494503</v>
          </cell>
          <cell r="G245">
            <v>0</v>
          </cell>
        </row>
        <row r="246">
          <cell r="A246" t="str">
            <v>505 2015 10 1221 00006</v>
          </cell>
          <cell r="B246">
            <v>8</v>
          </cell>
          <cell r="C246">
            <v>42187.416666666664</v>
          </cell>
          <cell r="D246">
            <v>1</v>
          </cell>
          <cell r="E246">
            <v>0</v>
          </cell>
          <cell r="F246">
            <v>0</v>
          </cell>
          <cell r="G246">
            <v>0</v>
          </cell>
        </row>
        <row r="247">
          <cell r="A247" t="str">
            <v>201 2012 10 1221 00009</v>
          </cell>
          <cell r="B247">
            <v>4</v>
          </cell>
          <cell r="C247">
            <v>41192.537002314813</v>
          </cell>
          <cell r="D247">
            <v>1</v>
          </cell>
          <cell r="E247">
            <v>0</v>
          </cell>
          <cell r="F247">
            <v>0</v>
          </cell>
          <cell r="G247">
            <v>0</v>
          </cell>
        </row>
        <row r="248">
          <cell r="A248" t="str">
            <v>206 2012 10 1221 00004</v>
          </cell>
          <cell r="B248">
            <v>2</v>
          </cell>
          <cell r="C248">
            <v>41113.35733796296</v>
          </cell>
          <cell r="D248">
            <v>0.28286494669692946</v>
          </cell>
          <cell r="E248">
            <v>0</v>
          </cell>
          <cell r="F248">
            <v>0.71713505330307048</v>
          </cell>
          <cell r="G248">
            <v>0</v>
          </cell>
        </row>
        <row r="249">
          <cell r="A249" t="str">
            <v>504 2014 10 1221 00001</v>
          </cell>
          <cell r="B249">
            <v>3</v>
          </cell>
          <cell r="C249">
            <v>41889.416666666664</v>
          </cell>
          <cell r="D249">
            <v>1</v>
          </cell>
          <cell r="E249">
            <v>0</v>
          </cell>
          <cell r="F249">
            <v>0</v>
          </cell>
          <cell r="G249">
            <v>0</v>
          </cell>
        </row>
        <row r="250">
          <cell r="A250" t="str">
            <v>505 2015 10 1221 00004</v>
          </cell>
          <cell r="B250">
            <v>11</v>
          </cell>
          <cell r="C250">
            <v>42282.641736111109</v>
          </cell>
          <cell r="D250">
            <v>5.4945054945054944E-2</v>
          </cell>
          <cell r="E250">
            <v>0</v>
          </cell>
          <cell r="F250">
            <v>0.94505494505494503</v>
          </cell>
          <cell r="G250">
            <v>0</v>
          </cell>
        </row>
        <row r="251">
          <cell r="A251" t="str">
            <v>505 2015 10 1221 00006</v>
          </cell>
          <cell r="B251">
            <v>18</v>
          </cell>
          <cell r="C251">
            <v>42325.573530092595</v>
          </cell>
          <cell r="D251">
            <v>1</v>
          </cell>
          <cell r="E251">
            <v>0</v>
          </cell>
          <cell r="F251">
            <v>0</v>
          </cell>
          <cell r="G251">
            <v>0</v>
          </cell>
        </row>
        <row r="252">
          <cell r="A252" t="str">
            <v>505 2015 10 1221 00004</v>
          </cell>
          <cell r="B252">
            <v>19</v>
          </cell>
          <cell r="C252">
            <v>42330.556284722225</v>
          </cell>
          <cell r="D252">
            <v>5.4945054945054944E-2</v>
          </cell>
          <cell r="E252">
            <v>0</v>
          </cell>
          <cell r="F252">
            <v>0.94505494505494503</v>
          </cell>
          <cell r="G252">
            <v>0</v>
          </cell>
        </row>
        <row r="253">
          <cell r="A253" t="str">
            <v>505 2015 10 1221 00004</v>
          </cell>
          <cell r="B253">
            <v>20</v>
          </cell>
          <cell r="C253">
            <v>42339.682430555556</v>
          </cell>
          <cell r="D253">
            <v>5.4945054945054944E-2</v>
          </cell>
          <cell r="E253">
            <v>0</v>
          </cell>
          <cell r="F253">
            <v>0.94505494505494503</v>
          </cell>
          <cell r="G253">
            <v>0</v>
          </cell>
        </row>
        <row r="254">
          <cell r="A254" t="str">
            <v>201 2013 10 1211 00006</v>
          </cell>
          <cell r="B254">
            <v>45</v>
          </cell>
          <cell r="C254">
            <v>41368.378298611111</v>
          </cell>
          <cell r="D254">
            <v>5.8823529411764705E-2</v>
          </cell>
          <cell r="E254">
            <v>0</v>
          </cell>
          <cell r="F254">
            <v>0.94117647058823528</v>
          </cell>
          <cell r="G254">
            <v>0</v>
          </cell>
        </row>
        <row r="255">
          <cell r="A255" t="str">
            <v>201 2015 10 1211 00006</v>
          </cell>
          <cell r="B255">
            <v>45</v>
          </cell>
          <cell r="C255">
            <v>42172.608564814815</v>
          </cell>
          <cell r="D255">
            <v>5.5730525106515168E-2</v>
          </cell>
          <cell r="E255">
            <v>0</v>
          </cell>
          <cell r="F255">
            <v>0.94426947489348489</v>
          </cell>
          <cell r="G255">
            <v>0</v>
          </cell>
        </row>
        <row r="256">
          <cell r="A256" t="str">
            <v>201 2013 10 1211 00006</v>
          </cell>
          <cell r="B256">
            <v>65</v>
          </cell>
          <cell r="C256">
            <v>41378.450706018521</v>
          </cell>
          <cell r="D256">
            <v>5.8823529411764705E-2</v>
          </cell>
          <cell r="E256">
            <v>0</v>
          </cell>
          <cell r="F256">
            <v>0.94117647058823528</v>
          </cell>
          <cell r="G256">
            <v>0</v>
          </cell>
        </row>
        <row r="257">
          <cell r="A257" t="str">
            <v>201 2014 10 1211 00006</v>
          </cell>
          <cell r="B257">
            <v>65</v>
          </cell>
          <cell r="C257">
            <v>41702.365173611113</v>
          </cell>
          <cell r="D257">
            <v>5.4945054945054937E-2</v>
          </cell>
          <cell r="E257">
            <v>0</v>
          </cell>
          <cell r="F257">
            <v>0.94505494505494503</v>
          </cell>
          <cell r="G257">
            <v>0</v>
          </cell>
        </row>
        <row r="258">
          <cell r="A258" t="str">
            <v>201 2013 10 1211 00006</v>
          </cell>
          <cell r="B258">
            <v>66</v>
          </cell>
          <cell r="C258">
            <v>41419.465902777774</v>
          </cell>
          <cell r="D258">
            <v>5.8823529411764705E-2</v>
          </cell>
          <cell r="E258">
            <v>0</v>
          </cell>
          <cell r="F258">
            <v>0.94117647058823528</v>
          </cell>
          <cell r="G258">
            <v>0</v>
          </cell>
        </row>
        <row r="259">
          <cell r="A259" t="str">
            <v>201 2014 10 1211 00006</v>
          </cell>
          <cell r="B259">
            <v>66</v>
          </cell>
          <cell r="C259">
            <v>41677.367777777778</v>
          </cell>
          <cell r="D259">
            <v>5.4945054945054937E-2</v>
          </cell>
          <cell r="E259">
            <v>0</v>
          </cell>
          <cell r="F259">
            <v>0.94505494505494503</v>
          </cell>
          <cell r="G259">
            <v>0</v>
          </cell>
        </row>
        <row r="260">
          <cell r="A260" t="str">
            <v>201 2014 10 1211 00006</v>
          </cell>
          <cell r="B260">
            <v>89</v>
          </cell>
          <cell r="C260">
            <v>41735.490474537037</v>
          </cell>
          <cell r="D260">
            <v>5.4945054945054937E-2</v>
          </cell>
          <cell r="E260">
            <v>0</v>
          </cell>
          <cell r="F260">
            <v>0.94505494505494503</v>
          </cell>
          <cell r="G260">
            <v>0</v>
          </cell>
        </row>
        <row r="261">
          <cell r="A261" t="str">
            <v>201 2013 10 1211 00006</v>
          </cell>
          <cell r="B261">
            <v>90</v>
          </cell>
          <cell r="C261">
            <v>41447.559270833335</v>
          </cell>
          <cell r="D261">
            <v>5.8823529411764705E-2</v>
          </cell>
          <cell r="E261">
            <v>0</v>
          </cell>
          <cell r="F261">
            <v>0.94117647058823528</v>
          </cell>
          <cell r="G261">
            <v>0</v>
          </cell>
        </row>
        <row r="262">
          <cell r="A262" t="str">
            <v>201 2014 10 1211 00006</v>
          </cell>
          <cell r="B262">
            <v>90</v>
          </cell>
          <cell r="C262">
            <v>41734.49181712963</v>
          </cell>
          <cell r="D262">
            <v>5.4945054945054937E-2</v>
          </cell>
          <cell r="E262">
            <v>0</v>
          </cell>
          <cell r="F262">
            <v>0.94505494505494503</v>
          </cell>
          <cell r="G262">
            <v>0</v>
          </cell>
        </row>
        <row r="263">
          <cell r="A263" t="str">
            <v>115 2014 11 1211 00003</v>
          </cell>
          <cell r="B263">
            <v>7</v>
          </cell>
          <cell r="C263">
            <v>42098.637835648151</v>
          </cell>
          <cell r="D263">
            <v>1</v>
          </cell>
          <cell r="E263">
            <v>0</v>
          </cell>
          <cell r="F263">
            <v>0</v>
          </cell>
          <cell r="G263">
            <v>0</v>
          </cell>
        </row>
        <row r="264">
          <cell r="A264" t="str">
            <v>115 2014 11 1211 00005</v>
          </cell>
          <cell r="B264">
            <v>8</v>
          </cell>
          <cell r="C264">
            <v>42103.416666666664</v>
          </cell>
          <cell r="D264">
            <v>0.5494505494505495</v>
          </cell>
          <cell r="E264">
            <v>0</v>
          </cell>
          <cell r="F264">
            <v>0.45054945054945056</v>
          </cell>
          <cell r="G264">
            <v>0</v>
          </cell>
        </row>
        <row r="265">
          <cell r="A265" t="str">
            <v>201 2012 10 1211 00006</v>
          </cell>
          <cell r="B265">
            <v>4</v>
          </cell>
          <cell r="C265">
            <v>41200.493113425924</v>
          </cell>
          <cell r="D265">
            <v>7.2738201232028885E-2</v>
          </cell>
          <cell r="E265">
            <v>0</v>
          </cell>
          <cell r="F265">
            <v>0.9272617987679711</v>
          </cell>
          <cell r="G265">
            <v>0</v>
          </cell>
        </row>
        <row r="266">
          <cell r="A266" t="str">
            <v>505 2015 10 1221 00004</v>
          </cell>
          <cell r="B266">
            <v>10</v>
          </cell>
          <cell r="C266">
            <v>42282.633009259262</v>
          </cell>
          <cell r="D266">
            <v>5.4945054945054944E-2</v>
          </cell>
          <cell r="E266">
            <v>0</v>
          </cell>
          <cell r="F266">
            <v>0.94505494505494503</v>
          </cell>
          <cell r="G266">
            <v>0</v>
          </cell>
        </row>
        <row r="267">
          <cell r="A267" t="str">
            <v>201 2014 10 1211 00006</v>
          </cell>
          <cell r="B267">
            <v>8</v>
          </cell>
          <cell r="C267">
            <v>41748.636458333334</v>
          </cell>
          <cell r="D267">
            <v>5.4945054945054937E-2</v>
          </cell>
          <cell r="E267">
            <v>0</v>
          </cell>
          <cell r="F267">
            <v>0.94505494505494503</v>
          </cell>
          <cell r="G267">
            <v>0</v>
          </cell>
        </row>
        <row r="268">
          <cell r="A268" t="str">
            <v>201 2015 10 1211 00006</v>
          </cell>
          <cell r="B268">
            <v>8</v>
          </cell>
          <cell r="C268">
            <v>42036.521562499998</v>
          </cell>
          <cell r="D268">
            <v>5.5730525106515168E-2</v>
          </cell>
          <cell r="E268">
            <v>0</v>
          </cell>
          <cell r="F268">
            <v>0.94426947489348489</v>
          </cell>
          <cell r="G268">
            <v>0</v>
          </cell>
        </row>
        <row r="269">
          <cell r="A269" t="str">
            <v>201 2014 10 1211 00006</v>
          </cell>
          <cell r="B269">
            <v>16</v>
          </cell>
          <cell r="C269">
            <v>41674.662615740737</v>
          </cell>
          <cell r="D269">
            <v>5.4945054945054937E-2</v>
          </cell>
          <cell r="E269">
            <v>0</v>
          </cell>
          <cell r="F269">
            <v>0.94505494505494503</v>
          </cell>
          <cell r="G269">
            <v>0</v>
          </cell>
        </row>
        <row r="270">
          <cell r="A270" t="str">
            <v>201 2015 10 1211 00006</v>
          </cell>
          <cell r="B270">
            <v>29</v>
          </cell>
          <cell r="C270">
            <v>42073.487847222219</v>
          </cell>
          <cell r="D270">
            <v>5.5730525106515168E-2</v>
          </cell>
          <cell r="E270">
            <v>0</v>
          </cell>
          <cell r="F270">
            <v>0.94426947489348489</v>
          </cell>
          <cell r="G270">
            <v>0</v>
          </cell>
        </row>
        <row r="271">
          <cell r="A271" t="str">
            <v>201 2014 10 1211 00006</v>
          </cell>
          <cell r="B271">
            <v>49</v>
          </cell>
          <cell r="C271">
            <v>41728.556875000002</v>
          </cell>
          <cell r="D271">
            <v>5.4945054945054937E-2</v>
          </cell>
          <cell r="E271">
            <v>0</v>
          </cell>
          <cell r="F271">
            <v>0.94505494505494503</v>
          </cell>
          <cell r="G271">
            <v>0</v>
          </cell>
        </row>
        <row r="272">
          <cell r="A272" t="str">
            <v>201 2014 10 1211 00006</v>
          </cell>
          <cell r="B272">
            <v>69</v>
          </cell>
          <cell r="C272">
            <v>41641.3753125</v>
          </cell>
          <cell r="D272">
            <v>5.4945054945054937E-2</v>
          </cell>
          <cell r="E272">
            <v>0</v>
          </cell>
          <cell r="F272">
            <v>0.94505494505494503</v>
          </cell>
          <cell r="G272">
            <v>0</v>
          </cell>
        </row>
        <row r="273">
          <cell r="A273" t="str">
            <v>201 2014 10 1211 00006</v>
          </cell>
          <cell r="B273">
            <v>70</v>
          </cell>
          <cell r="C273">
            <v>41704.396701388891</v>
          </cell>
          <cell r="D273">
            <v>5.4945054945054937E-2</v>
          </cell>
          <cell r="E273">
            <v>0</v>
          </cell>
          <cell r="F273">
            <v>0.94505494505494503</v>
          </cell>
          <cell r="G273">
            <v>0</v>
          </cell>
        </row>
        <row r="274">
          <cell r="A274" t="str">
            <v>201 2014 10 1211 00006</v>
          </cell>
          <cell r="B274">
            <v>94</v>
          </cell>
          <cell r="C274">
            <v>41815.499571759261</v>
          </cell>
          <cell r="D274">
            <v>5.4945054945054937E-2</v>
          </cell>
          <cell r="E274">
            <v>0</v>
          </cell>
          <cell r="F274">
            <v>0.94505494505494503</v>
          </cell>
          <cell r="G274">
            <v>0</v>
          </cell>
        </row>
        <row r="275">
          <cell r="A275" t="str">
            <v>201 2013 10 1211 00006</v>
          </cell>
          <cell r="B275">
            <v>95</v>
          </cell>
          <cell r="C275">
            <v>41442.564247685186</v>
          </cell>
          <cell r="D275">
            <v>5.8823529411764705E-2</v>
          </cell>
          <cell r="E275">
            <v>0</v>
          </cell>
          <cell r="F275">
            <v>0.94117647058823528</v>
          </cell>
          <cell r="G275">
            <v>0</v>
          </cell>
        </row>
        <row r="276">
          <cell r="A276" t="str">
            <v>201 2014 10 1211 00006</v>
          </cell>
          <cell r="B276">
            <v>95</v>
          </cell>
          <cell r="C276">
            <v>41790.50277777778</v>
          </cell>
          <cell r="D276">
            <v>5.4945054945054937E-2</v>
          </cell>
          <cell r="E276">
            <v>0</v>
          </cell>
          <cell r="F276">
            <v>0.94505494505494503</v>
          </cell>
          <cell r="G276">
            <v>0</v>
          </cell>
        </row>
        <row r="277">
          <cell r="A277" t="str">
            <v>201 2014 10 1211 00006</v>
          </cell>
          <cell r="B277">
            <v>6</v>
          </cell>
          <cell r="C277">
            <v>41719.626342592594</v>
          </cell>
          <cell r="D277">
            <v>5.4945054945054937E-2</v>
          </cell>
          <cell r="E277">
            <v>0</v>
          </cell>
          <cell r="F277">
            <v>0.94505494505494503</v>
          </cell>
          <cell r="G277">
            <v>0</v>
          </cell>
        </row>
        <row r="278">
          <cell r="A278" t="str">
            <v>201 2014 10 1211 00006</v>
          </cell>
          <cell r="B278">
            <v>12</v>
          </cell>
          <cell r="C278">
            <v>41742.65048611111</v>
          </cell>
          <cell r="D278">
            <v>5.4945054945054937E-2</v>
          </cell>
          <cell r="E278">
            <v>0</v>
          </cell>
          <cell r="F278">
            <v>0.94505494505494503</v>
          </cell>
          <cell r="G278">
            <v>0</v>
          </cell>
        </row>
        <row r="279">
          <cell r="A279" t="str">
            <v>201 2015 10 1211 00006</v>
          </cell>
          <cell r="B279">
            <v>12</v>
          </cell>
          <cell r="C279">
            <v>42055.555775462963</v>
          </cell>
          <cell r="D279">
            <v>5.5730525106515168E-2</v>
          </cell>
          <cell r="E279">
            <v>0</v>
          </cell>
          <cell r="F279">
            <v>0.94426947489348489</v>
          </cell>
          <cell r="G279">
            <v>0</v>
          </cell>
        </row>
        <row r="280">
          <cell r="A280" t="str">
            <v>201 2015 10 1211 00006</v>
          </cell>
          <cell r="B280">
            <v>23</v>
          </cell>
          <cell r="C280">
            <v>42055.592916666668</v>
          </cell>
          <cell r="D280">
            <v>5.5730525106515168E-2</v>
          </cell>
          <cell r="E280">
            <v>0</v>
          </cell>
          <cell r="F280">
            <v>0.94426947489348489</v>
          </cell>
          <cell r="G280">
            <v>0</v>
          </cell>
        </row>
        <row r="281">
          <cell r="A281" t="str">
            <v>201 2012 10 1211 00006</v>
          </cell>
          <cell r="B281">
            <v>24</v>
          </cell>
          <cell r="C281">
            <v>41236.399907407409</v>
          </cell>
          <cell r="D281">
            <v>7.2738201232028885E-2</v>
          </cell>
          <cell r="E281">
            <v>0</v>
          </cell>
          <cell r="F281">
            <v>0.9272617987679711</v>
          </cell>
          <cell r="G281">
            <v>0</v>
          </cell>
        </row>
        <row r="282">
          <cell r="A282" t="str">
            <v>201 2013 10 1211 00006</v>
          </cell>
          <cell r="B282">
            <v>39</v>
          </cell>
          <cell r="C282">
            <v>41334.36310185185</v>
          </cell>
          <cell r="D282">
            <v>5.8823529411764705E-2</v>
          </cell>
          <cell r="E282">
            <v>0</v>
          </cell>
          <cell r="F282">
            <v>0.94117647058823528</v>
          </cell>
          <cell r="G282">
            <v>0</v>
          </cell>
        </row>
        <row r="283">
          <cell r="A283" t="str">
            <v>201 2015 10 1211 00006</v>
          </cell>
          <cell r="B283">
            <v>39</v>
          </cell>
          <cell r="C283">
            <v>42036.589861111112</v>
          </cell>
          <cell r="D283">
            <v>5.5730525106515168E-2</v>
          </cell>
          <cell r="E283">
            <v>0</v>
          </cell>
          <cell r="F283">
            <v>0.94426947489348489</v>
          </cell>
          <cell r="G283">
            <v>0</v>
          </cell>
        </row>
        <row r="284">
          <cell r="A284" t="str">
            <v>201 2013 10 1211 00006</v>
          </cell>
          <cell r="B284">
            <v>40</v>
          </cell>
          <cell r="C284">
            <v>41276</v>
          </cell>
          <cell r="D284">
            <v>5.8823529411764705E-2</v>
          </cell>
          <cell r="E284">
            <v>0</v>
          </cell>
          <cell r="F284">
            <v>0.94117647058823528</v>
          </cell>
          <cell r="G284">
            <v>0</v>
          </cell>
        </row>
        <row r="285">
          <cell r="A285" t="str">
            <v>201 2014 10 1211 00006</v>
          </cell>
          <cell r="B285">
            <v>60</v>
          </cell>
          <cell r="C285">
            <v>41731.651307870372</v>
          </cell>
          <cell r="D285">
            <v>5.4945054945054937E-2</v>
          </cell>
          <cell r="E285">
            <v>0</v>
          </cell>
          <cell r="F285">
            <v>0.94505494505494503</v>
          </cell>
          <cell r="G285">
            <v>0</v>
          </cell>
        </row>
        <row r="286">
          <cell r="A286" t="str">
            <v>201 2014 10 1211 00006</v>
          </cell>
          <cell r="B286">
            <v>83</v>
          </cell>
          <cell r="C286">
            <v>41731.471828703703</v>
          </cell>
          <cell r="D286">
            <v>5.4945054945054937E-2</v>
          </cell>
          <cell r="E286">
            <v>0</v>
          </cell>
          <cell r="F286">
            <v>0.94505494505494503</v>
          </cell>
          <cell r="G286">
            <v>0</v>
          </cell>
        </row>
        <row r="287">
          <cell r="A287" t="str">
            <v>201 2013 10 1211 00006</v>
          </cell>
          <cell r="B287">
            <v>84</v>
          </cell>
          <cell r="C287">
            <v>41426.635578703703</v>
          </cell>
          <cell r="D287">
            <v>5.8823529411764705E-2</v>
          </cell>
          <cell r="E287">
            <v>0</v>
          </cell>
          <cell r="F287">
            <v>0.94117647058823528</v>
          </cell>
          <cell r="G287">
            <v>0</v>
          </cell>
        </row>
        <row r="288">
          <cell r="A288" t="str">
            <v>201 2014 10 1211 00006</v>
          </cell>
          <cell r="B288">
            <v>84</v>
          </cell>
          <cell r="C288">
            <v>41758.475659722222</v>
          </cell>
          <cell r="D288">
            <v>5.4945054945054937E-2</v>
          </cell>
          <cell r="E288">
            <v>0</v>
          </cell>
          <cell r="F288">
            <v>0.94505494505494503</v>
          </cell>
          <cell r="G288">
            <v>0</v>
          </cell>
        </row>
        <row r="289">
          <cell r="A289" t="str">
            <v>201 2013 10 1211 00006</v>
          </cell>
          <cell r="B289">
            <v>112</v>
          </cell>
          <cell r="C289">
            <v>41502.418611111112</v>
          </cell>
          <cell r="D289">
            <v>5.8823529411764705E-2</v>
          </cell>
          <cell r="E289">
            <v>0</v>
          </cell>
          <cell r="F289">
            <v>0.94117647058823528</v>
          </cell>
          <cell r="G289">
            <v>0</v>
          </cell>
        </row>
        <row r="290">
          <cell r="A290" t="str">
            <v>201 2015 10 1211 00006</v>
          </cell>
          <cell r="B290">
            <v>2</v>
          </cell>
          <cell r="C290">
            <v>42005.708333333336</v>
          </cell>
          <cell r="D290">
            <v>5.5730525106515168E-2</v>
          </cell>
          <cell r="E290">
            <v>0</v>
          </cell>
          <cell r="F290">
            <v>0.94426947489348489</v>
          </cell>
          <cell r="G290">
            <v>0</v>
          </cell>
        </row>
        <row r="291">
          <cell r="A291" t="str">
            <v>201 2013 10 1211 00006</v>
          </cell>
          <cell r="B291">
            <v>11</v>
          </cell>
          <cell r="C291">
            <v>41306.464050925926</v>
          </cell>
          <cell r="D291">
            <v>5.8823529411764705E-2</v>
          </cell>
          <cell r="E291">
            <v>0</v>
          </cell>
          <cell r="F291">
            <v>0.94117647058823528</v>
          </cell>
          <cell r="G291">
            <v>0</v>
          </cell>
        </row>
        <row r="292">
          <cell r="A292" t="str">
            <v>201 2014 10 1211 00006</v>
          </cell>
          <cell r="B292">
            <v>11</v>
          </cell>
          <cell r="C292">
            <v>41684.647465277776</v>
          </cell>
          <cell r="D292">
            <v>5.4945054945054937E-2</v>
          </cell>
          <cell r="E292">
            <v>0</v>
          </cell>
          <cell r="F292">
            <v>0.94505494505494503</v>
          </cell>
          <cell r="G292">
            <v>0</v>
          </cell>
        </row>
        <row r="293">
          <cell r="A293" t="str">
            <v>201 2015 10 1211 00006</v>
          </cell>
          <cell r="B293">
            <v>11</v>
          </cell>
          <cell r="C293">
            <v>42019.545277777775</v>
          </cell>
          <cell r="D293">
            <v>5.5730525106515168E-2</v>
          </cell>
          <cell r="E293">
            <v>0</v>
          </cell>
          <cell r="F293">
            <v>0.94426947489348489</v>
          </cell>
          <cell r="G293">
            <v>0</v>
          </cell>
        </row>
        <row r="294">
          <cell r="A294" t="str">
            <v>201 2012 10 1211 00006</v>
          </cell>
          <cell r="B294">
            <v>21</v>
          </cell>
          <cell r="C294">
            <v>41217.506701388891</v>
          </cell>
          <cell r="D294">
            <v>7.2738201232028885E-2</v>
          </cell>
          <cell r="E294">
            <v>0</v>
          </cell>
          <cell r="F294">
            <v>0.9272617987679711</v>
          </cell>
          <cell r="G294">
            <v>0</v>
          </cell>
        </row>
        <row r="295">
          <cell r="A295" t="str">
            <v>201 2015 10 1211 00006</v>
          </cell>
          <cell r="B295">
            <v>35</v>
          </cell>
          <cell r="C295">
            <v>42165.604710648149</v>
          </cell>
          <cell r="D295">
            <v>5.5730525106515168E-2</v>
          </cell>
          <cell r="E295">
            <v>0</v>
          </cell>
          <cell r="F295">
            <v>0.94426947489348489</v>
          </cell>
          <cell r="G295">
            <v>0</v>
          </cell>
        </row>
        <row r="296">
          <cell r="A296" t="str">
            <v>201 2015 10 1211 00006</v>
          </cell>
          <cell r="B296">
            <v>36</v>
          </cell>
          <cell r="C296">
            <v>42109.586956018517</v>
          </cell>
          <cell r="D296">
            <v>5.5730525106515168E-2</v>
          </cell>
          <cell r="E296">
            <v>0</v>
          </cell>
          <cell r="F296">
            <v>0.94426947489348489</v>
          </cell>
          <cell r="G296">
            <v>0</v>
          </cell>
        </row>
        <row r="297">
          <cell r="A297" t="str">
            <v>201 2013 10 1211 00006</v>
          </cell>
          <cell r="B297">
            <v>56</v>
          </cell>
          <cell r="C297">
            <v>41385.429039351853</v>
          </cell>
          <cell r="D297">
            <v>5.8823529411764705E-2</v>
          </cell>
          <cell r="E297">
            <v>0</v>
          </cell>
          <cell r="F297">
            <v>0.94117647058823528</v>
          </cell>
          <cell r="G297">
            <v>0</v>
          </cell>
        </row>
        <row r="298">
          <cell r="A298" t="str">
            <v>201 2014 10 1211 00006</v>
          </cell>
          <cell r="B298">
            <v>56</v>
          </cell>
          <cell r="C298">
            <v>41699.635231481479</v>
          </cell>
          <cell r="D298">
            <v>5.4945054945054937E-2</v>
          </cell>
          <cell r="E298">
            <v>0</v>
          </cell>
          <cell r="F298">
            <v>0.94505494505494503</v>
          </cell>
          <cell r="G298">
            <v>0</v>
          </cell>
        </row>
        <row r="299">
          <cell r="A299" t="str">
            <v>201 2013 10 1211 00006</v>
          </cell>
          <cell r="B299">
            <v>79</v>
          </cell>
          <cell r="C299">
            <v>41438.622118055559</v>
          </cell>
          <cell r="D299">
            <v>5.8823529411764705E-2</v>
          </cell>
          <cell r="E299">
            <v>0</v>
          </cell>
          <cell r="F299">
            <v>0.94117647058823528</v>
          </cell>
          <cell r="G299">
            <v>0</v>
          </cell>
        </row>
        <row r="300">
          <cell r="A300" t="str">
            <v>115 2014 11 1211 00005</v>
          </cell>
          <cell r="B300">
            <v>2</v>
          </cell>
          <cell r="C300">
            <v>41855.416666666664</v>
          </cell>
          <cell r="D300">
            <v>0.5494505494505495</v>
          </cell>
          <cell r="E300">
            <v>0</v>
          </cell>
          <cell r="F300">
            <v>0.45054945054945056</v>
          </cell>
          <cell r="G300">
            <v>0</v>
          </cell>
        </row>
        <row r="301">
          <cell r="A301" t="str">
            <v>115 2014 11 1211 00005</v>
          </cell>
          <cell r="B301">
            <v>2</v>
          </cell>
          <cell r="C301">
            <v>42026.616435185184</v>
          </cell>
          <cell r="D301">
            <v>0.5494505494505495</v>
          </cell>
          <cell r="E301">
            <v>0</v>
          </cell>
          <cell r="F301">
            <v>0.45054945054945056</v>
          </cell>
          <cell r="G301">
            <v>0</v>
          </cell>
        </row>
        <row r="302">
          <cell r="A302" t="str">
            <v>201 2011 10 1211 00001</v>
          </cell>
          <cell r="B302">
            <v>3</v>
          </cell>
          <cell r="C302">
            <v>40614</v>
          </cell>
          <cell r="D302">
            <v>1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201 2012 10 1211 00006</v>
          </cell>
          <cell r="B303">
            <v>3</v>
          </cell>
          <cell r="C303">
            <v>41091.480034722219</v>
          </cell>
          <cell r="D303">
            <v>7.2738201232028885E-2</v>
          </cell>
          <cell r="E303">
            <v>0</v>
          </cell>
          <cell r="F303">
            <v>0.9272617987679711</v>
          </cell>
          <cell r="G303">
            <v>0</v>
          </cell>
        </row>
        <row r="304">
          <cell r="A304" t="str">
            <v>201 2013 10 1211 00006</v>
          </cell>
          <cell r="B304">
            <v>13</v>
          </cell>
          <cell r="C304">
            <v>41322.473946759259</v>
          </cell>
          <cell r="D304">
            <v>5.8823529411764705E-2</v>
          </cell>
          <cell r="E304">
            <v>0</v>
          </cell>
          <cell r="F304">
            <v>0.94117647058823528</v>
          </cell>
          <cell r="G304">
            <v>0</v>
          </cell>
        </row>
        <row r="305">
          <cell r="A305" t="str">
            <v>201 2014 10 1211 00006</v>
          </cell>
          <cell r="B305">
            <v>13</v>
          </cell>
          <cell r="C305">
            <v>41652.653599537036</v>
          </cell>
          <cell r="D305">
            <v>5.4945054945054937E-2</v>
          </cell>
          <cell r="E305">
            <v>0</v>
          </cell>
          <cell r="F305">
            <v>0.94505494505494503</v>
          </cell>
          <cell r="G305">
            <v>0</v>
          </cell>
        </row>
        <row r="306">
          <cell r="A306" t="str">
            <v>201 2012 10 1211 00006</v>
          </cell>
          <cell r="B306">
            <v>25</v>
          </cell>
          <cell r="C306">
            <v>41235.403310185182</v>
          </cell>
          <cell r="D306">
            <v>7.2738201232028885E-2</v>
          </cell>
          <cell r="E306">
            <v>0</v>
          </cell>
          <cell r="F306">
            <v>0.9272617987679711</v>
          </cell>
          <cell r="G306">
            <v>0</v>
          </cell>
        </row>
        <row r="307">
          <cell r="A307" t="str">
            <v>201 2015 10 1211 00006</v>
          </cell>
          <cell r="B307">
            <v>41</v>
          </cell>
          <cell r="C307">
            <v>42183.620868055557</v>
          </cell>
          <cell r="D307">
            <v>5.5730525106515168E-2</v>
          </cell>
          <cell r="E307">
            <v>0</v>
          </cell>
          <cell r="F307">
            <v>0.94426947489348489</v>
          </cell>
          <cell r="G307">
            <v>0</v>
          </cell>
        </row>
        <row r="308">
          <cell r="A308" t="str">
            <v>201 2013 10 1211 00006</v>
          </cell>
          <cell r="B308">
            <v>42</v>
          </cell>
          <cell r="C308">
            <v>41371.36277777778</v>
          </cell>
          <cell r="D308">
            <v>5.8823529411764705E-2</v>
          </cell>
          <cell r="E308">
            <v>0</v>
          </cell>
          <cell r="F308">
            <v>0.94117647058823528</v>
          </cell>
          <cell r="G308">
            <v>0</v>
          </cell>
        </row>
        <row r="309">
          <cell r="A309" t="str">
            <v>201 2015 10 1211 00006</v>
          </cell>
          <cell r="B309">
            <v>42</v>
          </cell>
          <cell r="C309">
            <v>42185.602256944447</v>
          </cell>
          <cell r="D309">
            <v>5.5730525106515168E-2</v>
          </cell>
          <cell r="E309">
            <v>0</v>
          </cell>
          <cell r="F309">
            <v>0.94426947489348489</v>
          </cell>
          <cell r="G309">
            <v>0</v>
          </cell>
        </row>
        <row r="310">
          <cell r="A310" t="str">
            <v>201 2014 10 1211 00006</v>
          </cell>
          <cell r="B310">
            <v>62</v>
          </cell>
          <cell r="C310">
            <v>41751.658553240741</v>
          </cell>
          <cell r="D310">
            <v>5.4945054945054937E-2</v>
          </cell>
          <cell r="E310">
            <v>0</v>
          </cell>
          <cell r="F310">
            <v>0.94505494505494503</v>
          </cell>
          <cell r="G310">
            <v>0</v>
          </cell>
        </row>
        <row r="311">
          <cell r="A311" t="str">
            <v>201 2014 10 1211 00006</v>
          </cell>
          <cell r="B311">
            <v>86</v>
          </cell>
          <cell r="C311">
            <v>41797.479421296295</v>
          </cell>
          <cell r="D311">
            <v>5.4945054945054937E-2</v>
          </cell>
          <cell r="E311">
            <v>0</v>
          </cell>
          <cell r="F311">
            <v>0.94505494505494503</v>
          </cell>
          <cell r="G311">
            <v>0</v>
          </cell>
        </row>
        <row r="312">
          <cell r="A312" t="str">
            <v>201 2013 10 1211 00006</v>
          </cell>
          <cell r="B312">
            <v>87</v>
          </cell>
          <cell r="C312">
            <v>41461.548668981479</v>
          </cell>
          <cell r="D312">
            <v>5.8823529411764705E-2</v>
          </cell>
          <cell r="E312">
            <v>0</v>
          </cell>
          <cell r="F312">
            <v>0.94117647058823528</v>
          </cell>
          <cell r="G312">
            <v>0</v>
          </cell>
        </row>
        <row r="313">
          <cell r="A313" t="str">
            <v>115 2014 11 1211 00005</v>
          </cell>
          <cell r="B313">
            <v>3</v>
          </cell>
          <cell r="C313">
            <v>42026.416666666664</v>
          </cell>
          <cell r="D313">
            <v>0.5494505494505495</v>
          </cell>
          <cell r="E313">
            <v>0</v>
          </cell>
          <cell r="F313">
            <v>0.45054945054945056</v>
          </cell>
          <cell r="G313">
            <v>0</v>
          </cell>
        </row>
        <row r="314">
          <cell r="A314" t="str">
            <v>201 2013 10 1211 00006</v>
          </cell>
          <cell r="B314">
            <v>7</v>
          </cell>
          <cell r="C314">
            <v>41303.4528587963</v>
          </cell>
          <cell r="D314">
            <v>5.8823529411764705E-2</v>
          </cell>
          <cell r="E314">
            <v>0</v>
          </cell>
          <cell r="F314">
            <v>0.94117647058823528</v>
          </cell>
          <cell r="G314">
            <v>0</v>
          </cell>
        </row>
        <row r="315">
          <cell r="A315" t="str">
            <v>201 2012 10 1211 00006</v>
          </cell>
          <cell r="B315">
            <v>9</v>
          </cell>
          <cell r="C315">
            <v>41131.588576388887</v>
          </cell>
          <cell r="D315">
            <v>7.2738201232028885E-2</v>
          </cell>
          <cell r="E315">
            <v>0</v>
          </cell>
          <cell r="F315">
            <v>0.9272617987679711</v>
          </cell>
          <cell r="G315">
            <v>0</v>
          </cell>
        </row>
        <row r="316">
          <cell r="A316" t="str">
            <v>201 2014 10 1211 00006</v>
          </cell>
          <cell r="B316">
            <v>15</v>
          </cell>
          <cell r="C316">
            <v>41677.660567129627</v>
          </cell>
          <cell r="D316">
            <v>5.4945054945054937E-2</v>
          </cell>
          <cell r="E316">
            <v>0</v>
          </cell>
          <cell r="F316">
            <v>0.94505494505494503</v>
          </cell>
          <cell r="G316">
            <v>0</v>
          </cell>
        </row>
        <row r="317">
          <cell r="A317" t="str">
            <v>201 2015 10 1211 00006</v>
          </cell>
          <cell r="B317">
            <v>15</v>
          </cell>
          <cell r="C317">
            <v>42040.427916666667</v>
          </cell>
          <cell r="D317">
            <v>5.5730525106515168E-2</v>
          </cell>
          <cell r="E317">
            <v>0</v>
          </cell>
          <cell r="F317">
            <v>0.94426947489348489</v>
          </cell>
          <cell r="G317">
            <v>0</v>
          </cell>
        </row>
        <row r="318">
          <cell r="A318" t="str">
            <v>201 2012 10 1211 00006</v>
          </cell>
          <cell r="B318">
            <v>16</v>
          </cell>
          <cell r="C318">
            <v>41170.666041666664</v>
          </cell>
          <cell r="D318">
            <v>7.2738201232028885E-2</v>
          </cell>
          <cell r="E318">
            <v>0</v>
          </cell>
          <cell r="F318">
            <v>0.9272617987679711</v>
          </cell>
          <cell r="G318">
            <v>0</v>
          </cell>
        </row>
        <row r="319">
          <cell r="A319" t="str">
            <v>201 2015 10 1211 00006</v>
          </cell>
          <cell r="B319">
            <v>27</v>
          </cell>
          <cell r="C319">
            <v>42110.432870370372</v>
          </cell>
          <cell r="D319">
            <v>5.5730525106515168E-2</v>
          </cell>
          <cell r="E319">
            <v>0</v>
          </cell>
          <cell r="F319">
            <v>0.94426947489348489</v>
          </cell>
          <cell r="G319">
            <v>0</v>
          </cell>
        </row>
        <row r="320">
          <cell r="A320" t="str">
            <v>201 2012 10 1211 00006</v>
          </cell>
          <cell r="B320">
            <v>28</v>
          </cell>
          <cell r="C320">
            <v>41253.469398148147</v>
          </cell>
          <cell r="D320">
            <v>7.2738201232028885E-2</v>
          </cell>
          <cell r="E320">
            <v>0</v>
          </cell>
          <cell r="F320">
            <v>0.9272617987679711</v>
          </cell>
          <cell r="G320">
            <v>0</v>
          </cell>
        </row>
        <row r="321">
          <cell r="A321" t="str">
            <v>201 2013 10 1211 00006</v>
          </cell>
          <cell r="B321">
            <v>46</v>
          </cell>
          <cell r="C321">
            <v>41368.382627314815</v>
          </cell>
          <cell r="D321">
            <v>5.8823529411764705E-2</v>
          </cell>
          <cell r="E321">
            <v>0</v>
          </cell>
          <cell r="F321">
            <v>0.94117647058823528</v>
          </cell>
          <cell r="G321">
            <v>0</v>
          </cell>
        </row>
        <row r="322">
          <cell r="A322" t="str">
            <v>201 2015 10 1211 00006</v>
          </cell>
          <cell r="B322">
            <v>46</v>
          </cell>
          <cell r="C322">
            <v>42130.381689814814</v>
          </cell>
          <cell r="D322">
            <v>5.5730525106515168E-2</v>
          </cell>
          <cell r="E322">
            <v>0</v>
          </cell>
          <cell r="F322">
            <v>0.94426947489348489</v>
          </cell>
          <cell r="G322">
            <v>0</v>
          </cell>
        </row>
        <row r="323">
          <cell r="A323" t="str">
            <v>201 2012 10 1211 00004</v>
          </cell>
          <cell r="B323">
            <v>2</v>
          </cell>
          <cell r="C323">
            <v>41145.49046296296</v>
          </cell>
          <cell r="D323">
            <v>1.4755744083876299E-2</v>
          </cell>
          <cell r="E323">
            <v>0</v>
          </cell>
          <cell r="F323">
            <v>0.12524425591612401</v>
          </cell>
          <cell r="G323">
            <v>0.85999999999999976</v>
          </cell>
        </row>
        <row r="324">
          <cell r="A324" t="str">
            <v>201 2014 10 1211 00006</v>
          </cell>
          <cell r="B324">
            <v>5</v>
          </cell>
          <cell r="C324">
            <v>41725.618344907409</v>
          </cell>
          <cell r="D324">
            <v>5.4945054945054937E-2</v>
          </cell>
          <cell r="E324">
            <v>0</v>
          </cell>
          <cell r="F324">
            <v>0.94505494505494503</v>
          </cell>
          <cell r="G324">
            <v>0</v>
          </cell>
        </row>
        <row r="325">
          <cell r="A325" t="str">
            <v>201 2015 10 1211 00006</v>
          </cell>
          <cell r="B325">
            <v>5</v>
          </cell>
          <cell r="C325">
            <v>42024.475173611114</v>
          </cell>
          <cell r="D325">
            <v>5.5730525106515168E-2</v>
          </cell>
          <cell r="E325">
            <v>0</v>
          </cell>
          <cell r="F325">
            <v>0.94426947489348489</v>
          </cell>
          <cell r="G325">
            <v>0</v>
          </cell>
        </row>
        <row r="326">
          <cell r="A326" t="str">
            <v>201 2015 10 1211 00006</v>
          </cell>
          <cell r="B326">
            <v>6</v>
          </cell>
          <cell r="C326">
            <v>42021.490115740744</v>
          </cell>
          <cell r="D326">
            <v>5.5730525106515168E-2</v>
          </cell>
          <cell r="E326">
            <v>0</v>
          </cell>
          <cell r="F326">
            <v>0.94426947489348489</v>
          </cell>
          <cell r="G326">
            <v>0</v>
          </cell>
        </row>
        <row r="327">
          <cell r="A327" t="str">
            <v>201 2015 10 1212 00009</v>
          </cell>
          <cell r="B327">
            <v>7</v>
          </cell>
          <cell r="C327">
            <v>42054.368125000001</v>
          </cell>
          <cell r="D327">
            <v>5.4945054945054951E-2</v>
          </cell>
          <cell r="E327">
            <v>0</v>
          </cell>
          <cell r="F327">
            <v>0.94505494505494503</v>
          </cell>
          <cell r="G327">
            <v>0</v>
          </cell>
        </row>
        <row r="328">
          <cell r="A328" t="str">
            <v>201 2014 10 1212 00010</v>
          </cell>
          <cell r="B328">
            <v>14</v>
          </cell>
          <cell r="C328">
            <v>41791.550416666665</v>
          </cell>
          <cell r="D328">
            <v>0.11718494688808323</v>
          </cell>
          <cell r="E328">
            <v>0</v>
          </cell>
          <cell r="F328">
            <v>0.88281505311191677</v>
          </cell>
          <cell r="G328">
            <v>0</v>
          </cell>
        </row>
        <row r="329">
          <cell r="A329" t="str">
            <v>201 2015 10 1212 00022</v>
          </cell>
          <cell r="B329">
            <v>14</v>
          </cell>
          <cell r="C329">
            <v>42060.387939814813</v>
          </cell>
          <cell r="D329">
            <v>6.7783036483810663E-2</v>
          </cell>
          <cell r="E329">
            <v>0</v>
          </cell>
          <cell r="F329">
            <v>0.53221614270400641</v>
          </cell>
          <cell r="G329">
            <v>0.40000082081218291</v>
          </cell>
        </row>
        <row r="330">
          <cell r="A330" t="str">
            <v>201 2015 10 1212 00018</v>
          </cell>
          <cell r="B330">
            <v>26</v>
          </cell>
          <cell r="C330">
            <v>42358.367152777777</v>
          </cell>
          <cell r="D330">
            <v>0.74161969741916345</v>
          </cell>
          <cell r="E330">
            <v>0</v>
          </cell>
          <cell r="F330">
            <v>0.25838030258083655</v>
          </cell>
          <cell r="G330">
            <v>0</v>
          </cell>
        </row>
        <row r="331">
          <cell r="A331" t="str">
            <v>202 2015 10 1212 00008</v>
          </cell>
          <cell r="B331">
            <v>4</v>
          </cell>
          <cell r="C331">
            <v>42103.6403587963</v>
          </cell>
          <cell r="D331">
            <v>0.27379531968513304</v>
          </cell>
          <cell r="E331">
            <v>0</v>
          </cell>
          <cell r="F331">
            <v>0.72620468031486696</v>
          </cell>
          <cell r="G331">
            <v>0</v>
          </cell>
        </row>
        <row r="332">
          <cell r="A332" t="str">
            <v>203 2013 10 1212 00004</v>
          </cell>
          <cell r="B332">
            <v>30</v>
          </cell>
          <cell r="C332">
            <v>41444.623414351852</v>
          </cell>
          <cell r="D332">
            <v>2.0206579462029521E-2</v>
          </cell>
          <cell r="E332">
            <v>0</v>
          </cell>
          <cell r="F332">
            <v>0.32330527139247234</v>
          </cell>
          <cell r="G332">
            <v>0.65648814914549813</v>
          </cell>
        </row>
        <row r="333">
          <cell r="A333" t="str">
            <v>203 2015 10 1212 00003</v>
          </cell>
          <cell r="B333">
            <v>30</v>
          </cell>
          <cell r="C333">
            <v>42205.965277777781</v>
          </cell>
          <cell r="D333">
            <v>2.31076272069227E-2</v>
          </cell>
          <cell r="E333">
            <v>0</v>
          </cell>
          <cell r="F333">
            <v>0.39745118795907064</v>
          </cell>
          <cell r="G333">
            <v>0.57944118483400664</v>
          </cell>
        </row>
        <row r="334">
          <cell r="A334" t="str">
            <v>203 2014 10 1212 00008</v>
          </cell>
          <cell r="B334">
            <v>52</v>
          </cell>
          <cell r="C334">
            <v>41779.587372685186</v>
          </cell>
          <cell r="D334">
            <v>0.31273578792914863</v>
          </cell>
          <cell r="E334">
            <v>0</v>
          </cell>
          <cell r="F334">
            <v>0.68726421207085142</v>
          </cell>
          <cell r="G334">
            <v>0</v>
          </cell>
        </row>
        <row r="335">
          <cell r="A335" t="str">
            <v>203 2015 10 1212 00005</v>
          </cell>
          <cell r="B335">
            <v>52</v>
          </cell>
          <cell r="C335">
            <v>42313.593402777777</v>
          </cell>
          <cell r="D335">
            <v>5.9565902215354301E-2</v>
          </cell>
          <cell r="E335">
            <v>0</v>
          </cell>
          <cell r="F335">
            <v>0.83392263101496</v>
          </cell>
          <cell r="G335">
            <v>0.1065114667696857</v>
          </cell>
        </row>
        <row r="336">
          <cell r="A336" t="str">
            <v>203 2014 10 1212 00009</v>
          </cell>
          <cell r="B336">
            <v>53</v>
          </cell>
          <cell r="C336">
            <v>41775.645104166666</v>
          </cell>
          <cell r="D336">
            <v>5.9565902215354273E-2</v>
          </cell>
          <cell r="E336">
            <v>0</v>
          </cell>
          <cell r="F336">
            <v>0.83392263101495978</v>
          </cell>
          <cell r="G336">
            <v>0.10651146676968593</v>
          </cell>
        </row>
        <row r="337">
          <cell r="A337" t="str">
            <v>201 2014 10 1212 00001</v>
          </cell>
          <cell r="B337">
            <v>10</v>
          </cell>
          <cell r="C337">
            <v>41714.592187499999</v>
          </cell>
          <cell r="D337">
            <v>2.8674022167060706E-2</v>
          </cell>
          <cell r="E337">
            <v>0</v>
          </cell>
          <cell r="F337">
            <v>0.40143631033884986</v>
          </cell>
          <cell r="G337">
            <v>0.56988966749408942</v>
          </cell>
        </row>
        <row r="338">
          <cell r="A338" t="str">
            <v>201 2015 10 1212 00001</v>
          </cell>
          <cell r="B338">
            <v>10</v>
          </cell>
          <cell r="C338">
            <v>42182.480486111112</v>
          </cell>
          <cell r="D338">
            <v>6.5397433281538561E-2</v>
          </cell>
          <cell r="E338">
            <v>0</v>
          </cell>
          <cell r="F338">
            <v>0.93460256671846142</v>
          </cell>
          <cell r="G338">
            <v>0</v>
          </cell>
        </row>
        <row r="339">
          <cell r="A339" t="str">
            <v>201 2012 10 1211 00006</v>
          </cell>
          <cell r="B339">
            <v>13</v>
          </cell>
          <cell r="C339">
            <v>41153.645694444444</v>
          </cell>
          <cell r="D339">
            <v>7.2738201232028885E-2</v>
          </cell>
          <cell r="E339">
            <v>0</v>
          </cell>
          <cell r="F339">
            <v>0.9272617987679711</v>
          </cell>
          <cell r="G339">
            <v>0</v>
          </cell>
        </row>
        <row r="340">
          <cell r="A340" t="str">
            <v>201 2015 10 1211 00006</v>
          </cell>
          <cell r="B340">
            <v>24</v>
          </cell>
          <cell r="C340">
            <v>42140.401516203703</v>
          </cell>
          <cell r="D340">
            <v>5.5730525106515168E-2</v>
          </cell>
          <cell r="E340">
            <v>0</v>
          </cell>
          <cell r="F340">
            <v>0.94426947489348489</v>
          </cell>
          <cell r="G340">
            <v>0</v>
          </cell>
        </row>
        <row r="341">
          <cell r="A341" t="str">
            <v>201 2015 10 1211 00006</v>
          </cell>
          <cell r="B341">
            <v>40</v>
          </cell>
          <cell r="C341">
            <v>42178.617280092592</v>
          </cell>
          <cell r="D341">
            <v>5.5730525106515168E-2</v>
          </cell>
          <cell r="E341">
            <v>0</v>
          </cell>
          <cell r="F341">
            <v>0.94426947489348489</v>
          </cell>
          <cell r="G341">
            <v>0</v>
          </cell>
        </row>
        <row r="342">
          <cell r="A342" t="str">
            <v>201 2013 10 1211 00006</v>
          </cell>
          <cell r="B342">
            <v>41</v>
          </cell>
          <cell r="C342">
            <v>41375.357256944444</v>
          </cell>
          <cell r="D342">
            <v>5.8823529411764705E-2</v>
          </cell>
          <cell r="E342">
            <v>0</v>
          </cell>
          <cell r="F342">
            <v>0.94117647058823528</v>
          </cell>
          <cell r="G342">
            <v>0</v>
          </cell>
        </row>
        <row r="343">
          <cell r="A343" t="str">
            <v>201 2014 10 1211 00006</v>
          </cell>
          <cell r="B343">
            <v>61</v>
          </cell>
          <cell r="C343">
            <v>41735.654178240744</v>
          </cell>
          <cell r="D343">
            <v>5.4945054945054937E-2</v>
          </cell>
          <cell r="E343">
            <v>0</v>
          </cell>
          <cell r="F343">
            <v>0.94505494505494503</v>
          </cell>
          <cell r="G343">
            <v>0</v>
          </cell>
        </row>
        <row r="344">
          <cell r="A344" t="str">
            <v>201 2013 10 1211 00006</v>
          </cell>
          <cell r="B344">
            <v>62</v>
          </cell>
          <cell r="C344">
            <v>41396.444606481484</v>
          </cell>
          <cell r="D344">
            <v>5.8823529411764705E-2</v>
          </cell>
          <cell r="E344">
            <v>0</v>
          </cell>
          <cell r="F344">
            <v>0.94117647058823528</v>
          </cell>
          <cell r="G344">
            <v>0</v>
          </cell>
        </row>
        <row r="345">
          <cell r="A345" t="str">
            <v>201 2013 10 1211 00006</v>
          </cell>
          <cell r="B345">
            <v>85</v>
          </cell>
          <cell r="C345">
            <v>41422.641736111109</v>
          </cell>
          <cell r="D345">
            <v>5.8823529411764705E-2</v>
          </cell>
          <cell r="E345">
            <v>0</v>
          </cell>
          <cell r="F345">
            <v>0.94117647058823528</v>
          </cell>
          <cell r="G345">
            <v>0</v>
          </cell>
        </row>
        <row r="346">
          <cell r="A346" t="str">
            <v>201 2014 10 1211 00006</v>
          </cell>
          <cell r="B346">
            <v>85</v>
          </cell>
          <cell r="C346">
            <v>41722.479317129626</v>
          </cell>
          <cell r="D346">
            <v>5.4945054945054937E-2</v>
          </cell>
          <cell r="E346">
            <v>0</v>
          </cell>
          <cell r="F346">
            <v>0.94505494505494503</v>
          </cell>
          <cell r="G346">
            <v>0</v>
          </cell>
        </row>
        <row r="347">
          <cell r="A347" t="str">
            <v>201 2014 10 1211 00006</v>
          </cell>
          <cell r="B347">
            <v>113</v>
          </cell>
          <cell r="C347">
            <v>41816.333090277774</v>
          </cell>
          <cell r="D347">
            <v>5.4945054945054937E-2</v>
          </cell>
          <cell r="E347">
            <v>0</v>
          </cell>
          <cell r="F347">
            <v>0.94505494505494503</v>
          </cell>
          <cell r="G347">
            <v>0</v>
          </cell>
        </row>
        <row r="348">
          <cell r="A348" t="str">
            <v>201 2014 10 1211 00006</v>
          </cell>
          <cell r="B348">
            <v>114</v>
          </cell>
          <cell r="C348">
            <v>41820.334444444445</v>
          </cell>
          <cell r="D348">
            <v>5.4945054945054937E-2</v>
          </cell>
          <cell r="E348">
            <v>0</v>
          </cell>
          <cell r="F348">
            <v>0.94505494505494503</v>
          </cell>
          <cell r="G348">
            <v>0</v>
          </cell>
        </row>
        <row r="349">
          <cell r="A349" t="str">
            <v>115 2013 10 1211 00003</v>
          </cell>
          <cell r="B349">
            <v>1</v>
          </cell>
          <cell r="C349">
            <v>41684</v>
          </cell>
          <cell r="D349">
            <v>0.41666666666666669</v>
          </cell>
          <cell r="E349">
            <v>0</v>
          </cell>
          <cell r="F349">
            <v>0.58333333333333326</v>
          </cell>
          <cell r="G349">
            <v>0</v>
          </cell>
        </row>
        <row r="350">
          <cell r="A350" t="str">
            <v>115 2014 11 1211 00003</v>
          </cell>
          <cell r="B350">
            <v>1</v>
          </cell>
          <cell r="C350">
            <v>42027.440601851849</v>
          </cell>
          <cell r="D350">
            <v>1</v>
          </cell>
          <cell r="E350">
            <v>0</v>
          </cell>
          <cell r="F350">
            <v>0</v>
          </cell>
          <cell r="G350">
            <v>0</v>
          </cell>
        </row>
        <row r="351">
          <cell r="A351" t="str">
            <v>201 2006 10 1211 00004</v>
          </cell>
          <cell r="B351">
            <v>4</v>
          </cell>
          <cell r="C351">
            <v>39117</v>
          </cell>
          <cell r="D351">
            <v>9.2200000000000004E-2</v>
          </cell>
          <cell r="E351">
            <v>9.0800000000000006E-2</v>
          </cell>
          <cell r="F351">
            <v>0.81699999999999995</v>
          </cell>
          <cell r="G351">
            <v>0</v>
          </cell>
        </row>
        <row r="352">
          <cell r="A352" t="str">
            <v>201 2013 10 1211 00006</v>
          </cell>
          <cell r="B352">
            <v>8</v>
          </cell>
          <cell r="C352">
            <v>41301.456041666665</v>
          </cell>
          <cell r="D352">
            <v>5.8823529411764705E-2</v>
          </cell>
          <cell r="E352">
            <v>0</v>
          </cell>
          <cell r="F352">
            <v>0.94117647058823528</v>
          </cell>
          <cell r="G352">
            <v>0</v>
          </cell>
        </row>
        <row r="353">
          <cell r="A353" t="str">
            <v>201 2006 10 1211 00004</v>
          </cell>
          <cell r="B353">
            <v>15</v>
          </cell>
          <cell r="C353">
            <v>39056</v>
          </cell>
          <cell r="D353">
            <v>9.2200000000000004E-2</v>
          </cell>
          <cell r="E353">
            <v>9.0800000000000006E-2</v>
          </cell>
          <cell r="F353">
            <v>0.81699999999999995</v>
          </cell>
          <cell r="G353">
            <v>0</v>
          </cell>
        </row>
        <row r="354">
          <cell r="A354" t="str">
            <v>201 2012 10 1211 00006</v>
          </cell>
          <cell r="B354">
            <v>15</v>
          </cell>
          <cell r="C354">
            <v>41169.660937499997</v>
          </cell>
          <cell r="D354">
            <v>7.2738201232028885E-2</v>
          </cell>
          <cell r="E354">
            <v>0</v>
          </cell>
          <cell r="F354">
            <v>0.9272617987679711</v>
          </cell>
          <cell r="G354">
            <v>0</v>
          </cell>
        </row>
        <row r="355">
          <cell r="A355" t="str">
            <v>201 2015 10 1211 00006</v>
          </cell>
          <cell r="B355">
            <v>28</v>
          </cell>
          <cell r="C355">
            <v>42068.440057870372</v>
          </cell>
          <cell r="D355">
            <v>5.5730525106515168E-2</v>
          </cell>
          <cell r="E355">
            <v>0</v>
          </cell>
          <cell r="F355">
            <v>0.94426947489348489</v>
          </cell>
          <cell r="G355">
            <v>0</v>
          </cell>
        </row>
        <row r="356">
          <cell r="A356" t="str">
            <v>201 2013 10 1211 00006</v>
          </cell>
          <cell r="B356">
            <v>68</v>
          </cell>
          <cell r="C356">
            <v>41425.468090277776</v>
          </cell>
          <cell r="D356">
            <v>5.8823529411764705E-2</v>
          </cell>
          <cell r="E356">
            <v>0</v>
          </cell>
          <cell r="F356">
            <v>0.94117647058823528</v>
          </cell>
          <cell r="G356">
            <v>0</v>
          </cell>
        </row>
        <row r="357">
          <cell r="A357" t="str">
            <v>201 2014 10 1211 00006</v>
          </cell>
          <cell r="B357">
            <v>68</v>
          </cell>
          <cell r="C357">
            <v>41671.372870370367</v>
          </cell>
          <cell r="D357">
            <v>5.4945054945054937E-2</v>
          </cell>
          <cell r="E357">
            <v>0</v>
          </cell>
          <cell r="F357">
            <v>0.94505494505494503</v>
          </cell>
          <cell r="G357">
            <v>0</v>
          </cell>
        </row>
        <row r="358">
          <cell r="A358" t="str">
            <v>201 2014 10 1211 00006</v>
          </cell>
          <cell r="B358">
            <v>93</v>
          </cell>
          <cell r="C358">
            <v>41737.495138888888</v>
          </cell>
          <cell r="D358">
            <v>5.4945054945054937E-2</v>
          </cell>
          <cell r="E358">
            <v>0</v>
          </cell>
          <cell r="F358">
            <v>0.94505494505494503</v>
          </cell>
          <cell r="G358">
            <v>0</v>
          </cell>
        </row>
        <row r="359">
          <cell r="A359" t="str">
            <v>201 2013 10 1211 00006</v>
          </cell>
          <cell r="B359">
            <v>121</v>
          </cell>
          <cell r="C359">
            <v>41478.498078703706</v>
          </cell>
          <cell r="D359">
            <v>5.8823529411764705E-2</v>
          </cell>
          <cell r="E359">
            <v>0</v>
          </cell>
          <cell r="F359">
            <v>0.94117647058823528</v>
          </cell>
          <cell r="G359">
            <v>0</v>
          </cell>
        </row>
        <row r="360">
          <cell r="A360" t="str">
            <v>201 2014 10 1211 00006</v>
          </cell>
          <cell r="B360">
            <v>121</v>
          </cell>
          <cell r="C360">
            <v>41832.343981481485</v>
          </cell>
          <cell r="D360">
            <v>5.4945054945054937E-2</v>
          </cell>
          <cell r="E360">
            <v>0</v>
          </cell>
          <cell r="F360">
            <v>0.94505494505494503</v>
          </cell>
          <cell r="G360">
            <v>0</v>
          </cell>
        </row>
        <row r="361">
          <cell r="A361" t="str">
            <v>201 2015 10 1211 00006</v>
          </cell>
          <cell r="B361">
            <v>1</v>
          </cell>
          <cell r="C361">
            <v>42017.396215277775</v>
          </cell>
          <cell r="D361">
            <v>5.5730525106515168E-2</v>
          </cell>
          <cell r="E361">
            <v>0</v>
          </cell>
          <cell r="F361">
            <v>0.94426947489348489</v>
          </cell>
          <cell r="G361">
            <v>0</v>
          </cell>
        </row>
        <row r="362">
          <cell r="A362" t="str">
            <v>201 2014 10 1211 00006</v>
          </cell>
          <cell r="B362">
            <v>18</v>
          </cell>
          <cell r="C362">
            <v>41689.670208333337</v>
          </cell>
          <cell r="D362">
            <v>5.4945054945054937E-2</v>
          </cell>
          <cell r="E362">
            <v>0</v>
          </cell>
          <cell r="F362">
            <v>0.94505494505494503</v>
          </cell>
          <cell r="G362">
            <v>0</v>
          </cell>
        </row>
        <row r="363">
          <cell r="A363" t="str">
            <v>201 2012 10 1212 00016</v>
          </cell>
          <cell r="B363">
            <v>19</v>
          </cell>
          <cell r="C363">
            <v>41422.651863425926</v>
          </cell>
          <cell r="D363">
            <v>0.15175381888485223</v>
          </cell>
          <cell r="E363">
            <v>0</v>
          </cell>
          <cell r="F363">
            <v>0.84824618111514782</v>
          </cell>
          <cell r="G363">
            <v>0</v>
          </cell>
        </row>
        <row r="364">
          <cell r="A364" t="str">
            <v>201 2014 10 1212 00007</v>
          </cell>
          <cell r="B364">
            <v>19</v>
          </cell>
          <cell r="C364">
            <v>41826.583333333336</v>
          </cell>
          <cell r="D364">
            <v>5.8823529411764698E-2</v>
          </cell>
          <cell r="E364">
            <v>0</v>
          </cell>
          <cell r="F364">
            <v>0.94117647058823528</v>
          </cell>
          <cell r="G364">
            <v>0</v>
          </cell>
        </row>
        <row r="365">
          <cell r="A365" t="str">
            <v>201 2015 10 1212 00001</v>
          </cell>
          <cell r="B365">
            <v>19</v>
          </cell>
          <cell r="C365">
            <v>42299.402025462965</v>
          </cell>
          <cell r="D365">
            <v>6.5397433281538561E-2</v>
          </cell>
          <cell r="E365">
            <v>0</v>
          </cell>
          <cell r="F365">
            <v>0.93460256671846142</v>
          </cell>
          <cell r="G365">
            <v>0</v>
          </cell>
        </row>
        <row r="366">
          <cell r="A366" t="str">
            <v>203 2014 10 1212 00016</v>
          </cell>
          <cell r="B366">
            <v>1</v>
          </cell>
          <cell r="C366">
            <v>42036.333680555559</v>
          </cell>
          <cell r="D366">
            <v>0.25195996826273698</v>
          </cell>
          <cell r="E366">
            <v>0</v>
          </cell>
          <cell r="F366">
            <v>0.74804003173726297</v>
          </cell>
          <cell r="G366">
            <v>0</v>
          </cell>
        </row>
        <row r="367">
          <cell r="A367" t="str">
            <v>203 2015 10 1212 00006</v>
          </cell>
          <cell r="B367">
            <v>16</v>
          </cell>
          <cell r="C367">
            <v>42120.339548611111</v>
          </cell>
          <cell r="D367">
            <v>0.19400920096068436</v>
          </cell>
          <cell r="E367">
            <v>0</v>
          </cell>
          <cell r="F367">
            <v>0.8059907990393157</v>
          </cell>
          <cell r="G367">
            <v>0</v>
          </cell>
        </row>
        <row r="368">
          <cell r="A368" t="str">
            <v>203 2015 10 1212 00005</v>
          </cell>
          <cell r="B368">
            <v>35</v>
          </cell>
          <cell r="C368">
            <v>42216.614571759259</v>
          </cell>
          <cell r="D368">
            <v>5.9565902215354301E-2</v>
          </cell>
          <cell r="E368">
            <v>0</v>
          </cell>
          <cell r="F368">
            <v>0.83392263101496</v>
          </cell>
          <cell r="G368">
            <v>0.1065114667696857</v>
          </cell>
        </row>
        <row r="369">
          <cell r="A369" t="str">
            <v>203 2012 10 1212 00004</v>
          </cell>
          <cell r="B369">
            <v>36</v>
          </cell>
          <cell r="C369">
            <v>41253.41578703704</v>
          </cell>
          <cell r="D369">
            <v>0.10190846484248681</v>
          </cell>
          <cell r="E369">
            <v>0</v>
          </cell>
          <cell r="F369">
            <v>0.89809153515751317</v>
          </cell>
          <cell r="G369">
            <v>0</v>
          </cell>
        </row>
        <row r="370">
          <cell r="A370" t="str">
            <v>203 2013 10 1212 00005</v>
          </cell>
          <cell r="B370">
            <v>36</v>
          </cell>
          <cell r="C370">
            <v>41491.601435185185</v>
          </cell>
          <cell r="D370">
            <v>6.3007606812346864E-2</v>
          </cell>
          <cell r="E370">
            <v>0</v>
          </cell>
          <cell r="F370">
            <v>0.80649736719803999</v>
          </cell>
          <cell r="G370">
            <v>0.13049502598961316</v>
          </cell>
        </row>
        <row r="371">
          <cell r="A371" t="str">
            <v>203 2015 10 1212 00018</v>
          </cell>
          <cell r="B371">
            <v>58</v>
          </cell>
          <cell r="C371">
            <v>42340.618009259262</v>
          </cell>
          <cell r="D371">
            <v>0.3493083694285315</v>
          </cell>
          <cell r="E371">
            <v>0</v>
          </cell>
          <cell r="F371">
            <v>0.6506916305714685</v>
          </cell>
          <cell r="G371">
            <v>0</v>
          </cell>
        </row>
        <row r="372">
          <cell r="A372" t="str">
            <v>203 2015 10 1212 00019</v>
          </cell>
          <cell r="B372">
            <v>59</v>
          </cell>
          <cell r="C372">
            <v>42297.425949074073</v>
          </cell>
          <cell r="D372">
            <v>0.11657709199246019</v>
          </cell>
          <cell r="E372">
            <v>0</v>
          </cell>
          <cell r="F372">
            <v>0.88342290800753998</v>
          </cell>
          <cell r="G372">
            <v>0</v>
          </cell>
        </row>
        <row r="373">
          <cell r="A373" t="str">
            <v>201 2015 10 1212 00004</v>
          </cell>
          <cell r="B373">
            <v>8</v>
          </cell>
          <cell r="C373">
            <v>42086.434583333335</v>
          </cell>
          <cell r="D373">
            <v>0.23126734505087881</v>
          </cell>
          <cell r="E373">
            <v>0</v>
          </cell>
          <cell r="F373">
            <v>0.76873265494912113</v>
          </cell>
          <cell r="G373">
            <v>0</v>
          </cell>
        </row>
        <row r="374">
          <cell r="A374" t="str">
            <v>201 2013 10 1212 00004</v>
          </cell>
          <cell r="B374">
            <v>16</v>
          </cell>
          <cell r="C374">
            <v>41416.386030092595</v>
          </cell>
          <cell r="D374">
            <v>7.2463768115942032E-2</v>
          </cell>
          <cell r="E374">
            <v>0</v>
          </cell>
          <cell r="F374">
            <v>0.92753623188405798</v>
          </cell>
          <cell r="G374">
            <v>0</v>
          </cell>
        </row>
        <row r="375">
          <cell r="A375" t="str">
            <v>201 2014 10 1212 00006</v>
          </cell>
          <cell r="B375">
            <v>16</v>
          </cell>
          <cell r="C375">
            <v>41805.437210648146</v>
          </cell>
          <cell r="D375">
            <v>6.6666666666666666E-2</v>
          </cell>
          <cell r="E375">
            <v>0</v>
          </cell>
          <cell r="F375">
            <v>0.93333333333333335</v>
          </cell>
          <cell r="G375">
            <v>0</v>
          </cell>
        </row>
        <row r="376">
          <cell r="A376" t="str">
            <v>201 2014 10 1212 00007</v>
          </cell>
          <cell r="B376">
            <v>29</v>
          </cell>
          <cell r="C376">
            <v>41982.521145833336</v>
          </cell>
          <cell r="D376">
            <v>5.8823529411764698E-2</v>
          </cell>
          <cell r="E376">
            <v>0</v>
          </cell>
          <cell r="F376">
            <v>0.94117647058823528</v>
          </cell>
          <cell r="G376">
            <v>0</v>
          </cell>
        </row>
        <row r="377">
          <cell r="A377" t="str">
            <v>202 2011 10 1212 00006</v>
          </cell>
          <cell r="B377">
            <v>1</v>
          </cell>
          <cell r="C377">
            <v>40550</v>
          </cell>
          <cell r="D377">
            <v>0.75187969924812026</v>
          </cell>
          <cell r="E377">
            <v>0</v>
          </cell>
          <cell r="F377">
            <v>0.24812030075187974</v>
          </cell>
          <cell r="G377">
            <v>0</v>
          </cell>
        </row>
        <row r="378">
          <cell r="A378" t="str">
            <v>202 2013 12 1212 00015</v>
          </cell>
          <cell r="B378">
            <v>5</v>
          </cell>
          <cell r="C378">
            <v>41310.658773148149</v>
          </cell>
          <cell r="D378">
            <v>7.386615452799529E-2</v>
          </cell>
          <cell r="E378">
            <v>0</v>
          </cell>
          <cell r="F378">
            <v>0.92613384547200472</v>
          </cell>
          <cell r="G378">
            <v>0</v>
          </cell>
        </row>
        <row r="379">
          <cell r="A379" t="str">
            <v>202 2014 10 1212 00005</v>
          </cell>
          <cell r="B379">
            <v>5</v>
          </cell>
          <cell r="C379">
            <v>41885.430231481485</v>
          </cell>
          <cell r="D379">
            <v>0.75</v>
          </cell>
          <cell r="E379">
            <v>0</v>
          </cell>
          <cell r="F379">
            <v>0.25</v>
          </cell>
          <cell r="G379">
            <v>0</v>
          </cell>
        </row>
        <row r="380">
          <cell r="A380" t="str">
            <v>202 2015 10 1212 00008</v>
          </cell>
          <cell r="B380">
            <v>5</v>
          </cell>
          <cell r="C380">
            <v>42101.647523148145</v>
          </cell>
          <cell r="D380">
            <v>0.27379531968513304</v>
          </cell>
          <cell r="E380">
            <v>0</v>
          </cell>
          <cell r="F380">
            <v>0.72620468031486696</v>
          </cell>
          <cell r="G380">
            <v>0</v>
          </cell>
        </row>
        <row r="381">
          <cell r="A381" t="str">
            <v>203 2015 10 1212 00003</v>
          </cell>
          <cell r="B381">
            <v>27</v>
          </cell>
          <cell r="C381">
            <v>42177.476423611108</v>
          </cell>
          <cell r="D381">
            <v>2.31076272069227E-2</v>
          </cell>
          <cell r="E381">
            <v>0</v>
          </cell>
          <cell r="F381">
            <v>0.39745118795907064</v>
          </cell>
          <cell r="G381">
            <v>0.57944118483400664</v>
          </cell>
        </row>
        <row r="382">
          <cell r="A382" t="str">
            <v>203 2014 10 1212 00003</v>
          </cell>
          <cell r="B382">
            <v>28</v>
          </cell>
          <cell r="C382">
            <v>41677.84375</v>
          </cell>
          <cell r="D382">
            <v>2.3934698565896376E-2</v>
          </cell>
          <cell r="E382">
            <v>0</v>
          </cell>
          <cell r="F382">
            <v>0.41167681533341766</v>
          </cell>
          <cell r="G382">
            <v>0.56438848610068604</v>
          </cell>
        </row>
        <row r="383">
          <cell r="A383" t="str">
            <v>203 2013 10 1212 00004</v>
          </cell>
          <cell r="B383">
            <v>49</v>
          </cell>
          <cell r="C383">
            <v>41585.583333333336</v>
          </cell>
          <cell r="D383">
            <v>2.0206579462029521E-2</v>
          </cell>
          <cell r="E383">
            <v>0</v>
          </cell>
          <cell r="F383">
            <v>0.32330527139247234</v>
          </cell>
          <cell r="G383">
            <v>0.65648814914549813</v>
          </cell>
        </row>
        <row r="384">
          <cell r="A384" t="str">
            <v>203 2015 10 1212 00005</v>
          </cell>
          <cell r="B384">
            <v>49</v>
          </cell>
          <cell r="C384">
            <v>42291.54482638889</v>
          </cell>
          <cell r="D384">
            <v>5.9565902215354301E-2</v>
          </cell>
          <cell r="E384">
            <v>0</v>
          </cell>
          <cell r="F384">
            <v>0.83392263101496</v>
          </cell>
          <cell r="G384">
            <v>0.1065114667696857</v>
          </cell>
        </row>
        <row r="385">
          <cell r="A385" t="str">
            <v>203 2014 10 1212 00004</v>
          </cell>
          <cell r="B385">
            <v>74</v>
          </cell>
          <cell r="C385">
            <v>41851.35229166667</v>
          </cell>
          <cell r="D385">
            <v>1</v>
          </cell>
          <cell r="E385">
            <v>0</v>
          </cell>
          <cell r="F385">
            <v>0</v>
          </cell>
          <cell r="G385">
            <v>0</v>
          </cell>
        </row>
        <row r="386">
          <cell r="A386" t="str">
            <v>201 2015 10 1212 00022</v>
          </cell>
          <cell r="B386">
            <v>13</v>
          </cell>
          <cell r="C386">
            <v>42035.382222222222</v>
          </cell>
          <cell r="D386">
            <v>6.7783036483810663E-2</v>
          </cell>
          <cell r="E386">
            <v>0</v>
          </cell>
          <cell r="F386">
            <v>0.53221614270400641</v>
          </cell>
          <cell r="G386">
            <v>0.40000082081218291</v>
          </cell>
        </row>
        <row r="387">
          <cell r="A387" t="str">
            <v>201 2015 10 1211 00006</v>
          </cell>
          <cell r="B387">
            <v>18</v>
          </cell>
          <cell r="C387">
            <v>42107.495289351849</v>
          </cell>
          <cell r="D387">
            <v>5.5730525106515168E-2</v>
          </cell>
          <cell r="E387">
            <v>0</v>
          </cell>
          <cell r="F387">
            <v>0.94426947489348489</v>
          </cell>
          <cell r="G387">
            <v>0</v>
          </cell>
        </row>
        <row r="388">
          <cell r="A388" t="str">
            <v>201 2012 10 1211 00006</v>
          </cell>
          <cell r="B388">
            <v>19</v>
          </cell>
          <cell r="C388">
            <v>41190.654363425929</v>
          </cell>
          <cell r="D388">
            <v>7.2738201232028885E-2</v>
          </cell>
          <cell r="E388">
            <v>0</v>
          </cell>
          <cell r="F388">
            <v>0.9272617987679711</v>
          </cell>
          <cell r="G388">
            <v>0</v>
          </cell>
        </row>
        <row r="389">
          <cell r="A389" t="str">
            <v>201 2009 13 1211 00003</v>
          </cell>
          <cell r="B389">
            <v>32</v>
          </cell>
          <cell r="C389">
            <v>39962</v>
          </cell>
          <cell r="D389">
            <v>9.2200000000000004E-2</v>
          </cell>
          <cell r="E389">
            <v>9.0800000000000006E-2</v>
          </cell>
          <cell r="F389">
            <v>0.81699999999999995</v>
          </cell>
          <cell r="G389">
            <v>0</v>
          </cell>
        </row>
        <row r="390">
          <cell r="A390" t="str">
            <v>201 2015 10 1211 00006</v>
          </cell>
          <cell r="B390">
            <v>32</v>
          </cell>
          <cell r="C390">
            <v>42117.525011574071</v>
          </cell>
          <cell r="D390">
            <v>5.5730525106515168E-2</v>
          </cell>
          <cell r="E390">
            <v>0</v>
          </cell>
          <cell r="F390">
            <v>0.94426947489348489</v>
          </cell>
          <cell r="G390">
            <v>0</v>
          </cell>
        </row>
        <row r="391">
          <cell r="A391" t="str">
            <v>201 2013 10 1211 00006</v>
          </cell>
          <cell r="B391">
            <v>75</v>
          </cell>
          <cell r="C391">
            <v>41414.613854166666</v>
          </cell>
          <cell r="D391">
            <v>5.8823529411764705E-2</v>
          </cell>
          <cell r="E391">
            <v>0</v>
          </cell>
          <cell r="F391">
            <v>0.94117647058823528</v>
          </cell>
          <cell r="G391">
            <v>0</v>
          </cell>
        </row>
        <row r="392">
          <cell r="A392" t="str">
            <v>201 2014 10 1211 00006</v>
          </cell>
          <cell r="B392">
            <v>75</v>
          </cell>
          <cell r="C392">
            <v>41804.438564814816</v>
          </cell>
          <cell r="D392">
            <v>5.4945054945054937E-2</v>
          </cell>
          <cell r="E392">
            <v>0</v>
          </cell>
          <cell r="F392">
            <v>0.94505494505494503</v>
          </cell>
          <cell r="G392">
            <v>0</v>
          </cell>
        </row>
        <row r="393">
          <cell r="A393" t="str">
            <v>201 2013 10 1211 00006</v>
          </cell>
          <cell r="B393">
            <v>76</v>
          </cell>
          <cell r="C393">
            <v>41443.616099537037</v>
          </cell>
          <cell r="D393">
            <v>5.8823529411764705E-2</v>
          </cell>
          <cell r="E393">
            <v>0</v>
          </cell>
          <cell r="F393">
            <v>0.94117647058823528</v>
          </cell>
          <cell r="G393">
            <v>0</v>
          </cell>
        </row>
        <row r="394">
          <cell r="A394" t="str">
            <v>201 2013 10 1211 00006</v>
          </cell>
          <cell r="B394">
            <v>128</v>
          </cell>
          <cell r="C394">
            <v>41494.444687499999</v>
          </cell>
          <cell r="D394">
            <v>5.8823529411764705E-2</v>
          </cell>
          <cell r="E394">
            <v>0</v>
          </cell>
          <cell r="F394">
            <v>0.94117647058823528</v>
          </cell>
          <cell r="G394">
            <v>0</v>
          </cell>
        </row>
        <row r="395">
          <cell r="A395" t="str">
            <v>201 2013 10 1211 00006</v>
          </cell>
          <cell r="B395">
            <v>129</v>
          </cell>
          <cell r="C395">
            <v>41521.44672453704</v>
          </cell>
          <cell r="D395">
            <v>5.8823529411764705E-2</v>
          </cell>
          <cell r="E395">
            <v>0</v>
          </cell>
          <cell r="F395">
            <v>0.94117647058823528</v>
          </cell>
          <cell r="G395">
            <v>0</v>
          </cell>
        </row>
        <row r="396">
          <cell r="A396" t="str">
            <v>201 2013 10 1211 00006</v>
          </cell>
          <cell r="B396">
            <v>5</v>
          </cell>
          <cell r="C396">
            <v>41294.431354166663</v>
          </cell>
          <cell r="D396">
            <v>5.8823529411764705E-2</v>
          </cell>
          <cell r="E396">
            <v>0</v>
          </cell>
          <cell r="F396">
            <v>0.94117647058823528</v>
          </cell>
          <cell r="G396">
            <v>0</v>
          </cell>
        </row>
        <row r="397">
          <cell r="A397" t="str">
            <v>201 2012 10 1211 00006</v>
          </cell>
          <cell r="B397">
            <v>11</v>
          </cell>
          <cell r="C397">
            <v>41145.616724537038</v>
          </cell>
          <cell r="D397">
            <v>7.2738201232028885E-2</v>
          </cell>
          <cell r="E397">
            <v>0</v>
          </cell>
          <cell r="F397">
            <v>0.9272617987679711</v>
          </cell>
          <cell r="G397">
            <v>0</v>
          </cell>
        </row>
        <row r="398">
          <cell r="A398" t="str">
            <v>201 2012 10 1211 00006</v>
          </cell>
          <cell r="B398">
            <v>20</v>
          </cell>
          <cell r="C398">
            <v>41214.49318287037</v>
          </cell>
          <cell r="D398">
            <v>7.2738201232028885E-2</v>
          </cell>
          <cell r="E398">
            <v>0</v>
          </cell>
          <cell r="F398">
            <v>0.9272617987679711</v>
          </cell>
          <cell r="G398">
            <v>0</v>
          </cell>
        </row>
        <row r="399">
          <cell r="A399" t="str">
            <v>201 2015 10 1212 00003</v>
          </cell>
          <cell r="B399">
            <v>25</v>
          </cell>
          <cell r="C399">
            <v>42331.35900462963</v>
          </cell>
          <cell r="D399">
            <v>0.11717994853980247</v>
          </cell>
          <cell r="E399">
            <v>0</v>
          </cell>
          <cell r="F399">
            <v>0.88282005146019749</v>
          </cell>
          <cell r="G399">
            <v>0</v>
          </cell>
        </row>
        <row r="400">
          <cell r="A400" t="str">
            <v>201 2012 10 1212 00016</v>
          </cell>
          <cell r="B400">
            <v>26</v>
          </cell>
          <cell r="C400">
            <v>41422.430879629632</v>
          </cell>
          <cell r="D400">
            <v>0.15175381888485223</v>
          </cell>
          <cell r="E400">
            <v>0</v>
          </cell>
          <cell r="F400">
            <v>0.84824618111514782</v>
          </cell>
          <cell r="G400">
            <v>0</v>
          </cell>
        </row>
        <row r="401">
          <cell r="A401" t="str">
            <v>201 2014 10 1212 00017</v>
          </cell>
          <cell r="B401">
            <v>26</v>
          </cell>
          <cell r="C401">
            <v>41898.457546296297</v>
          </cell>
          <cell r="D401">
            <v>7.1835509390700381E-2</v>
          </cell>
          <cell r="E401">
            <v>0</v>
          </cell>
          <cell r="F401">
            <v>0.52816449060930004</v>
          </cell>
          <cell r="G401">
            <v>0.39999999999999958</v>
          </cell>
        </row>
        <row r="402">
          <cell r="A402" t="str">
            <v>203 2014 51 1212 00002</v>
          </cell>
          <cell r="B402">
            <v>3</v>
          </cell>
          <cell r="C402">
            <v>41658.650416666664</v>
          </cell>
          <cell r="D402">
            <v>1</v>
          </cell>
          <cell r="E402">
            <v>0</v>
          </cell>
          <cell r="F402">
            <v>0</v>
          </cell>
          <cell r="G402">
            <v>0</v>
          </cell>
        </row>
        <row r="403">
          <cell r="A403" t="str">
            <v>203 2012 10 1212 00001</v>
          </cell>
          <cell r="B403">
            <v>10</v>
          </cell>
          <cell r="C403">
            <v>41085.634895833333</v>
          </cell>
          <cell r="D403">
            <v>1.2305896517794601E-2</v>
          </cell>
          <cell r="E403">
            <v>0</v>
          </cell>
          <cell r="F403">
            <v>0.77500000000000002</v>
          </cell>
          <cell r="G403">
            <v>0.21269410348220541</v>
          </cell>
        </row>
        <row r="404">
          <cell r="A404" t="str">
            <v>203 2015 10 1212 00003</v>
          </cell>
          <cell r="B404">
            <v>10</v>
          </cell>
          <cell r="C404">
            <v>42037.651701388888</v>
          </cell>
          <cell r="D404">
            <v>2.31076272069227E-2</v>
          </cell>
          <cell r="E404">
            <v>0</v>
          </cell>
          <cell r="F404">
            <v>0.39745118795907064</v>
          </cell>
          <cell r="G404">
            <v>0.57944118483400664</v>
          </cell>
        </row>
        <row r="405">
          <cell r="A405" t="str">
            <v>203 2014 10 1212 00004</v>
          </cell>
          <cell r="B405">
            <v>22</v>
          </cell>
          <cell r="C405">
            <v>41710.553946759261</v>
          </cell>
          <cell r="D405">
            <v>1</v>
          </cell>
          <cell r="E405">
            <v>0</v>
          </cell>
          <cell r="F405">
            <v>0</v>
          </cell>
          <cell r="G405">
            <v>0</v>
          </cell>
        </row>
        <row r="406">
          <cell r="A406" t="str">
            <v>203 2015 10 1212 00011</v>
          </cell>
          <cell r="B406">
            <v>22</v>
          </cell>
          <cell r="C406">
            <v>42152.547025462962</v>
          </cell>
          <cell r="D406">
            <v>1</v>
          </cell>
          <cell r="E406">
            <v>0</v>
          </cell>
          <cell r="F406">
            <v>0</v>
          </cell>
          <cell r="G406">
            <v>0</v>
          </cell>
        </row>
        <row r="407">
          <cell r="A407" t="str">
            <v>203 2013 10 1212 00001</v>
          </cell>
          <cell r="B407">
            <v>43</v>
          </cell>
          <cell r="C407">
            <v>41537.646886574075</v>
          </cell>
          <cell r="D407">
            <v>0.46548974499959167</v>
          </cell>
          <cell r="E407">
            <v>0</v>
          </cell>
          <cell r="F407">
            <v>0.53451025500040839</v>
          </cell>
          <cell r="G407">
            <v>0</v>
          </cell>
        </row>
        <row r="408">
          <cell r="A408" t="str">
            <v>203 2014 10 1212 00003</v>
          </cell>
          <cell r="B408">
            <v>69</v>
          </cell>
          <cell r="C408">
            <v>41828.625300925924</v>
          </cell>
          <cell r="D408">
            <v>2.3934698565896376E-2</v>
          </cell>
          <cell r="E408">
            <v>0</v>
          </cell>
          <cell r="F408">
            <v>0.41167681533341766</v>
          </cell>
          <cell r="G408">
            <v>0.56438848610068604</v>
          </cell>
        </row>
        <row r="409">
          <cell r="A409" t="str">
            <v>203 2014 10 1212 00009</v>
          </cell>
          <cell r="B409">
            <v>100</v>
          </cell>
          <cell r="C409">
            <v>41908.462511574071</v>
          </cell>
          <cell r="D409">
            <v>5.9565902215354273E-2</v>
          </cell>
          <cell r="E409">
            <v>0</v>
          </cell>
          <cell r="F409">
            <v>0.83392263101495978</v>
          </cell>
          <cell r="G409">
            <v>0.10651146676968593</v>
          </cell>
        </row>
        <row r="410">
          <cell r="A410" t="str">
            <v>203 2014 10 1212 00003</v>
          </cell>
          <cell r="B410">
            <v>101</v>
          </cell>
          <cell r="C410">
            <v>41915.643935185188</v>
          </cell>
          <cell r="D410">
            <v>2.3934698565896376E-2</v>
          </cell>
          <cell r="E410">
            <v>0</v>
          </cell>
          <cell r="F410">
            <v>0.41167681533341766</v>
          </cell>
          <cell r="G410">
            <v>0.56438848610068604</v>
          </cell>
        </row>
        <row r="411">
          <cell r="A411" t="str">
            <v>201 2013 10 1211 00006</v>
          </cell>
          <cell r="B411">
            <v>20</v>
          </cell>
          <cell r="C411">
            <v>41331.615277777775</v>
          </cell>
          <cell r="D411">
            <v>5.8823529411764705E-2</v>
          </cell>
          <cell r="E411">
            <v>0</v>
          </cell>
          <cell r="F411">
            <v>0.94117647058823528</v>
          </cell>
          <cell r="G411">
            <v>0</v>
          </cell>
        </row>
        <row r="412">
          <cell r="A412" t="str">
            <v>201 2015 10 1211 00006</v>
          </cell>
          <cell r="B412">
            <v>20</v>
          </cell>
          <cell r="C412">
            <v>42029.539525462962</v>
          </cell>
          <cell r="D412">
            <v>5.5730525106515168E-2</v>
          </cell>
          <cell r="E412">
            <v>0</v>
          </cell>
          <cell r="F412">
            <v>0.94426947489348489</v>
          </cell>
          <cell r="G412">
            <v>0</v>
          </cell>
        </row>
        <row r="413">
          <cell r="A413" t="str">
            <v>201 2015 10 1211 00006</v>
          </cell>
          <cell r="B413">
            <v>34</v>
          </cell>
          <cell r="C413">
            <v>42149.040972222225</v>
          </cell>
          <cell r="D413">
            <v>5.5730525106515168E-2</v>
          </cell>
          <cell r="E413">
            <v>0</v>
          </cell>
          <cell r="F413">
            <v>0.94426947489348489</v>
          </cell>
          <cell r="G413">
            <v>0</v>
          </cell>
        </row>
        <row r="414">
          <cell r="A414" t="str">
            <v>201 2014 10 1211 00006</v>
          </cell>
          <cell r="B414">
            <v>55</v>
          </cell>
          <cell r="C414">
            <v>41717.573645833334</v>
          </cell>
          <cell r="D414">
            <v>5.4945054945054937E-2</v>
          </cell>
          <cell r="E414">
            <v>0</v>
          </cell>
          <cell r="F414">
            <v>0.94505494505494503</v>
          </cell>
          <cell r="G414">
            <v>0</v>
          </cell>
        </row>
        <row r="415">
          <cell r="A415" t="str">
            <v>201 2014 10 1211 00006</v>
          </cell>
          <cell r="B415">
            <v>78</v>
          </cell>
          <cell r="C415">
            <v>41768.462557870371</v>
          </cell>
          <cell r="D415">
            <v>5.4945054945054937E-2</v>
          </cell>
          <cell r="E415">
            <v>0</v>
          </cell>
          <cell r="F415">
            <v>0.94505494505494503</v>
          </cell>
          <cell r="G415">
            <v>0</v>
          </cell>
        </row>
        <row r="416">
          <cell r="A416" t="str">
            <v>201 2013 10 1211 00006</v>
          </cell>
          <cell r="B416">
            <v>106</v>
          </cell>
          <cell r="C416">
            <v>41482.38008101852</v>
          </cell>
          <cell r="D416">
            <v>5.8823529411764705E-2</v>
          </cell>
          <cell r="E416">
            <v>0</v>
          </cell>
          <cell r="F416">
            <v>0.94117647058823528</v>
          </cell>
          <cell r="G416">
            <v>0</v>
          </cell>
        </row>
        <row r="417">
          <cell r="A417" t="str">
            <v>201 2014 10 1211 00006</v>
          </cell>
          <cell r="B417">
            <v>106</v>
          </cell>
          <cell r="C417">
            <v>41640.484409722223</v>
          </cell>
          <cell r="D417">
            <v>5.4945054945054937E-2</v>
          </cell>
          <cell r="E417">
            <v>0</v>
          </cell>
          <cell r="F417">
            <v>0.94505494505494503</v>
          </cell>
          <cell r="G417">
            <v>0</v>
          </cell>
        </row>
        <row r="418">
          <cell r="A418" t="str">
            <v>201 2014 10 1211 00006</v>
          </cell>
          <cell r="B418">
            <v>130</v>
          </cell>
          <cell r="C418">
            <v>41893.557314814818</v>
          </cell>
          <cell r="D418">
            <v>5.4945054945054937E-2</v>
          </cell>
          <cell r="E418">
            <v>0</v>
          </cell>
          <cell r="F418">
            <v>0.94505494505494503</v>
          </cell>
          <cell r="G418">
            <v>0</v>
          </cell>
        </row>
        <row r="419">
          <cell r="A419" t="str">
            <v>201 2013 10 1211 00006</v>
          </cell>
          <cell r="B419">
            <v>131</v>
          </cell>
          <cell r="C419">
            <v>41487.450659722221</v>
          </cell>
          <cell r="D419">
            <v>5.8823529411764705E-2</v>
          </cell>
          <cell r="E419">
            <v>0</v>
          </cell>
          <cell r="F419">
            <v>0.94117647058823528</v>
          </cell>
          <cell r="G419">
            <v>0</v>
          </cell>
        </row>
        <row r="420">
          <cell r="A420" t="str">
            <v>201 2015 10 1211 00006</v>
          </cell>
          <cell r="B420">
            <v>21</v>
          </cell>
          <cell r="C420">
            <v>42035.542604166665</v>
          </cell>
          <cell r="D420">
            <v>5.5730525106515168E-2</v>
          </cell>
          <cell r="E420">
            <v>0</v>
          </cell>
          <cell r="F420">
            <v>0.94426947489348489</v>
          </cell>
          <cell r="G420">
            <v>0</v>
          </cell>
        </row>
        <row r="421">
          <cell r="A421" t="str">
            <v>201 2015 10 1211 00006</v>
          </cell>
          <cell r="B421">
            <v>22</v>
          </cell>
          <cell r="C421">
            <v>42100.545590277776</v>
          </cell>
          <cell r="D421">
            <v>5.5730525106515168E-2</v>
          </cell>
          <cell r="E421">
            <v>0</v>
          </cell>
          <cell r="F421">
            <v>0.94426947489348489</v>
          </cell>
          <cell r="G421">
            <v>0</v>
          </cell>
        </row>
        <row r="422">
          <cell r="A422" t="str">
            <v>201 2015 10 1211 00006</v>
          </cell>
          <cell r="B422">
            <v>37</v>
          </cell>
          <cell r="C422">
            <v>42147.606550925928</v>
          </cell>
          <cell r="D422">
            <v>5.5730525106515168E-2</v>
          </cell>
          <cell r="E422">
            <v>0</v>
          </cell>
          <cell r="F422">
            <v>0.94426947489348489</v>
          </cell>
          <cell r="G422">
            <v>0</v>
          </cell>
        </row>
        <row r="423">
          <cell r="A423" t="str">
            <v>201 2013 10 1211 00006</v>
          </cell>
          <cell r="B423">
            <v>57</v>
          </cell>
          <cell r="C423">
            <v>41381.431493055556</v>
          </cell>
          <cell r="D423">
            <v>5.8823529411764705E-2</v>
          </cell>
          <cell r="E423">
            <v>0</v>
          </cell>
          <cell r="F423">
            <v>0.94117647058823528</v>
          </cell>
          <cell r="G423">
            <v>0</v>
          </cell>
        </row>
        <row r="424">
          <cell r="A424" t="str">
            <v>201 2014 10 1211 00006</v>
          </cell>
          <cell r="B424">
            <v>57</v>
          </cell>
          <cell r="C424">
            <v>41699.642835648148</v>
          </cell>
          <cell r="D424">
            <v>5.4945054945054937E-2</v>
          </cell>
          <cell r="E424">
            <v>0</v>
          </cell>
          <cell r="F424">
            <v>0.94505494505494503</v>
          </cell>
          <cell r="G424">
            <v>0</v>
          </cell>
        </row>
        <row r="425">
          <cell r="A425" t="str">
            <v>201 2013 10 1211 00006</v>
          </cell>
          <cell r="B425">
            <v>58</v>
          </cell>
          <cell r="C425">
            <v>41386.43440972222</v>
          </cell>
          <cell r="D425">
            <v>5.8823529411764705E-2</v>
          </cell>
          <cell r="E425">
            <v>0</v>
          </cell>
          <cell r="F425">
            <v>0.94117647058823528</v>
          </cell>
          <cell r="G425">
            <v>0</v>
          </cell>
        </row>
        <row r="426">
          <cell r="A426" t="str">
            <v>201 2014 10 1211 00006</v>
          </cell>
          <cell r="B426">
            <v>58</v>
          </cell>
          <cell r="C426">
            <v>41727.645370370374</v>
          </cell>
          <cell r="D426">
            <v>5.4945054945054937E-2</v>
          </cell>
          <cell r="E426">
            <v>0</v>
          </cell>
          <cell r="F426">
            <v>0.94505494505494503</v>
          </cell>
          <cell r="G426">
            <v>0</v>
          </cell>
        </row>
        <row r="427">
          <cell r="A427" t="str">
            <v>201 2014 10 1211 00006</v>
          </cell>
          <cell r="B427">
            <v>80</v>
          </cell>
          <cell r="C427">
            <v>41723.468576388892</v>
          </cell>
          <cell r="D427">
            <v>5.4945054945054937E-2</v>
          </cell>
          <cell r="E427">
            <v>0</v>
          </cell>
          <cell r="F427">
            <v>0.94505494505494503</v>
          </cell>
          <cell r="G427">
            <v>0</v>
          </cell>
        </row>
        <row r="428">
          <cell r="A428" t="str">
            <v>201 2013 10 1211 00006</v>
          </cell>
          <cell r="B428">
            <v>81</v>
          </cell>
          <cell r="C428">
            <v>41431.626354166663</v>
          </cell>
          <cell r="D428">
            <v>5.8823529411764705E-2</v>
          </cell>
          <cell r="E428">
            <v>0</v>
          </cell>
          <cell r="F428">
            <v>0.94117647058823528</v>
          </cell>
          <cell r="G428">
            <v>0</v>
          </cell>
        </row>
        <row r="429">
          <cell r="A429" t="str">
            <v>201 2014 10 1211 00006</v>
          </cell>
          <cell r="B429">
            <v>81</v>
          </cell>
          <cell r="C429">
            <v>41812.471689814818</v>
          </cell>
          <cell r="D429">
            <v>5.4945054945054937E-2</v>
          </cell>
          <cell r="E429">
            <v>0</v>
          </cell>
          <cell r="F429">
            <v>0.94505494505494503</v>
          </cell>
          <cell r="G429">
            <v>0</v>
          </cell>
        </row>
        <row r="430">
          <cell r="A430" t="str">
            <v>201 2013 10 1211 00006</v>
          </cell>
          <cell r="B430">
            <v>109</v>
          </cell>
          <cell r="C430">
            <v>41477.399722222224</v>
          </cell>
          <cell r="D430">
            <v>5.8823529411764705E-2</v>
          </cell>
          <cell r="E430">
            <v>0</v>
          </cell>
          <cell r="F430">
            <v>0.94117647058823528</v>
          </cell>
          <cell r="G430">
            <v>0</v>
          </cell>
        </row>
        <row r="431">
          <cell r="A431" t="str">
            <v>201 2014 10 1211 00006</v>
          </cell>
          <cell r="B431">
            <v>109</v>
          </cell>
          <cell r="C431">
            <v>41669.562928240739</v>
          </cell>
          <cell r="D431">
            <v>5.4945054945054937E-2</v>
          </cell>
          <cell r="E431">
            <v>0</v>
          </cell>
          <cell r="F431">
            <v>0.94505494505494503</v>
          </cell>
          <cell r="G431">
            <v>0</v>
          </cell>
        </row>
        <row r="432">
          <cell r="A432" t="str">
            <v>201 2014 10 1211 00006</v>
          </cell>
          <cell r="B432">
            <v>134</v>
          </cell>
          <cell r="C432">
            <v>41854.560370370367</v>
          </cell>
          <cell r="D432">
            <v>5.4945054945054937E-2</v>
          </cell>
          <cell r="E432">
            <v>0</v>
          </cell>
          <cell r="F432">
            <v>0.94505494505494503</v>
          </cell>
          <cell r="G432">
            <v>0</v>
          </cell>
        </row>
        <row r="433">
          <cell r="A433" t="str">
            <v>201 2014 10 1211 00006</v>
          </cell>
          <cell r="B433">
            <v>2</v>
          </cell>
          <cell r="C433">
            <v>41729.595104166663</v>
          </cell>
          <cell r="D433">
            <v>5.4945054945054937E-2</v>
          </cell>
          <cell r="E433">
            <v>0</v>
          </cell>
          <cell r="F433">
            <v>0.94505494505494503</v>
          </cell>
          <cell r="G433">
            <v>0</v>
          </cell>
        </row>
        <row r="434">
          <cell r="A434" t="str">
            <v>201 2012 10 1211 00006</v>
          </cell>
          <cell r="B434">
            <v>6</v>
          </cell>
          <cell r="C434">
            <v>41104.559583333335</v>
          </cell>
          <cell r="D434">
            <v>7.2738201232028885E-2</v>
          </cell>
          <cell r="E434">
            <v>0</v>
          </cell>
          <cell r="F434">
            <v>0.9272617987679711</v>
          </cell>
          <cell r="G434">
            <v>0</v>
          </cell>
        </row>
        <row r="435">
          <cell r="A435" t="str">
            <v>201 2012 10 1211 00006</v>
          </cell>
          <cell r="B435">
            <v>12</v>
          </cell>
          <cell r="C435">
            <v>41146.640208333331</v>
          </cell>
          <cell r="D435">
            <v>7.2738201232028885E-2</v>
          </cell>
          <cell r="E435">
            <v>0</v>
          </cell>
          <cell r="F435">
            <v>0.9272617987679711</v>
          </cell>
          <cell r="G435">
            <v>0</v>
          </cell>
        </row>
        <row r="436">
          <cell r="A436" t="str">
            <v>201 2012 10 1211 00006</v>
          </cell>
          <cell r="B436">
            <v>23</v>
          </cell>
          <cell r="C436">
            <v>41236.38821759259</v>
          </cell>
          <cell r="D436">
            <v>7.2738201232028885E-2</v>
          </cell>
          <cell r="E436">
            <v>0</v>
          </cell>
          <cell r="F436">
            <v>0.9272617987679711</v>
          </cell>
          <cell r="G436">
            <v>0</v>
          </cell>
        </row>
        <row r="437">
          <cell r="A437" t="str">
            <v>201 2013 10 1211 00006</v>
          </cell>
          <cell r="B437">
            <v>23</v>
          </cell>
          <cell r="C437">
            <v>41338.622731481482</v>
          </cell>
          <cell r="D437">
            <v>5.8823529411764705E-2</v>
          </cell>
          <cell r="E437">
            <v>0</v>
          </cell>
          <cell r="F437">
            <v>0.94117647058823528</v>
          </cell>
          <cell r="G437">
            <v>0</v>
          </cell>
        </row>
        <row r="438">
          <cell r="A438" t="str">
            <v>201 2015 10 1211 00006</v>
          </cell>
          <cell r="B438">
            <v>38</v>
          </cell>
          <cell r="C438">
            <v>42167.613252314812</v>
          </cell>
          <cell r="D438">
            <v>5.5730525106515168E-2</v>
          </cell>
          <cell r="E438">
            <v>0</v>
          </cell>
          <cell r="F438">
            <v>0.94426947489348489</v>
          </cell>
          <cell r="G438">
            <v>0</v>
          </cell>
        </row>
        <row r="439">
          <cell r="A439" t="str">
            <v>201 2014 10 1211 00006</v>
          </cell>
          <cell r="B439">
            <v>59</v>
          </cell>
          <cell r="C439">
            <v>41723.649282407408</v>
          </cell>
          <cell r="D439">
            <v>5.4945054945054937E-2</v>
          </cell>
          <cell r="E439">
            <v>0</v>
          </cell>
          <cell r="F439">
            <v>0.94505494505494503</v>
          </cell>
          <cell r="G439">
            <v>0</v>
          </cell>
        </row>
        <row r="440">
          <cell r="A440" t="str">
            <v>201 2014 10 1211 00006</v>
          </cell>
          <cell r="B440">
            <v>82</v>
          </cell>
          <cell r="C440">
            <v>41779.47388888889</v>
          </cell>
          <cell r="D440">
            <v>5.4945054945054937E-2</v>
          </cell>
          <cell r="E440">
            <v>0</v>
          </cell>
          <cell r="F440">
            <v>0.94505494505494503</v>
          </cell>
          <cell r="G440">
            <v>0</v>
          </cell>
        </row>
        <row r="441">
          <cell r="A441" t="str">
            <v>201 2013 10 1211 00006</v>
          </cell>
          <cell r="B441">
            <v>83</v>
          </cell>
          <cell r="C441">
            <v>41427.633668981478</v>
          </cell>
          <cell r="D441">
            <v>5.8823529411764705E-2</v>
          </cell>
          <cell r="E441">
            <v>0</v>
          </cell>
          <cell r="F441">
            <v>0.94117647058823528</v>
          </cell>
          <cell r="G441">
            <v>0</v>
          </cell>
        </row>
        <row r="442">
          <cell r="A442" t="str">
            <v>201 2014 10 1211 00006</v>
          </cell>
          <cell r="B442">
            <v>110</v>
          </cell>
          <cell r="C442">
            <v>41680.565891203703</v>
          </cell>
          <cell r="D442">
            <v>5.4945054945054937E-2</v>
          </cell>
          <cell r="E442">
            <v>0</v>
          </cell>
          <cell r="F442">
            <v>0.94505494505494503</v>
          </cell>
          <cell r="G442">
            <v>0</v>
          </cell>
        </row>
        <row r="443">
          <cell r="A443" t="str">
            <v>201 2014 10 1211 00006</v>
          </cell>
          <cell r="B443">
            <v>111</v>
          </cell>
          <cell r="C443">
            <v>41659.568680555552</v>
          </cell>
          <cell r="D443">
            <v>5.4945054945054937E-2</v>
          </cell>
          <cell r="E443">
            <v>0</v>
          </cell>
          <cell r="F443">
            <v>0.94505494505494503</v>
          </cell>
          <cell r="G443">
            <v>0</v>
          </cell>
        </row>
        <row r="444">
          <cell r="A444" t="str">
            <v>201 2013 10 1211 00006</v>
          </cell>
          <cell r="B444">
            <v>136</v>
          </cell>
          <cell r="C444">
            <v>41491.45517361111</v>
          </cell>
          <cell r="D444">
            <v>5.8823529411764705E-2</v>
          </cell>
          <cell r="E444">
            <v>0</v>
          </cell>
          <cell r="F444">
            <v>0.94117647058823528</v>
          </cell>
          <cell r="G444">
            <v>0</v>
          </cell>
        </row>
        <row r="445">
          <cell r="A445" t="str">
            <v>201 2013 10 1211 00006</v>
          </cell>
          <cell r="B445">
            <v>47</v>
          </cell>
          <cell r="C445">
            <v>41381.387083333335</v>
          </cell>
          <cell r="D445">
            <v>5.8823529411764705E-2</v>
          </cell>
          <cell r="E445">
            <v>0</v>
          </cell>
          <cell r="F445">
            <v>0.94117647058823528</v>
          </cell>
          <cell r="G445">
            <v>0</v>
          </cell>
        </row>
        <row r="446">
          <cell r="A446" t="str">
            <v>201 2013 10 1211 00006</v>
          </cell>
          <cell r="B446">
            <v>67</v>
          </cell>
          <cell r="C446">
            <v>41418.453032407408</v>
          </cell>
          <cell r="D446">
            <v>5.8823529411764705E-2</v>
          </cell>
          <cell r="E446">
            <v>0</v>
          </cell>
          <cell r="F446">
            <v>0.94117647058823528</v>
          </cell>
          <cell r="G446">
            <v>0</v>
          </cell>
        </row>
        <row r="447">
          <cell r="A447" t="str">
            <v>201 2014 10 1211 00006</v>
          </cell>
          <cell r="B447">
            <v>67</v>
          </cell>
          <cell r="C447">
            <v>41700.370127314818</v>
          </cell>
          <cell r="D447">
            <v>5.4945054945054937E-2</v>
          </cell>
          <cell r="E447">
            <v>0</v>
          </cell>
          <cell r="F447">
            <v>0.94505494505494503</v>
          </cell>
          <cell r="G447">
            <v>0</v>
          </cell>
        </row>
        <row r="448">
          <cell r="A448" t="str">
            <v>201 2014 10 1211 00006</v>
          </cell>
          <cell r="B448">
            <v>91</v>
          </cell>
          <cell r="C448">
            <v>41739.493842592594</v>
          </cell>
          <cell r="D448">
            <v>5.4945054945054937E-2</v>
          </cell>
          <cell r="E448">
            <v>0</v>
          </cell>
          <cell r="F448">
            <v>0.94505494505494503</v>
          </cell>
          <cell r="G448">
            <v>0</v>
          </cell>
        </row>
        <row r="449">
          <cell r="A449" t="str">
            <v>201 2014 10 1211 00006</v>
          </cell>
          <cell r="B449">
            <v>92</v>
          </cell>
          <cell r="C449">
            <v>41814.491168981483</v>
          </cell>
          <cell r="D449">
            <v>5.4945054945054937E-2</v>
          </cell>
          <cell r="E449">
            <v>0</v>
          </cell>
          <cell r="F449">
            <v>0.94505494505494503</v>
          </cell>
          <cell r="G449">
            <v>0</v>
          </cell>
        </row>
        <row r="450">
          <cell r="A450" t="str">
            <v>201 2013 10 1211 00006</v>
          </cell>
          <cell r="B450">
            <v>119</v>
          </cell>
          <cell r="C450">
            <v>41473.471655092595</v>
          </cell>
          <cell r="D450">
            <v>5.8823529411764705E-2</v>
          </cell>
          <cell r="E450">
            <v>0</v>
          </cell>
          <cell r="F450">
            <v>0.94117647058823528</v>
          </cell>
          <cell r="G450">
            <v>0</v>
          </cell>
        </row>
        <row r="451">
          <cell r="A451" t="str">
            <v>201 2014 10 1211 00006</v>
          </cell>
          <cell r="B451">
            <v>119</v>
          </cell>
          <cell r="C451">
            <v>41832.340983796297</v>
          </cell>
          <cell r="D451">
            <v>5.4945054945054937E-2</v>
          </cell>
          <cell r="E451">
            <v>0</v>
          </cell>
          <cell r="F451">
            <v>0.94505494505494503</v>
          </cell>
          <cell r="G451">
            <v>0</v>
          </cell>
        </row>
        <row r="452">
          <cell r="A452" t="str">
            <v>201 2014 10 1211 00006</v>
          </cell>
          <cell r="B452">
            <v>120</v>
          </cell>
          <cell r="C452">
            <v>41834.342592592591</v>
          </cell>
          <cell r="D452">
            <v>5.4945054945054937E-2</v>
          </cell>
          <cell r="E452">
            <v>0</v>
          </cell>
          <cell r="F452">
            <v>0.94505494505494503</v>
          </cell>
          <cell r="G452">
            <v>0</v>
          </cell>
        </row>
        <row r="453">
          <cell r="A453" t="str">
            <v>201 2014 10 1211 00006</v>
          </cell>
          <cell r="B453">
            <v>144</v>
          </cell>
          <cell r="C453">
            <v>41879.45040509259</v>
          </cell>
          <cell r="D453">
            <v>5.4945054945054937E-2</v>
          </cell>
          <cell r="E453">
            <v>0</v>
          </cell>
          <cell r="F453">
            <v>0.94505494505494503</v>
          </cell>
          <cell r="G453">
            <v>0</v>
          </cell>
        </row>
        <row r="454">
          <cell r="A454" t="str">
            <v>201 2013 10 1211 00006</v>
          </cell>
          <cell r="B454">
            <v>145</v>
          </cell>
          <cell r="C454">
            <v>41537.541377314818</v>
          </cell>
          <cell r="D454">
            <v>5.8823529411764705E-2</v>
          </cell>
          <cell r="E454">
            <v>0</v>
          </cell>
          <cell r="F454">
            <v>0.94117647058823528</v>
          </cell>
          <cell r="G454">
            <v>0</v>
          </cell>
        </row>
        <row r="455">
          <cell r="A455" t="str">
            <v>201 2014 10 1211 00006</v>
          </cell>
          <cell r="B455">
            <v>145</v>
          </cell>
          <cell r="C455">
            <v>41894.45553240741</v>
          </cell>
          <cell r="D455">
            <v>5.4945054945054937E-2</v>
          </cell>
          <cell r="E455">
            <v>0</v>
          </cell>
          <cell r="F455">
            <v>0.94505494505494503</v>
          </cell>
          <cell r="G455">
            <v>0</v>
          </cell>
        </row>
        <row r="456">
          <cell r="A456" t="str">
            <v>201 2014 10 1211 00006</v>
          </cell>
          <cell r="B456">
            <v>171</v>
          </cell>
          <cell r="C456">
            <v>41973.390706018516</v>
          </cell>
          <cell r="D456">
            <v>5.4945054945054937E-2</v>
          </cell>
          <cell r="E456">
            <v>0</v>
          </cell>
          <cell r="F456">
            <v>0.94505494505494503</v>
          </cell>
          <cell r="G456">
            <v>0</v>
          </cell>
        </row>
        <row r="457">
          <cell r="A457" t="str">
            <v>201 2013 10 1211 00006</v>
          </cell>
          <cell r="B457">
            <v>172</v>
          </cell>
          <cell r="C457">
            <v>41599.653460648151</v>
          </cell>
          <cell r="D457">
            <v>5.8823529411764705E-2</v>
          </cell>
          <cell r="E457">
            <v>0</v>
          </cell>
          <cell r="F457">
            <v>0.94117647058823528</v>
          </cell>
          <cell r="G457">
            <v>0</v>
          </cell>
        </row>
        <row r="458">
          <cell r="A458" t="str">
            <v>201 2015 10 1211 00006</v>
          </cell>
          <cell r="B458">
            <v>31</v>
          </cell>
          <cell r="C458">
            <v>42135.519004629627</v>
          </cell>
          <cell r="D458">
            <v>5.5730525106515168E-2</v>
          </cell>
          <cell r="E458">
            <v>0</v>
          </cell>
          <cell r="F458">
            <v>0.94426947489348489</v>
          </cell>
          <cell r="G458">
            <v>0</v>
          </cell>
        </row>
        <row r="459">
          <cell r="A459" t="str">
            <v>201 2006 10 1211 00004</v>
          </cell>
          <cell r="B459">
            <v>32</v>
          </cell>
          <cell r="C459">
            <v>39389</v>
          </cell>
          <cell r="D459">
            <v>9.2200000000000004E-2</v>
          </cell>
          <cell r="E459">
            <v>9.0800000000000006E-2</v>
          </cell>
          <cell r="F459">
            <v>0.81699999999999995</v>
          </cell>
          <cell r="G459">
            <v>0</v>
          </cell>
        </row>
        <row r="460">
          <cell r="A460" t="str">
            <v>201 2014 10 1211 00006</v>
          </cell>
          <cell r="B460">
            <v>51</v>
          </cell>
          <cell r="C460">
            <v>41687.564618055556</v>
          </cell>
          <cell r="D460">
            <v>5.4945054945054937E-2</v>
          </cell>
          <cell r="E460">
            <v>0</v>
          </cell>
          <cell r="F460">
            <v>0.94505494505494503</v>
          </cell>
          <cell r="G460">
            <v>0</v>
          </cell>
        </row>
        <row r="461">
          <cell r="A461" t="str">
            <v>201 2013 10 1211 00006</v>
          </cell>
          <cell r="B461">
            <v>73</v>
          </cell>
          <cell r="C461">
            <v>41404.458854166667</v>
          </cell>
          <cell r="D461">
            <v>5.8823529411764705E-2</v>
          </cell>
          <cell r="E461">
            <v>0</v>
          </cell>
          <cell r="F461">
            <v>0.94117647058823528</v>
          </cell>
          <cell r="G461">
            <v>0</v>
          </cell>
        </row>
        <row r="462">
          <cell r="A462" t="str">
            <v>201 2014 10 1211 00006</v>
          </cell>
          <cell r="B462">
            <v>73</v>
          </cell>
          <cell r="C462">
            <v>41759.420752314814</v>
          </cell>
          <cell r="D462">
            <v>5.4945054945054937E-2</v>
          </cell>
          <cell r="E462">
            <v>0</v>
          </cell>
          <cell r="F462">
            <v>0.94505494505494503</v>
          </cell>
          <cell r="G462">
            <v>0</v>
          </cell>
        </row>
        <row r="463">
          <cell r="A463" t="str">
            <v>201 2014 10 1211 00006</v>
          </cell>
          <cell r="B463">
            <v>74</v>
          </cell>
          <cell r="C463">
            <v>41755.431493055556</v>
          </cell>
          <cell r="D463">
            <v>5.4945054945054937E-2</v>
          </cell>
          <cell r="E463">
            <v>0</v>
          </cell>
          <cell r="F463">
            <v>0.94505494505494503</v>
          </cell>
          <cell r="G463">
            <v>0</v>
          </cell>
        </row>
        <row r="464">
          <cell r="A464" t="str">
            <v>201 2014 10 1211 00006</v>
          </cell>
          <cell r="B464">
            <v>96</v>
          </cell>
          <cell r="C464">
            <v>41790.505868055552</v>
          </cell>
          <cell r="D464">
            <v>5.4945054945054937E-2</v>
          </cell>
          <cell r="E464">
            <v>0</v>
          </cell>
          <cell r="F464">
            <v>0.94505494505494503</v>
          </cell>
          <cell r="G464">
            <v>0</v>
          </cell>
        </row>
        <row r="465">
          <cell r="A465" t="str">
            <v>201 2014 10 1211 00006</v>
          </cell>
          <cell r="B465">
            <v>97</v>
          </cell>
          <cell r="C465">
            <v>41813.509166666663</v>
          </cell>
          <cell r="D465">
            <v>5.4945054945054937E-2</v>
          </cell>
          <cell r="E465">
            <v>0</v>
          </cell>
          <cell r="F465">
            <v>0.94505494505494503</v>
          </cell>
          <cell r="G465">
            <v>0</v>
          </cell>
        </row>
        <row r="466">
          <cell r="A466" t="str">
            <v>201 2013 10 1211 00006</v>
          </cell>
          <cell r="B466">
            <v>98</v>
          </cell>
          <cell r="C466">
            <v>41500.490324074075</v>
          </cell>
          <cell r="D466">
            <v>5.8823529411764705E-2</v>
          </cell>
          <cell r="E466">
            <v>0</v>
          </cell>
          <cell r="F466">
            <v>0.94117647058823528</v>
          </cell>
          <cell r="G466">
            <v>0</v>
          </cell>
        </row>
        <row r="467">
          <cell r="A467" t="str">
            <v>201 2014 10 1211 00006</v>
          </cell>
          <cell r="B467">
            <v>149</v>
          </cell>
          <cell r="C467">
            <v>41906.484918981485</v>
          </cell>
          <cell r="D467">
            <v>5.4945054945054937E-2</v>
          </cell>
          <cell r="E467">
            <v>0</v>
          </cell>
          <cell r="F467">
            <v>0.94505494505494503</v>
          </cell>
          <cell r="G467">
            <v>0</v>
          </cell>
        </row>
        <row r="468">
          <cell r="A468" t="str">
            <v>201 2014 10 1211 00006</v>
          </cell>
          <cell r="B468">
            <v>150</v>
          </cell>
          <cell r="C468">
            <v>41912.498518518521</v>
          </cell>
          <cell r="D468">
            <v>5.4945054945054937E-2</v>
          </cell>
          <cell r="E468">
            <v>0</v>
          </cell>
          <cell r="F468">
            <v>0.94505494505494503</v>
          </cell>
          <cell r="G468">
            <v>0</v>
          </cell>
        </row>
        <row r="469">
          <cell r="A469" t="str">
            <v>201 2013 10 1211 00006</v>
          </cell>
          <cell r="B469">
            <v>178</v>
          </cell>
          <cell r="C469">
            <v>41585.661192129628</v>
          </cell>
          <cell r="D469">
            <v>5.8823529411764705E-2</v>
          </cell>
          <cell r="E469">
            <v>0</v>
          </cell>
          <cell r="F469">
            <v>0.94117647058823528</v>
          </cell>
          <cell r="G469">
            <v>0</v>
          </cell>
        </row>
        <row r="470">
          <cell r="A470" t="str">
            <v>201 2013 10 1211 00006</v>
          </cell>
          <cell r="B470">
            <v>179</v>
          </cell>
          <cell r="C470">
            <v>41584.662372685183</v>
          </cell>
          <cell r="D470">
            <v>5.8823529411764705E-2</v>
          </cell>
          <cell r="E470">
            <v>0</v>
          </cell>
          <cell r="F470">
            <v>0.94117647058823528</v>
          </cell>
          <cell r="G470">
            <v>0</v>
          </cell>
        </row>
        <row r="471">
          <cell r="A471" t="str">
            <v>201 2012 10 1211 00006</v>
          </cell>
          <cell r="B471">
            <v>5</v>
          </cell>
          <cell r="C471">
            <v>41104.618703703702</v>
          </cell>
          <cell r="D471">
            <v>7.2738201232028885E-2</v>
          </cell>
          <cell r="E471">
            <v>0</v>
          </cell>
          <cell r="F471">
            <v>0.9272617987679711</v>
          </cell>
          <cell r="G471">
            <v>0</v>
          </cell>
        </row>
        <row r="472">
          <cell r="A472" t="str">
            <v>201 2014 10 1211 00006</v>
          </cell>
          <cell r="B472">
            <v>10</v>
          </cell>
          <cell r="C472">
            <v>41689.644236111111</v>
          </cell>
          <cell r="D472">
            <v>5.4945054945054937E-2</v>
          </cell>
          <cell r="E472">
            <v>0</v>
          </cell>
          <cell r="F472">
            <v>0.94505494505494503</v>
          </cell>
          <cell r="G472">
            <v>0</v>
          </cell>
        </row>
        <row r="473">
          <cell r="A473" t="str">
            <v>201 2015 10 1211 00006</v>
          </cell>
          <cell r="B473">
            <v>10</v>
          </cell>
          <cell r="C473">
            <v>42050.538217592592</v>
          </cell>
          <cell r="D473">
            <v>5.5730525106515168E-2</v>
          </cell>
          <cell r="E473">
            <v>0</v>
          </cell>
          <cell r="F473">
            <v>0.94426947489348489</v>
          </cell>
          <cell r="G473">
            <v>0</v>
          </cell>
        </row>
        <row r="474">
          <cell r="A474" t="str">
            <v>201 2015 10 1211 00006</v>
          </cell>
          <cell r="B474">
            <v>19</v>
          </cell>
          <cell r="C474">
            <v>42028.52447916667</v>
          </cell>
          <cell r="D474">
            <v>5.5730525106515168E-2</v>
          </cell>
          <cell r="E474">
            <v>0</v>
          </cell>
          <cell r="F474">
            <v>0.94426947489348489</v>
          </cell>
          <cell r="G474">
            <v>0</v>
          </cell>
        </row>
        <row r="475">
          <cell r="A475" t="str">
            <v>201 2015 10 1211 00006</v>
          </cell>
          <cell r="B475">
            <v>33</v>
          </cell>
          <cell r="C475">
            <v>42118.563831018517</v>
          </cell>
          <cell r="D475">
            <v>5.5730525106515168E-2</v>
          </cell>
          <cell r="E475">
            <v>0</v>
          </cell>
          <cell r="F475">
            <v>0.94426947489348489</v>
          </cell>
          <cell r="G475">
            <v>0</v>
          </cell>
        </row>
        <row r="476">
          <cell r="A476" t="str">
            <v>201 2014 10 1211 00006</v>
          </cell>
          <cell r="B476">
            <v>76</v>
          </cell>
          <cell r="C476">
            <v>41779.444247685184</v>
          </cell>
          <cell r="D476">
            <v>5.4945054945054937E-2</v>
          </cell>
          <cell r="E476">
            <v>0</v>
          </cell>
          <cell r="F476">
            <v>0.94505494505494503</v>
          </cell>
          <cell r="G476">
            <v>0</v>
          </cell>
        </row>
        <row r="477">
          <cell r="A477" t="str">
            <v>201 2014 10 1211 00006</v>
          </cell>
          <cell r="B477">
            <v>77</v>
          </cell>
          <cell r="C477">
            <v>41743.454664351855</v>
          </cell>
          <cell r="D477">
            <v>5.4945054945054937E-2</v>
          </cell>
          <cell r="E477">
            <v>0</v>
          </cell>
          <cell r="F477">
            <v>0.94505494505494503</v>
          </cell>
          <cell r="G477">
            <v>0</v>
          </cell>
        </row>
        <row r="478">
          <cell r="A478" t="str">
            <v>201 2013 10 1211 00006</v>
          </cell>
          <cell r="B478">
            <v>104</v>
          </cell>
          <cell r="C478">
            <v>41492.614999999998</v>
          </cell>
          <cell r="D478">
            <v>5.8823529411764705E-2</v>
          </cell>
          <cell r="E478">
            <v>0</v>
          </cell>
          <cell r="F478">
            <v>0.94117647058823528</v>
          </cell>
          <cell r="G478">
            <v>0</v>
          </cell>
        </row>
        <row r="479">
          <cell r="A479" t="str">
            <v>201 2013 10 1211 00006</v>
          </cell>
          <cell r="B479">
            <v>130</v>
          </cell>
          <cell r="C479">
            <v>41529.430312500001</v>
          </cell>
          <cell r="D479">
            <v>5.8823529411764705E-2</v>
          </cell>
          <cell r="E479">
            <v>0</v>
          </cell>
          <cell r="F479">
            <v>0.94117647058823528</v>
          </cell>
          <cell r="G479">
            <v>0</v>
          </cell>
        </row>
        <row r="480">
          <cell r="A480" t="str">
            <v>201 2014 10 1211 00006</v>
          </cell>
          <cell r="B480">
            <v>153</v>
          </cell>
          <cell r="C480">
            <v>41862.588900462964</v>
          </cell>
          <cell r="D480">
            <v>5.4945054945054937E-2</v>
          </cell>
          <cell r="E480">
            <v>0</v>
          </cell>
          <cell r="F480">
            <v>0.94505494505494503</v>
          </cell>
          <cell r="G480">
            <v>0</v>
          </cell>
        </row>
        <row r="481">
          <cell r="A481" t="str">
            <v>201 2014 10 1211 00006</v>
          </cell>
          <cell r="B481">
            <v>154</v>
          </cell>
          <cell r="C481">
            <v>41883.608761574076</v>
          </cell>
          <cell r="D481">
            <v>5.4945054945054937E-2</v>
          </cell>
          <cell r="E481">
            <v>0</v>
          </cell>
          <cell r="F481">
            <v>0.94505494505494503</v>
          </cell>
          <cell r="G481">
            <v>0</v>
          </cell>
        </row>
        <row r="482">
          <cell r="A482" t="str">
            <v>201 2014 10 1211 00006</v>
          </cell>
          <cell r="B482">
            <v>155</v>
          </cell>
          <cell r="C482">
            <v>41882.612858796296</v>
          </cell>
          <cell r="D482">
            <v>5.4945054945054937E-2</v>
          </cell>
          <cell r="E482">
            <v>0</v>
          </cell>
          <cell r="F482">
            <v>0.94505494505494503</v>
          </cell>
          <cell r="G482">
            <v>0</v>
          </cell>
        </row>
        <row r="483">
          <cell r="A483" t="str">
            <v>201 2013 10 1211 00006</v>
          </cell>
          <cell r="B483">
            <v>182</v>
          </cell>
          <cell r="C483">
            <v>41598.666030092594</v>
          </cell>
          <cell r="D483">
            <v>5.8823529411764705E-2</v>
          </cell>
          <cell r="E483">
            <v>0</v>
          </cell>
          <cell r="F483">
            <v>0.94117647058823528</v>
          </cell>
          <cell r="G483">
            <v>0</v>
          </cell>
        </row>
        <row r="484">
          <cell r="A484" t="str">
            <v>201 2014 10 1211 00006</v>
          </cell>
          <cell r="B484">
            <v>17</v>
          </cell>
          <cell r="C484">
            <v>41700.665648148148</v>
          </cell>
          <cell r="D484">
            <v>5.4945054945054937E-2</v>
          </cell>
          <cell r="E484">
            <v>0</v>
          </cell>
          <cell r="F484">
            <v>0.94505494505494503</v>
          </cell>
          <cell r="G484">
            <v>0</v>
          </cell>
        </row>
        <row r="485">
          <cell r="A485" t="str">
            <v>201 2015 10 1211 00006</v>
          </cell>
          <cell r="B485">
            <v>30</v>
          </cell>
          <cell r="C485">
            <v>42140.493483796294</v>
          </cell>
          <cell r="D485">
            <v>5.5730525106515168E-2</v>
          </cell>
          <cell r="E485">
            <v>0</v>
          </cell>
          <cell r="F485">
            <v>0.94426947489348489</v>
          </cell>
          <cell r="G485">
            <v>0</v>
          </cell>
        </row>
        <row r="486">
          <cell r="A486" t="str">
            <v>201 2013 10 1211 00006</v>
          </cell>
          <cell r="B486">
            <v>51</v>
          </cell>
          <cell r="C486">
            <v>41355.414594907408</v>
          </cell>
          <cell r="D486">
            <v>5.8823529411764705E-2</v>
          </cell>
          <cell r="E486">
            <v>0</v>
          </cell>
          <cell r="F486">
            <v>0.94117647058823528</v>
          </cell>
          <cell r="G486">
            <v>0</v>
          </cell>
        </row>
        <row r="487">
          <cell r="A487" t="str">
            <v>201 2014 10 1211 00006</v>
          </cell>
          <cell r="B487">
            <v>71</v>
          </cell>
          <cell r="C487">
            <v>41776.406087962961</v>
          </cell>
          <cell r="D487">
            <v>5.4945054945054937E-2</v>
          </cell>
          <cell r="E487">
            <v>0</v>
          </cell>
          <cell r="F487">
            <v>0.94505494505494503</v>
          </cell>
          <cell r="G487">
            <v>0</v>
          </cell>
        </row>
        <row r="488">
          <cell r="A488" t="str">
            <v>201 2013 10 1211 00006</v>
          </cell>
          <cell r="B488">
            <v>72</v>
          </cell>
          <cell r="C488">
            <v>41421.472129629627</v>
          </cell>
          <cell r="D488">
            <v>5.8823529411764705E-2</v>
          </cell>
          <cell r="E488">
            <v>0</v>
          </cell>
          <cell r="F488">
            <v>0.94117647058823528</v>
          </cell>
          <cell r="G488">
            <v>0</v>
          </cell>
        </row>
        <row r="489">
          <cell r="A489" t="str">
            <v>201 2014 10 1211 00006</v>
          </cell>
          <cell r="B489">
            <v>72</v>
          </cell>
          <cell r="C489">
            <v>41768.412418981483</v>
          </cell>
          <cell r="D489">
            <v>5.4945054945054937E-2</v>
          </cell>
          <cell r="E489">
            <v>0</v>
          </cell>
          <cell r="F489">
            <v>0.94505494505494503</v>
          </cell>
          <cell r="G489">
            <v>0</v>
          </cell>
        </row>
        <row r="490">
          <cell r="A490" t="str">
            <v>201 2013 10 1211 00006</v>
          </cell>
          <cell r="B490">
            <v>99</v>
          </cell>
          <cell r="C490">
            <v>41500.499166666668</v>
          </cell>
          <cell r="D490">
            <v>5.8823529411764705E-2</v>
          </cell>
          <cell r="E490">
            <v>0</v>
          </cell>
          <cell r="F490">
            <v>0.94117647058823528</v>
          </cell>
          <cell r="G490">
            <v>0</v>
          </cell>
        </row>
        <row r="491">
          <cell r="A491" t="str">
            <v>201 2013 10 1211 00006</v>
          </cell>
          <cell r="B491">
            <v>127</v>
          </cell>
          <cell r="C491">
            <v>41510.442743055559</v>
          </cell>
          <cell r="D491">
            <v>5.8823529411764705E-2</v>
          </cell>
          <cell r="E491">
            <v>0</v>
          </cell>
          <cell r="F491">
            <v>0.94117647058823528</v>
          </cell>
          <cell r="G491">
            <v>0</v>
          </cell>
        </row>
        <row r="492">
          <cell r="A492" t="str">
            <v>201 2014 10 1211 00006</v>
          </cell>
          <cell r="B492">
            <v>151</v>
          </cell>
          <cell r="C492">
            <v>41902.502881944441</v>
          </cell>
          <cell r="D492">
            <v>5.4945054945054937E-2</v>
          </cell>
          <cell r="E492">
            <v>0</v>
          </cell>
          <cell r="F492">
            <v>0.94505494505494503</v>
          </cell>
          <cell r="G492">
            <v>0</v>
          </cell>
        </row>
        <row r="493">
          <cell r="A493" t="str">
            <v>201 2014 10 1211 00006</v>
          </cell>
          <cell r="B493">
            <v>152</v>
          </cell>
          <cell r="C493">
            <v>41912.572418981479</v>
          </cell>
          <cell r="D493">
            <v>5.4945054945054937E-2</v>
          </cell>
          <cell r="E493">
            <v>0</v>
          </cell>
          <cell r="F493">
            <v>0.94505494505494503</v>
          </cell>
          <cell r="G493">
            <v>0</v>
          </cell>
        </row>
        <row r="494">
          <cell r="A494" t="str">
            <v>201 2013 10 1211 00006</v>
          </cell>
          <cell r="B494">
            <v>180</v>
          </cell>
          <cell r="C494">
            <v>41583.663530092592</v>
          </cell>
          <cell r="D494">
            <v>5.8823529411764705E-2</v>
          </cell>
          <cell r="E494">
            <v>0</v>
          </cell>
          <cell r="F494">
            <v>0.94117647058823528</v>
          </cell>
          <cell r="G494">
            <v>0</v>
          </cell>
        </row>
        <row r="495">
          <cell r="A495" t="str">
            <v>201 2013 10 1211 00006</v>
          </cell>
          <cell r="B495">
            <v>181</v>
          </cell>
          <cell r="C495">
            <v>41593.664884259262</v>
          </cell>
          <cell r="D495">
            <v>5.8823529411764705E-2</v>
          </cell>
          <cell r="E495">
            <v>0</v>
          </cell>
          <cell r="F495">
            <v>0.94117647058823528</v>
          </cell>
          <cell r="G495">
            <v>0</v>
          </cell>
        </row>
        <row r="496">
          <cell r="A496" t="str">
            <v>201 2013 10 1211 00006</v>
          </cell>
          <cell r="B496">
            <v>214</v>
          </cell>
          <cell r="C496">
            <v>41635.479618055557</v>
          </cell>
          <cell r="D496">
            <v>5.8823529411764705E-2</v>
          </cell>
          <cell r="E496">
            <v>0</v>
          </cell>
          <cell r="F496">
            <v>0.94117647058823528</v>
          </cell>
          <cell r="G496">
            <v>0</v>
          </cell>
        </row>
        <row r="497">
          <cell r="A497" t="str">
            <v>201 2015 10 1211 00006</v>
          </cell>
          <cell r="B497">
            <v>4</v>
          </cell>
          <cell r="C497">
            <v>42021.468344907407</v>
          </cell>
          <cell r="D497">
            <v>5.5730525106515168E-2</v>
          </cell>
          <cell r="E497">
            <v>0</v>
          </cell>
          <cell r="F497">
            <v>0.94426947489348489</v>
          </cell>
          <cell r="G497">
            <v>0</v>
          </cell>
        </row>
        <row r="498">
          <cell r="A498" t="str">
            <v>201 2014 10 1211 00006</v>
          </cell>
          <cell r="B498">
            <v>79</v>
          </cell>
          <cell r="C498">
            <v>41796.469826388886</v>
          </cell>
          <cell r="D498">
            <v>5.4945054945054937E-2</v>
          </cell>
          <cell r="E498">
            <v>0</v>
          </cell>
          <cell r="F498">
            <v>0.94505494505494503</v>
          </cell>
          <cell r="G498">
            <v>0</v>
          </cell>
        </row>
        <row r="499">
          <cell r="A499" t="str">
            <v>201 2014 10 1211 00006</v>
          </cell>
          <cell r="B499">
            <v>107</v>
          </cell>
          <cell r="C499">
            <v>41670.486192129632</v>
          </cell>
          <cell r="D499">
            <v>5.4945054945054937E-2</v>
          </cell>
          <cell r="E499">
            <v>0</v>
          </cell>
          <cell r="F499">
            <v>0.94505494505494503</v>
          </cell>
          <cell r="G499">
            <v>0</v>
          </cell>
        </row>
        <row r="500">
          <cell r="A500" t="str">
            <v>201 2013 10 1211 00006</v>
          </cell>
          <cell r="B500">
            <v>108</v>
          </cell>
          <cell r="C500">
            <v>41485.394768518519</v>
          </cell>
          <cell r="D500">
            <v>5.8823529411764705E-2</v>
          </cell>
          <cell r="E500">
            <v>0</v>
          </cell>
          <cell r="F500">
            <v>0.94117647058823528</v>
          </cell>
          <cell r="G500">
            <v>0</v>
          </cell>
        </row>
        <row r="501">
          <cell r="A501" t="str">
            <v>201 2014 10 1211 00006</v>
          </cell>
          <cell r="B501">
            <v>108</v>
          </cell>
          <cell r="C501">
            <v>41640.488877314812</v>
          </cell>
          <cell r="D501">
            <v>5.4945054945054937E-2</v>
          </cell>
          <cell r="E501">
            <v>0</v>
          </cell>
          <cell r="F501">
            <v>0.94505494505494503</v>
          </cell>
          <cell r="G501">
            <v>0</v>
          </cell>
        </row>
        <row r="502">
          <cell r="A502" t="str">
            <v>201 2014 10 1211 00006</v>
          </cell>
          <cell r="B502">
            <v>132</v>
          </cell>
          <cell r="C502">
            <v>41837.560393518521</v>
          </cell>
          <cell r="D502">
            <v>5.4945054945054937E-2</v>
          </cell>
          <cell r="E502">
            <v>0</v>
          </cell>
          <cell r="F502">
            <v>0.94505494505494503</v>
          </cell>
          <cell r="G502">
            <v>0</v>
          </cell>
        </row>
        <row r="503">
          <cell r="A503" t="str">
            <v>201 2013 10 1211 00006</v>
          </cell>
          <cell r="B503">
            <v>133</v>
          </cell>
          <cell r="C503">
            <v>41531.455081018517</v>
          </cell>
          <cell r="D503">
            <v>5.8823529411764705E-2</v>
          </cell>
          <cell r="E503">
            <v>0</v>
          </cell>
          <cell r="F503">
            <v>0.94117647058823528</v>
          </cell>
          <cell r="G503">
            <v>0</v>
          </cell>
        </row>
        <row r="504">
          <cell r="A504" t="str">
            <v>201 2014 10 1211 00006</v>
          </cell>
          <cell r="B504">
            <v>133</v>
          </cell>
          <cell r="C504">
            <v>41839.557824074072</v>
          </cell>
          <cell r="D504">
            <v>5.4945054945054937E-2</v>
          </cell>
          <cell r="E504">
            <v>0</v>
          </cell>
          <cell r="F504">
            <v>0.94505494505494503</v>
          </cell>
          <cell r="G504">
            <v>0</v>
          </cell>
        </row>
        <row r="505">
          <cell r="A505" t="str">
            <v>201 2014 10 1211 00006</v>
          </cell>
          <cell r="B505">
            <v>159</v>
          </cell>
          <cell r="C505">
            <v>41953.381597222222</v>
          </cell>
          <cell r="D505">
            <v>5.4945054945054937E-2</v>
          </cell>
          <cell r="E505">
            <v>0</v>
          </cell>
          <cell r="F505">
            <v>0.94505494505494503</v>
          </cell>
          <cell r="G505">
            <v>0</v>
          </cell>
        </row>
        <row r="506">
          <cell r="A506" t="str">
            <v>201 2014 10 1211 00006</v>
          </cell>
          <cell r="B506">
            <v>160</v>
          </cell>
          <cell r="C506">
            <v>41970.394062500003</v>
          </cell>
          <cell r="D506">
            <v>5.4945054945054937E-2</v>
          </cell>
          <cell r="E506">
            <v>0</v>
          </cell>
          <cell r="F506">
            <v>0.94505494505494503</v>
          </cell>
          <cell r="G506">
            <v>0</v>
          </cell>
        </row>
        <row r="507">
          <cell r="A507" t="str">
            <v>201 2013 10 1211 00006</v>
          </cell>
          <cell r="B507">
            <v>189</v>
          </cell>
          <cell r="C507">
            <v>41596.426365740743</v>
          </cell>
          <cell r="D507">
            <v>5.8823529411764705E-2</v>
          </cell>
          <cell r="E507">
            <v>0</v>
          </cell>
          <cell r="F507">
            <v>0.94117647058823528</v>
          </cell>
          <cell r="G507">
            <v>0</v>
          </cell>
        </row>
        <row r="508">
          <cell r="A508" t="str">
            <v>201 2013 10 1211 00006</v>
          </cell>
          <cell r="B508">
            <v>190</v>
          </cell>
          <cell r="C508">
            <v>41578.434907407405</v>
          </cell>
          <cell r="D508">
            <v>5.8823529411764705E-2</v>
          </cell>
          <cell r="E508">
            <v>0</v>
          </cell>
          <cell r="F508">
            <v>0.94117647058823528</v>
          </cell>
          <cell r="G508">
            <v>0</v>
          </cell>
        </row>
        <row r="509">
          <cell r="A509" t="str">
            <v>202 2013 11 1211 00002</v>
          </cell>
          <cell r="B509">
            <v>2</v>
          </cell>
          <cell r="C509">
            <v>41479.430266203701</v>
          </cell>
          <cell r="D509">
            <v>1</v>
          </cell>
          <cell r="E509">
            <v>0</v>
          </cell>
          <cell r="F509">
            <v>0</v>
          </cell>
          <cell r="G509">
            <v>0</v>
          </cell>
        </row>
        <row r="510">
          <cell r="A510" t="str">
            <v>203 2010 10 1211 00003</v>
          </cell>
          <cell r="B510">
            <v>2</v>
          </cell>
          <cell r="C510">
            <v>40287</v>
          </cell>
          <cell r="D510">
            <v>0.32839000000000002</v>
          </cell>
          <cell r="E510">
            <v>3.3581E-2</v>
          </cell>
          <cell r="F510">
            <v>0.63802900000000007</v>
          </cell>
          <cell r="G510">
            <v>0</v>
          </cell>
        </row>
        <row r="511">
          <cell r="A511" t="str">
            <v>201 2014 10 1211 00006</v>
          </cell>
          <cell r="B511">
            <v>88</v>
          </cell>
          <cell r="C511">
            <v>41803.486666666664</v>
          </cell>
          <cell r="D511">
            <v>5.4945054945054937E-2</v>
          </cell>
          <cell r="E511">
            <v>0</v>
          </cell>
          <cell r="F511">
            <v>0.94505494505494503</v>
          </cell>
          <cell r="G511">
            <v>0</v>
          </cell>
        </row>
        <row r="512">
          <cell r="A512" t="str">
            <v>201 2013 10 1211 00006</v>
          </cell>
          <cell r="B512">
            <v>116</v>
          </cell>
          <cell r="C512">
            <v>41473.450254629628</v>
          </cell>
          <cell r="D512">
            <v>5.8823529411764705E-2</v>
          </cell>
          <cell r="E512">
            <v>0</v>
          </cell>
          <cell r="F512">
            <v>0.94117647058823528</v>
          </cell>
          <cell r="G512">
            <v>0</v>
          </cell>
        </row>
        <row r="513">
          <cell r="A513" t="str">
            <v>201 2014 10 1211 00006</v>
          </cell>
          <cell r="B513">
            <v>116</v>
          </cell>
          <cell r="C513">
            <v>41827.337291666663</v>
          </cell>
          <cell r="D513">
            <v>5.4945054945054937E-2</v>
          </cell>
          <cell r="E513">
            <v>0</v>
          </cell>
          <cell r="F513">
            <v>0.94505494505494503</v>
          </cell>
          <cell r="G513">
            <v>0</v>
          </cell>
        </row>
        <row r="514">
          <cell r="A514" t="str">
            <v>201 2014 10 1211 00006</v>
          </cell>
          <cell r="B514">
            <v>117</v>
          </cell>
          <cell r="C514">
            <v>41827.33866898148</v>
          </cell>
          <cell r="D514">
            <v>5.4945054945054937E-2</v>
          </cell>
          <cell r="E514">
            <v>0</v>
          </cell>
          <cell r="F514">
            <v>0.94505494505494503</v>
          </cell>
          <cell r="G514">
            <v>0</v>
          </cell>
        </row>
        <row r="515">
          <cell r="A515" t="str">
            <v>201 2013 10 1211 00006</v>
          </cell>
          <cell r="B515">
            <v>142</v>
          </cell>
          <cell r="C515">
            <v>41531.536400462966</v>
          </cell>
          <cell r="D515">
            <v>5.8823529411764705E-2</v>
          </cell>
          <cell r="E515">
            <v>0</v>
          </cell>
          <cell r="F515">
            <v>0.94117647058823528</v>
          </cell>
          <cell r="G515">
            <v>0</v>
          </cell>
        </row>
        <row r="516">
          <cell r="A516" t="str">
            <v>201 2014 10 1211 00006</v>
          </cell>
          <cell r="B516">
            <v>142</v>
          </cell>
          <cell r="C516">
            <v>41857.643217592595</v>
          </cell>
          <cell r="D516">
            <v>5.4945054945054937E-2</v>
          </cell>
          <cell r="E516">
            <v>0</v>
          </cell>
          <cell r="F516">
            <v>0.94505494505494503</v>
          </cell>
          <cell r="G516">
            <v>0</v>
          </cell>
        </row>
        <row r="517">
          <cell r="A517" t="str">
            <v>201 2013 10 1211 00003</v>
          </cell>
          <cell r="B517">
            <v>168</v>
          </cell>
          <cell r="C517">
            <v>41276.402071759258</v>
          </cell>
          <cell r="D517">
            <v>1</v>
          </cell>
          <cell r="E517">
            <v>0</v>
          </cell>
          <cell r="F517">
            <v>0</v>
          </cell>
          <cell r="G517">
            <v>0</v>
          </cell>
        </row>
        <row r="518">
          <cell r="A518" t="str">
            <v>201 2014 10 1211 00006</v>
          </cell>
          <cell r="B518">
            <v>168</v>
          </cell>
          <cell r="C518">
            <v>41920.464594907404</v>
          </cell>
          <cell r="D518">
            <v>5.4945054945054937E-2</v>
          </cell>
          <cell r="E518">
            <v>0</v>
          </cell>
          <cell r="F518">
            <v>0.94505494505494503</v>
          </cell>
          <cell r="G518">
            <v>0</v>
          </cell>
        </row>
        <row r="519">
          <cell r="A519" t="str">
            <v>201 2013 10 1211 00006</v>
          </cell>
          <cell r="B519">
            <v>169</v>
          </cell>
          <cell r="C519">
            <v>41602.648900462962</v>
          </cell>
          <cell r="D519">
            <v>5.8823529411764705E-2</v>
          </cell>
          <cell r="E519">
            <v>0</v>
          </cell>
          <cell r="F519">
            <v>0.94117647058823528</v>
          </cell>
          <cell r="G519">
            <v>0</v>
          </cell>
        </row>
        <row r="520">
          <cell r="A520" t="str">
            <v>201 2014 10 1211 00006</v>
          </cell>
          <cell r="B520">
            <v>169</v>
          </cell>
          <cell r="C520">
            <v>41945.469618055555</v>
          </cell>
          <cell r="D520">
            <v>5.4945054945054937E-2</v>
          </cell>
          <cell r="E520">
            <v>0</v>
          </cell>
          <cell r="F520">
            <v>0.94505494505494503</v>
          </cell>
          <cell r="G520">
            <v>0</v>
          </cell>
        </row>
        <row r="521">
          <cell r="A521" t="str">
            <v>203 2014 10 1211 00004</v>
          </cell>
          <cell r="B521">
            <v>3</v>
          </cell>
          <cell r="C521">
            <v>41760.428587962961</v>
          </cell>
          <cell r="D521">
            <v>5.5426939491429725E-2</v>
          </cell>
          <cell r="E521">
            <v>0</v>
          </cell>
          <cell r="F521">
            <v>0.94457306050857026</v>
          </cell>
          <cell r="G521">
            <v>0</v>
          </cell>
        </row>
        <row r="522">
          <cell r="A522" t="str">
            <v>203 2014 10 1211 00005</v>
          </cell>
          <cell r="B522">
            <v>10</v>
          </cell>
          <cell r="C522">
            <v>41664.65111111111</v>
          </cell>
          <cell r="D522">
            <v>5.4945054945054951E-2</v>
          </cell>
          <cell r="E522">
            <v>0</v>
          </cell>
          <cell r="F522">
            <v>0.94505494505494503</v>
          </cell>
          <cell r="G522">
            <v>0</v>
          </cell>
        </row>
        <row r="523">
          <cell r="A523" t="str">
            <v>201 2014 10 1211 00006</v>
          </cell>
          <cell r="B523">
            <v>87</v>
          </cell>
          <cell r="C523">
            <v>41728.487361111111</v>
          </cell>
          <cell r="D523">
            <v>5.4945054945054937E-2</v>
          </cell>
          <cell r="E523">
            <v>0</v>
          </cell>
          <cell r="F523">
            <v>0.94505494505494503</v>
          </cell>
          <cell r="G523">
            <v>0</v>
          </cell>
        </row>
        <row r="524">
          <cell r="A524" t="str">
            <v>201 2013 10 1211 00006</v>
          </cell>
          <cell r="B524">
            <v>115</v>
          </cell>
          <cell r="C524">
            <v>41483.44189814815</v>
          </cell>
          <cell r="D524">
            <v>5.8823529411764705E-2</v>
          </cell>
          <cell r="E524">
            <v>0</v>
          </cell>
          <cell r="F524">
            <v>0.94117647058823528</v>
          </cell>
          <cell r="G524">
            <v>0</v>
          </cell>
        </row>
        <row r="525">
          <cell r="A525" t="str">
            <v>201 2014 10 1211 00006</v>
          </cell>
          <cell r="B525">
            <v>115</v>
          </cell>
          <cell r="C525">
            <v>41815.336157407408</v>
          </cell>
          <cell r="D525">
            <v>5.4945054945054937E-2</v>
          </cell>
          <cell r="E525">
            <v>0</v>
          </cell>
          <cell r="F525">
            <v>0.94505494505494503</v>
          </cell>
          <cell r="G525">
            <v>0</v>
          </cell>
        </row>
        <row r="526">
          <cell r="A526" t="str">
            <v>201 2014 10 1211 00006</v>
          </cell>
          <cell r="B526">
            <v>141</v>
          </cell>
          <cell r="C526">
            <v>41848.642060185186</v>
          </cell>
          <cell r="D526">
            <v>5.4945054945054937E-2</v>
          </cell>
          <cell r="E526">
            <v>0</v>
          </cell>
          <cell r="F526">
            <v>0.94505494505494503</v>
          </cell>
          <cell r="G526">
            <v>0</v>
          </cell>
        </row>
        <row r="527">
          <cell r="A527" t="str">
            <v>201 2013 10 1211 00006</v>
          </cell>
          <cell r="B527">
            <v>166</v>
          </cell>
          <cell r="C527">
            <v>41579.56521990741</v>
          </cell>
          <cell r="D527">
            <v>5.8823529411764705E-2</v>
          </cell>
          <cell r="E527">
            <v>0</v>
          </cell>
          <cell r="F527">
            <v>0.94117647058823528</v>
          </cell>
          <cell r="G527">
            <v>0</v>
          </cell>
        </row>
        <row r="528">
          <cell r="A528" t="str">
            <v>201 2014 10 1211 00006</v>
          </cell>
          <cell r="B528">
            <v>166</v>
          </cell>
          <cell r="C528">
            <v>41912.448391203703</v>
          </cell>
          <cell r="D528">
            <v>5.4945054945054937E-2</v>
          </cell>
          <cell r="E528">
            <v>0</v>
          </cell>
          <cell r="F528">
            <v>0.94505494505494503</v>
          </cell>
          <cell r="G528">
            <v>0</v>
          </cell>
        </row>
        <row r="529">
          <cell r="A529" t="str">
            <v>201 2014 10 1211 00006</v>
          </cell>
          <cell r="B529">
            <v>167</v>
          </cell>
          <cell r="C529">
            <v>41938.455000000002</v>
          </cell>
          <cell r="D529">
            <v>5.4945054945054937E-2</v>
          </cell>
          <cell r="E529">
            <v>0</v>
          </cell>
          <cell r="F529">
            <v>0.94505494505494503</v>
          </cell>
          <cell r="G529">
            <v>0</v>
          </cell>
        </row>
        <row r="530">
          <cell r="A530" t="str">
            <v>201 2013 10 1211 00006</v>
          </cell>
          <cell r="B530">
            <v>198</v>
          </cell>
          <cell r="C530">
            <v>41608.642650462964</v>
          </cell>
          <cell r="D530">
            <v>5.8823529411764705E-2</v>
          </cell>
          <cell r="E530">
            <v>0</v>
          </cell>
          <cell r="F530">
            <v>0.94117647058823528</v>
          </cell>
          <cell r="G530">
            <v>0</v>
          </cell>
        </row>
        <row r="531">
          <cell r="A531" t="str">
            <v>201 2013 10 1211 00006</v>
          </cell>
          <cell r="B531">
            <v>199</v>
          </cell>
          <cell r="C531">
            <v>41614.644733796296</v>
          </cell>
          <cell r="D531">
            <v>5.8823529411764705E-2</v>
          </cell>
          <cell r="E531">
            <v>0</v>
          </cell>
          <cell r="F531">
            <v>0.94117647058823528</v>
          </cell>
          <cell r="G531">
            <v>0</v>
          </cell>
        </row>
        <row r="532">
          <cell r="A532" t="str">
            <v>203 2015 10 1211 00001</v>
          </cell>
          <cell r="B532">
            <v>3</v>
          </cell>
          <cell r="C532">
            <v>42009.53943287037</v>
          </cell>
          <cell r="D532">
            <v>5.5375312604714712E-2</v>
          </cell>
          <cell r="E532">
            <v>0</v>
          </cell>
          <cell r="F532">
            <v>0.94462468739528527</v>
          </cell>
          <cell r="G532">
            <v>0</v>
          </cell>
        </row>
        <row r="533">
          <cell r="A533" t="str">
            <v>203 2014 10 1211 00005</v>
          </cell>
          <cell r="B533">
            <v>12</v>
          </cell>
          <cell r="C533">
            <v>41665.661157407405</v>
          </cell>
          <cell r="D533">
            <v>5.4945054945054951E-2</v>
          </cell>
          <cell r="E533">
            <v>0</v>
          </cell>
          <cell r="F533">
            <v>0.94505494505494503</v>
          </cell>
          <cell r="G533">
            <v>0</v>
          </cell>
        </row>
        <row r="534">
          <cell r="A534" t="str">
            <v>203 2015 10 1211 00001</v>
          </cell>
          <cell r="B534">
            <v>12</v>
          </cell>
          <cell r="C534">
            <v>42031.654988425929</v>
          </cell>
          <cell r="D534">
            <v>5.5375312604714712E-2</v>
          </cell>
          <cell r="E534">
            <v>0</v>
          </cell>
          <cell r="F534">
            <v>0.94462468739528527</v>
          </cell>
          <cell r="G534">
            <v>0</v>
          </cell>
        </row>
        <row r="535">
          <cell r="A535" t="str">
            <v>201 2013 10 1211 00006</v>
          </cell>
          <cell r="B535">
            <v>122</v>
          </cell>
          <cell r="C535">
            <v>41529.40289351852</v>
          </cell>
          <cell r="D535">
            <v>5.8823529411764705E-2</v>
          </cell>
          <cell r="E535">
            <v>0</v>
          </cell>
          <cell r="F535">
            <v>0.94117647058823528</v>
          </cell>
          <cell r="G535">
            <v>0</v>
          </cell>
        </row>
        <row r="536">
          <cell r="A536" t="str">
            <v>201 2014 10 1211 00006</v>
          </cell>
          <cell r="B536">
            <v>146</v>
          </cell>
          <cell r="C536">
            <v>41898.460057870368</v>
          </cell>
          <cell r="D536">
            <v>5.4945054945054937E-2</v>
          </cell>
          <cell r="E536">
            <v>0</v>
          </cell>
          <cell r="F536">
            <v>0.94505494505494503</v>
          </cell>
          <cell r="G536">
            <v>0</v>
          </cell>
        </row>
        <row r="537">
          <cell r="A537" t="str">
            <v>201 2013 10 1211 00006</v>
          </cell>
          <cell r="B537">
            <v>147</v>
          </cell>
          <cell r="C537">
            <v>41512.544606481482</v>
          </cell>
          <cell r="D537">
            <v>5.8823529411764705E-2</v>
          </cell>
          <cell r="E537">
            <v>0</v>
          </cell>
          <cell r="F537">
            <v>0.94117647058823528</v>
          </cell>
          <cell r="G537">
            <v>0</v>
          </cell>
        </row>
        <row r="538">
          <cell r="A538" t="str">
            <v>201 2014 10 1211 00006</v>
          </cell>
          <cell r="B538">
            <v>147</v>
          </cell>
          <cell r="C538">
            <v>41912.463310185187</v>
          </cell>
          <cell r="D538">
            <v>5.4945054945054937E-2</v>
          </cell>
          <cell r="E538">
            <v>0</v>
          </cell>
          <cell r="F538">
            <v>0.94505494505494503</v>
          </cell>
          <cell r="G538">
            <v>0</v>
          </cell>
        </row>
        <row r="539">
          <cell r="A539" t="str">
            <v>201 2013 10 1211 00006</v>
          </cell>
          <cell r="B539">
            <v>174</v>
          </cell>
          <cell r="C539">
            <v>41589.6562037037</v>
          </cell>
          <cell r="D539">
            <v>5.8823529411764705E-2</v>
          </cell>
          <cell r="E539">
            <v>0</v>
          </cell>
          <cell r="F539">
            <v>0.94117647058823528</v>
          </cell>
          <cell r="G539">
            <v>0</v>
          </cell>
        </row>
        <row r="540">
          <cell r="A540" t="str">
            <v>201 2014 10 1211 00006</v>
          </cell>
          <cell r="B540">
            <v>174</v>
          </cell>
          <cell r="C540">
            <v>41992.083912037036</v>
          </cell>
          <cell r="D540">
            <v>5.4945054945054937E-2</v>
          </cell>
          <cell r="E540">
            <v>0</v>
          </cell>
          <cell r="F540">
            <v>0.94505494505494503</v>
          </cell>
          <cell r="G540">
            <v>0</v>
          </cell>
        </row>
        <row r="541">
          <cell r="A541" t="str">
            <v>201 2013 10 1211 00006</v>
          </cell>
          <cell r="B541">
            <v>207</v>
          </cell>
          <cell r="C541">
            <v>41617.413287037038</v>
          </cell>
          <cell r="D541">
            <v>5.8823529411764705E-2</v>
          </cell>
          <cell r="E541">
            <v>0</v>
          </cell>
          <cell r="F541">
            <v>0.94117647058823528</v>
          </cell>
          <cell r="G541">
            <v>0</v>
          </cell>
        </row>
        <row r="542">
          <cell r="A542" t="str">
            <v>201 2013 10 1211 00006</v>
          </cell>
          <cell r="B542">
            <v>208</v>
          </cell>
          <cell r="C542">
            <v>41605.435532407406</v>
          </cell>
          <cell r="D542">
            <v>5.8823529411764705E-2</v>
          </cell>
          <cell r="E542">
            <v>0</v>
          </cell>
          <cell r="F542">
            <v>0.94117647058823528</v>
          </cell>
          <cell r="G542">
            <v>0</v>
          </cell>
        </row>
        <row r="543">
          <cell r="A543" t="str">
            <v>202 2011 11 1211 00010</v>
          </cell>
          <cell r="B543">
            <v>1</v>
          </cell>
          <cell r="C543">
            <v>40952.627372685187</v>
          </cell>
          <cell r="D543">
            <v>0.15465926721054996</v>
          </cell>
          <cell r="E543">
            <v>0</v>
          </cell>
          <cell r="F543">
            <v>0.84534073278944999</v>
          </cell>
          <cell r="G543">
            <v>0</v>
          </cell>
        </row>
        <row r="544">
          <cell r="A544" t="str">
            <v>203 2014 10 1211 00004</v>
          </cell>
          <cell r="B544">
            <v>4</v>
          </cell>
          <cell r="C544">
            <v>41756.437615740739</v>
          </cell>
          <cell r="D544">
            <v>5.5426939491429725E-2</v>
          </cell>
          <cell r="E544">
            <v>0</v>
          </cell>
          <cell r="F544">
            <v>0.94457306050857026</v>
          </cell>
          <cell r="G544">
            <v>0</v>
          </cell>
        </row>
        <row r="545">
          <cell r="A545" t="str">
            <v>203 2015 10 1211 00001</v>
          </cell>
          <cell r="B545">
            <v>4</v>
          </cell>
          <cell r="C545">
            <v>42009.543865740743</v>
          </cell>
          <cell r="D545">
            <v>5.5375312604714712E-2</v>
          </cell>
          <cell r="E545">
            <v>0</v>
          </cell>
          <cell r="F545">
            <v>0.94462468739528527</v>
          </cell>
          <cell r="G545">
            <v>0</v>
          </cell>
        </row>
        <row r="546">
          <cell r="A546" t="str">
            <v>203 2014 10 1211 00005</v>
          </cell>
          <cell r="B546">
            <v>9</v>
          </cell>
          <cell r="C546">
            <v>41661.644421296296</v>
          </cell>
          <cell r="D546">
            <v>5.4945054945054951E-2</v>
          </cell>
          <cell r="E546">
            <v>0</v>
          </cell>
          <cell r="F546">
            <v>0.94505494505494503</v>
          </cell>
          <cell r="G546">
            <v>0</v>
          </cell>
        </row>
        <row r="547">
          <cell r="A547" t="str">
            <v>203 2015 10 1211 00001</v>
          </cell>
          <cell r="B547">
            <v>9</v>
          </cell>
          <cell r="C547">
            <v>42023.580914351849</v>
          </cell>
          <cell r="D547">
            <v>5.5375312604714712E-2</v>
          </cell>
          <cell r="E547">
            <v>0</v>
          </cell>
          <cell r="F547">
            <v>0.94462468739528527</v>
          </cell>
          <cell r="G547">
            <v>0</v>
          </cell>
        </row>
        <row r="548">
          <cell r="A548" t="str">
            <v>203 2015 10 1211 00001</v>
          </cell>
          <cell r="B548">
            <v>23</v>
          </cell>
          <cell r="C548">
            <v>42051.608472222222</v>
          </cell>
          <cell r="D548">
            <v>5.8633281100587728E-2</v>
          </cell>
          <cell r="E548">
            <v>0</v>
          </cell>
          <cell r="F548">
            <v>0.94136671889941226</v>
          </cell>
          <cell r="G548">
            <v>0</v>
          </cell>
        </row>
        <row r="549">
          <cell r="A549" t="str">
            <v>203 2014 10 1211 00005</v>
          </cell>
          <cell r="B549">
            <v>24</v>
          </cell>
          <cell r="C549">
            <v>41700.480694444443</v>
          </cell>
          <cell r="D549">
            <v>5.4945054945054951E-2</v>
          </cell>
          <cell r="E549">
            <v>0</v>
          </cell>
          <cell r="F549">
            <v>0.94505494505494503</v>
          </cell>
          <cell r="G549">
            <v>0</v>
          </cell>
        </row>
        <row r="550">
          <cell r="A550" t="str">
            <v>201 2014 10 1211 00006</v>
          </cell>
          <cell r="B550">
            <v>112</v>
          </cell>
          <cell r="C550">
            <v>41820.330694444441</v>
          </cell>
          <cell r="D550">
            <v>5.4945054945054937E-2</v>
          </cell>
          <cell r="E550">
            <v>0</v>
          </cell>
          <cell r="F550">
            <v>0.94505494505494503</v>
          </cell>
          <cell r="G550">
            <v>0</v>
          </cell>
        </row>
        <row r="551">
          <cell r="A551" t="str">
            <v>201 2014 10 1211 00006</v>
          </cell>
          <cell r="B551">
            <v>138</v>
          </cell>
          <cell r="C551">
            <v>41904.638020833336</v>
          </cell>
          <cell r="D551">
            <v>5.4945054945054937E-2</v>
          </cell>
          <cell r="E551">
            <v>0</v>
          </cell>
          <cell r="F551">
            <v>0.94505494505494503</v>
          </cell>
          <cell r="G551">
            <v>0</v>
          </cell>
        </row>
        <row r="552">
          <cell r="A552" t="str">
            <v>201 2014 10 1211 00006</v>
          </cell>
          <cell r="B552">
            <v>163</v>
          </cell>
          <cell r="C552">
            <v>41958.421273148146</v>
          </cell>
          <cell r="D552">
            <v>5.4945054945054937E-2</v>
          </cell>
          <cell r="E552">
            <v>0</v>
          </cell>
          <cell r="F552">
            <v>0.94505494505494503</v>
          </cell>
          <cell r="G552">
            <v>0</v>
          </cell>
        </row>
        <row r="553">
          <cell r="A553" t="str">
            <v>201 2014 10 1211 00006</v>
          </cell>
          <cell r="B553">
            <v>164</v>
          </cell>
          <cell r="C553">
            <v>41931.43</v>
          </cell>
          <cell r="D553">
            <v>5.4945054945054937E-2</v>
          </cell>
          <cell r="E553">
            <v>0</v>
          </cell>
          <cell r="F553">
            <v>0.94505494505494503</v>
          </cell>
          <cell r="G553">
            <v>0</v>
          </cell>
        </row>
        <row r="554">
          <cell r="A554" t="str">
            <v>202 2010 11 1211 00012</v>
          </cell>
          <cell r="B554">
            <v>3</v>
          </cell>
          <cell r="C554">
            <v>40362</v>
          </cell>
          <cell r="D554">
            <v>0.15465926721054996</v>
          </cell>
          <cell r="E554">
            <v>4.2267036639472504E-2</v>
          </cell>
          <cell r="F554">
            <v>0.80307369614997748</v>
          </cell>
          <cell r="G554">
            <v>0</v>
          </cell>
        </row>
        <row r="555">
          <cell r="A555" t="str">
            <v>203 2014 10 1211 00005</v>
          </cell>
          <cell r="B555">
            <v>6</v>
          </cell>
          <cell r="C555">
            <v>41654.989722222221</v>
          </cell>
          <cell r="D555">
            <v>5.4945054945054951E-2</v>
          </cell>
          <cell r="E555">
            <v>0</v>
          </cell>
          <cell r="F555">
            <v>0.94505494505494503</v>
          </cell>
          <cell r="G555">
            <v>0</v>
          </cell>
        </row>
        <row r="556">
          <cell r="A556" t="str">
            <v>203 2015 10 1211 00001</v>
          </cell>
          <cell r="B556">
            <v>6</v>
          </cell>
          <cell r="C556">
            <v>42021.561759259261</v>
          </cell>
          <cell r="D556">
            <v>5.5375312604714712E-2</v>
          </cell>
          <cell r="E556">
            <v>0</v>
          </cell>
          <cell r="F556">
            <v>0.94462468739528527</v>
          </cell>
          <cell r="G556">
            <v>0</v>
          </cell>
        </row>
        <row r="557">
          <cell r="A557" t="str">
            <v>203 2013 10 1211 00009</v>
          </cell>
          <cell r="B557">
            <v>17</v>
          </cell>
          <cell r="C557">
            <v>41291.770833333336</v>
          </cell>
          <cell r="D557">
            <v>5.8823529411764712E-2</v>
          </cell>
          <cell r="E557">
            <v>0</v>
          </cell>
          <cell r="F557">
            <v>0.94117647058823528</v>
          </cell>
          <cell r="G557">
            <v>0</v>
          </cell>
        </row>
        <row r="558">
          <cell r="A558" t="str">
            <v>203 2014 10 1211 00005</v>
          </cell>
          <cell r="B558">
            <v>17</v>
          </cell>
          <cell r="C558">
            <v>41681.428587962961</v>
          </cell>
          <cell r="D558">
            <v>5.4945054945054951E-2</v>
          </cell>
          <cell r="E558">
            <v>0</v>
          </cell>
          <cell r="F558">
            <v>0.94505494505494503</v>
          </cell>
          <cell r="G558">
            <v>0</v>
          </cell>
        </row>
        <row r="559">
          <cell r="A559" t="str">
            <v>203 2015 10 1211 00001</v>
          </cell>
          <cell r="B559">
            <v>17</v>
          </cell>
          <cell r="C559">
            <v>42038.582303240742</v>
          </cell>
          <cell r="D559">
            <v>5.8633281100587728E-2</v>
          </cell>
          <cell r="E559">
            <v>0</v>
          </cell>
          <cell r="F559">
            <v>0.94136671889941226</v>
          </cell>
          <cell r="G559">
            <v>0</v>
          </cell>
        </row>
        <row r="560">
          <cell r="A560" t="str">
            <v>203 2015 10 1211 00001</v>
          </cell>
          <cell r="B560">
            <v>36</v>
          </cell>
          <cell r="C560">
            <v>42073.625081018516</v>
          </cell>
          <cell r="D560">
            <v>5.5375312604714712E-2</v>
          </cell>
          <cell r="E560">
            <v>0</v>
          </cell>
          <cell r="F560">
            <v>0.94462468739528527</v>
          </cell>
          <cell r="G560">
            <v>0</v>
          </cell>
        </row>
        <row r="561">
          <cell r="A561" t="str">
            <v>203 2012 10 1211 00010</v>
          </cell>
          <cell r="B561">
            <v>37</v>
          </cell>
          <cell r="C561">
            <v>41186.582002314812</v>
          </cell>
          <cell r="D561">
            <v>5.8823999999999994E-2</v>
          </cell>
          <cell r="E561">
            <v>0</v>
          </cell>
          <cell r="F561">
            <v>0.94117600000000001</v>
          </cell>
          <cell r="G561">
            <v>0</v>
          </cell>
        </row>
        <row r="562">
          <cell r="A562" t="str">
            <v>203 2014 10 1211 00005</v>
          </cell>
          <cell r="B562">
            <v>37</v>
          </cell>
          <cell r="C562">
            <v>41744.466296296298</v>
          </cell>
          <cell r="D562">
            <v>5.4945054945054951E-2</v>
          </cell>
          <cell r="E562">
            <v>0</v>
          </cell>
          <cell r="F562">
            <v>0.94505494505494503</v>
          </cell>
          <cell r="G562">
            <v>0</v>
          </cell>
        </row>
        <row r="563">
          <cell r="A563" t="str">
            <v>201 2013 10 1211 00006</v>
          </cell>
          <cell r="B563">
            <v>135</v>
          </cell>
          <cell r="C563">
            <v>41523.447094907409</v>
          </cell>
          <cell r="D563">
            <v>5.8823529411764705E-2</v>
          </cell>
          <cell r="E563">
            <v>0</v>
          </cell>
          <cell r="F563">
            <v>0.94117647058823528</v>
          </cell>
          <cell r="G563">
            <v>0</v>
          </cell>
        </row>
        <row r="564">
          <cell r="A564" t="str">
            <v>201 2014 10 1211 00006</v>
          </cell>
          <cell r="B564">
            <v>135</v>
          </cell>
          <cell r="C564">
            <v>41884.633634259262</v>
          </cell>
          <cell r="D564">
            <v>5.4945054945054937E-2</v>
          </cell>
          <cell r="E564">
            <v>0</v>
          </cell>
          <cell r="F564">
            <v>0.94505494505494503</v>
          </cell>
          <cell r="G564">
            <v>0</v>
          </cell>
        </row>
        <row r="565">
          <cell r="A565" t="str">
            <v>201 2013 10 1211 00006</v>
          </cell>
          <cell r="B565">
            <v>161</v>
          </cell>
          <cell r="C565">
            <v>41564.423437500001</v>
          </cell>
          <cell r="D565">
            <v>5.8823529411764705E-2</v>
          </cell>
          <cell r="E565">
            <v>0</v>
          </cell>
          <cell r="F565">
            <v>0.94117647058823528</v>
          </cell>
          <cell r="G565">
            <v>0</v>
          </cell>
        </row>
        <row r="566">
          <cell r="A566" t="str">
            <v>201 2014 10 1211 00006</v>
          </cell>
          <cell r="B566">
            <v>161</v>
          </cell>
          <cell r="C566">
            <v>41942.402430555558</v>
          </cell>
          <cell r="D566">
            <v>5.4945054945054937E-2</v>
          </cell>
          <cell r="E566">
            <v>0</v>
          </cell>
          <cell r="F566">
            <v>0.94505494505494503</v>
          </cell>
          <cell r="G566">
            <v>0</v>
          </cell>
        </row>
        <row r="567">
          <cell r="A567" t="str">
            <v>201 2013 10 1211 00006</v>
          </cell>
          <cell r="B567">
            <v>192</v>
          </cell>
          <cell r="C567">
            <v>41575.578530092593</v>
          </cell>
          <cell r="D567">
            <v>5.8823529411764705E-2</v>
          </cell>
          <cell r="E567">
            <v>0</v>
          </cell>
          <cell r="F567">
            <v>0.94117647058823528</v>
          </cell>
          <cell r="G567">
            <v>0</v>
          </cell>
        </row>
        <row r="568">
          <cell r="A568" t="str">
            <v>203 2014 10 1211 00005</v>
          </cell>
          <cell r="B568">
            <v>7</v>
          </cell>
          <cell r="C568">
            <v>41659.632789351854</v>
          </cell>
          <cell r="D568">
            <v>5.4945054945054951E-2</v>
          </cell>
          <cell r="E568">
            <v>0</v>
          </cell>
          <cell r="F568">
            <v>0.94505494505494503</v>
          </cell>
          <cell r="G568">
            <v>0</v>
          </cell>
        </row>
        <row r="569">
          <cell r="A569" t="str">
            <v>203 2015 10 1211 00001</v>
          </cell>
          <cell r="B569">
            <v>7</v>
          </cell>
          <cell r="C569">
            <v>42022.572662037041</v>
          </cell>
          <cell r="D569">
            <v>5.5375312604714712E-2</v>
          </cell>
          <cell r="E569">
            <v>0</v>
          </cell>
          <cell r="F569">
            <v>0.94462468739528527</v>
          </cell>
          <cell r="G569">
            <v>0</v>
          </cell>
        </row>
        <row r="570">
          <cell r="A570" t="str">
            <v>203 2008 10 1211 00005</v>
          </cell>
          <cell r="B570">
            <v>8</v>
          </cell>
          <cell r="C570">
            <v>39834</v>
          </cell>
          <cell r="D570">
            <v>7.4214000000000002E-2</v>
          </cell>
          <cell r="E570">
            <v>9.2600000000000002E-2</v>
          </cell>
          <cell r="F570">
            <v>0.83318599999999998</v>
          </cell>
          <cell r="G570">
            <v>0</v>
          </cell>
        </row>
        <row r="571">
          <cell r="A571" t="str">
            <v>203 2014 10 1211 00005</v>
          </cell>
          <cell r="B571">
            <v>20</v>
          </cell>
          <cell r="C571">
            <v>41693.449895833335</v>
          </cell>
          <cell r="D571">
            <v>5.4945054945054951E-2</v>
          </cell>
          <cell r="E571">
            <v>0</v>
          </cell>
          <cell r="F571">
            <v>0.94505494505494503</v>
          </cell>
          <cell r="G571">
            <v>0</v>
          </cell>
        </row>
        <row r="572">
          <cell r="A572" t="str">
            <v>203 2015 10 1211 00001</v>
          </cell>
          <cell r="B572">
            <v>20</v>
          </cell>
          <cell r="C572">
            <v>42043.59511574074</v>
          </cell>
          <cell r="D572">
            <v>5.8633281100587728E-2</v>
          </cell>
          <cell r="E572">
            <v>0</v>
          </cell>
          <cell r="F572">
            <v>0.94136671889941226</v>
          </cell>
          <cell r="G572">
            <v>0</v>
          </cell>
        </row>
        <row r="573">
          <cell r="A573" t="str">
            <v>203 2014 10 1211 00005</v>
          </cell>
          <cell r="B573">
            <v>41</v>
          </cell>
          <cell r="C573">
            <v>41746.578761574077</v>
          </cell>
          <cell r="D573">
            <v>5.4945054945054951E-2</v>
          </cell>
          <cell r="E573">
            <v>0</v>
          </cell>
          <cell r="F573">
            <v>0.94505494505494503</v>
          </cell>
          <cell r="G573">
            <v>0</v>
          </cell>
        </row>
        <row r="574">
          <cell r="A574" t="str">
            <v>203 2015 10 1211 00001</v>
          </cell>
          <cell r="B574">
            <v>41</v>
          </cell>
          <cell r="C574">
            <v>42084.648113425923</v>
          </cell>
          <cell r="D574">
            <v>5.5375312604714712E-2</v>
          </cell>
          <cell r="E574">
            <v>0</v>
          </cell>
          <cell r="F574">
            <v>0.94462468739528527</v>
          </cell>
          <cell r="G574">
            <v>0</v>
          </cell>
        </row>
        <row r="575">
          <cell r="A575" t="str">
            <v>203 2015 10 1211 00001</v>
          </cell>
          <cell r="B575">
            <v>42</v>
          </cell>
          <cell r="C575">
            <v>42085.651574074072</v>
          </cell>
          <cell r="D575">
            <v>5.5375312604714712E-2</v>
          </cell>
          <cell r="E575">
            <v>0</v>
          </cell>
          <cell r="F575">
            <v>0.94462468739528527</v>
          </cell>
          <cell r="G575">
            <v>0</v>
          </cell>
        </row>
        <row r="576">
          <cell r="A576" t="str">
            <v>201 2014 10 1211 00006</v>
          </cell>
          <cell r="B576">
            <v>122</v>
          </cell>
          <cell r="C576">
            <v>41821.34516203704</v>
          </cell>
          <cell r="D576">
            <v>5.4945054945054937E-2</v>
          </cell>
          <cell r="E576">
            <v>0</v>
          </cell>
          <cell r="F576">
            <v>0.94505494505494503</v>
          </cell>
          <cell r="G576">
            <v>0</v>
          </cell>
        </row>
        <row r="577">
          <cell r="A577" t="str">
            <v>201 2014 10 1211 00006</v>
          </cell>
          <cell r="B577">
            <v>123</v>
          </cell>
          <cell r="C577">
            <v>41853.346770833334</v>
          </cell>
          <cell r="D577">
            <v>5.4945054945054937E-2</v>
          </cell>
          <cell r="E577">
            <v>0</v>
          </cell>
          <cell r="F577">
            <v>0.94505494505494503</v>
          </cell>
          <cell r="G577">
            <v>0</v>
          </cell>
        </row>
        <row r="578">
          <cell r="A578" t="str">
            <v>201 2013 10 1211 00006</v>
          </cell>
          <cell r="B578">
            <v>124</v>
          </cell>
          <cell r="C578">
            <v>41530.438796296294</v>
          </cell>
          <cell r="D578">
            <v>5.8823529411764705E-2</v>
          </cell>
          <cell r="E578">
            <v>0</v>
          </cell>
          <cell r="F578">
            <v>0.94117647058823528</v>
          </cell>
          <cell r="G578">
            <v>0</v>
          </cell>
        </row>
        <row r="579">
          <cell r="A579" t="str">
            <v>201 2013 10 1211 00006</v>
          </cell>
          <cell r="B579">
            <v>148</v>
          </cell>
          <cell r="C579">
            <v>41537.546446759261</v>
          </cell>
          <cell r="D579">
            <v>5.8823529411764705E-2</v>
          </cell>
          <cell r="E579">
            <v>0</v>
          </cell>
          <cell r="F579">
            <v>0.94117647058823528</v>
          </cell>
          <cell r="G579">
            <v>0</v>
          </cell>
        </row>
        <row r="580">
          <cell r="A580" t="str">
            <v>201 2014 10 1211 00006</v>
          </cell>
          <cell r="B580">
            <v>148</v>
          </cell>
          <cell r="C580">
            <v>41827.468333333331</v>
          </cell>
          <cell r="D580">
            <v>5.4945054945054937E-2</v>
          </cell>
          <cell r="E580">
            <v>0</v>
          </cell>
          <cell r="F580">
            <v>0.94505494505494503</v>
          </cell>
          <cell r="G580">
            <v>0</v>
          </cell>
        </row>
        <row r="581">
          <cell r="A581" t="str">
            <v>201 2013 10 1211 00006</v>
          </cell>
          <cell r="B581">
            <v>176</v>
          </cell>
          <cell r="C581">
            <v>41587.658726851849</v>
          </cell>
          <cell r="D581">
            <v>5.8823529411764705E-2</v>
          </cell>
          <cell r="E581">
            <v>0</v>
          </cell>
          <cell r="F581">
            <v>0.94117647058823528</v>
          </cell>
          <cell r="G581">
            <v>0</v>
          </cell>
        </row>
        <row r="582">
          <cell r="A582" t="str">
            <v>203 2013 10 1211 00003</v>
          </cell>
          <cell r="B582">
            <v>4</v>
          </cell>
          <cell r="C582">
            <v>41396.383912037039</v>
          </cell>
          <cell r="D582">
            <v>0.28239389219784183</v>
          </cell>
          <cell r="E582">
            <v>0</v>
          </cell>
          <cell r="F582">
            <v>0.71760610780215817</v>
          </cell>
          <cell r="G582">
            <v>0</v>
          </cell>
        </row>
        <row r="583">
          <cell r="A583" t="str">
            <v>203 2014 10 1211 00005</v>
          </cell>
          <cell r="B583">
            <v>27</v>
          </cell>
          <cell r="C583">
            <v>41705.559120370373</v>
          </cell>
          <cell r="D583">
            <v>5.4945054945054951E-2</v>
          </cell>
          <cell r="E583">
            <v>0</v>
          </cell>
          <cell r="F583">
            <v>0.94505494505494503</v>
          </cell>
          <cell r="G583">
            <v>0</v>
          </cell>
        </row>
        <row r="584">
          <cell r="A584" t="str">
            <v>203 2015 10 1211 00001</v>
          </cell>
          <cell r="B584">
            <v>27</v>
          </cell>
          <cell r="C584">
            <v>42057.631979166668</v>
          </cell>
          <cell r="D584">
            <v>5.8633281100587728E-2</v>
          </cell>
          <cell r="E584">
            <v>0</v>
          </cell>
          <cell r="F584">
            <v>0.94136671889941226</v>
          </cell>
          <cell r="G584">
            <v>0</v>
          </cell>
        </row>
        <row r="585">
          <cell r="A585" t="str">
            <v>203 2013 10 1211 00009</v>
          </cell>
          <cell r="B585">
            <v>28</v>
          </cell>
          <cell r="C585">
            <v>41340.472881944443</v>
          </cell>
          <cell r="D585">
            <v>5.8823529411764712E-2</v>
          </cell>
          <cell r="E585">
            <v>0</v>
          </cell>
          <cell r="F585">
            <v>0.94117647058823528</v>
          </cell>
          <cell r="G585">
            <v>0</v>
          </cell>
        </row>
        <row r="586">
          <cell r="A586" t="str">
            <v>203 2014 10 1211 00005</v>
          </cell>
          <cell r="B586">
            <v>28</v>
          </cell>
          <cell r="C586">
            <v>41715.597581018519</v>
          </cell>
          <cell r="D586">
            <v>5.4945054945054951E-2</v>
          </cell>
          <cell r="E586">
            <v>0</v>
          </cell>
          <cell r="F586">
            <v>0.94505494505494503</v>
          </cell>
          <cell r="G586">
            <v>0</v>
          </cell>
        </row>
        <row r="587">
          <cell r="A587" t="str">
            <v>203 2015 10 1211 00001</v>
          </cell>
          <cell r="B587">
            <v>49</v>
          </cell>
          <cell r="C587">
            <v>42100.714004629626</v>
          </cell>
          <cell r="D587">
            <v>5.8633281100587728E-2</v>
          </cell>
          <cell r="E587">
            <v>0</v>
          </cell>
          <cell r="F587">
            <v>0.94136671889941226</v>
          </cell>
          <cell r="G587">
            <v>0</v>
          </cell>
        </row>
        <row r="588">
          <cell r="A588" t="str">
            <v>203 2012 10 1211 00011</v>
          </cell>
          <cell r="B588">
            <v>50</v>
          </cell>
          <cell r="C588">
            <v>41225.61314814815</v>
          </cell>
          <cell r="D588">
            <v>5.8823999999999994E-2</v>
          </cell>
          <cell r="E588">
            <v>0</v>
          </cell>
          <cell r="F588">
            <v>0.94117600000000001</v>
          </cell>
          <cell r="G588">
            <v>0</v>
          </cell>
        </row>
        <row r="589">
          <cell r="A589" t="str">
            <v>201 2013 10 1211 00006</v>
          </cell>
          <cell r="B589">
            <v>118</v>
          </cell>
          <cell r="C589">
            <v>41481.465775462966</v>
          </cell>
          <cell r="D589">
            <v>5.8823529411764705E-2</v>
          </cell>
          <cell r="E589">
            <v>0</v>
          </cell>
          <cell r="F589">
            <v>0.94117647058823528</v>
          </cell>
          <cell r="G589">
            <v>0</v>
          </cell>
        </row>
        <row r="590">
          <cell r="A590" t="str">
            <v>201 2014 10 1211 00006</v>
          </cell>
          <cell r="B590">
            <v>118</v>
          </cell>
          <cell r="C590">
            <v>41829.339884259258</v>
          </cell>
          <cell r="D590">
            <v>5.4945054945054937E-2</v>
          </cell>
          <cell r="E590">
            <v>0</v>
          </cell>
          <cell r="F590">
            <v>0.94505494505494503</v>
          </cell>
          <cell r="G590">
            <v>0</v>
          </cell>
        </row>
        <row r="591">
          <cell r="A591" t="str">
            <v>201 2013 10 1211 00006</v>
          </cell>
          <cell r="B591">
            <v>143</v>
          </cell>
          <cell r="C591">
            <v>41537.537719907406</v>
          </cell>
          <cell r="D591">
            <v>5.8823529411764705E-2</v>
          </cell>
          <cell r="E591">
            <v>0</v>
          </cell>
          <cell r="F591">
            <v>0.94117647058823528</v>
          </cell>
          <cell r="G591">
            <v>0</v>
          </cell>
        </row>
        <row r="592">
          <cell r="A592" t="str">
            <v>201 2014 10 1211 00006</v>
          </cell>
          <cell r="B592">
            <v>143</v>
          </cell>
          <cell r="C592">
            <v>41904.644467592596</v>
          </cell>
          <cell r="D592">
            <v>5.4945054945054937E-2</v>
          </cell>
          <cell r="E592">
            <v>0</v>
          </cell>
          <cell r="F592">
            <v>0.94505494505494503</v>
          </cell>
          <cell r="G592">
            <v>0</v>
          </cell>
        </row>
        <row r="593">
          <cell r="A593" t="str">
            <v>201 2013 10 1211 00006</v>
          </cell>
          <cell r="B593">
            <v>170</v>
          </cell>
          <cell r="C593">
            <v>41601.650150462963</v>
          </cell>
          <cell r="D593">
            <v>5.8823529411764705E-2</v>
          </cell>
          <cell r="E593">
            <v>0</v>
          </cell>
          <cell r="F593">
            <v>0.94117647058823528</v>
          </cell>
          <cell r="G593">
            <v>0</v>
          </cell>
        </row>
        <row r="594">
          <cell r="A594" t="str">
            <v>201 2014 10 1211 00006</v>
          </cell>
          <cell r="B594">
            <v>170</v>
          </cell>
          <cell r="C594">
            <v>41943.47619212963</v>
          </cell>
          <cell r="D594">
            <v>5.4945054945054937E-2</v>
          </cell>
          <cell r="E594">
            <v>0</v>
          </cell>
          <cell r="F594">
            <v>0.94505494505494503</v>
          </cell>
          <cell r="G594">
            <v>0</v>
          </cell>
        </row>
        <row r="595">
          <cell r="A595" t="str">
            <v>201 2013 10 1211 00006</v>
          </cell>
          <cell r="B595">
            <v>171</v>
          </cell>
          <cell r="C595">
            <v>41600.651562500003</v>
          </cell>
          <cell r="D595">
            <v>5.8823529411764705E-2</v>
          </cell>
          <cell r="E595">
            <v>0</v>
          </cell>
          <cell r="F595">
            <v>0.94117647058823528</v>
          </cell>
          <cell r="G595">
            <v>0</v>
          </cell>
        </row>
        <row r="596">
          <cell r="A596" t="str">
            <v>203 2010 10 1211 00005</v>
          </cell>
          <cell r="B596">
            <v>5</v>
          </cell>
          <cell r="C596">
            <v>40342</v>
          </cell>
          <cell r="D596">
            <v>0.2307404023322647</v>
          </cell>
          <cell r="E596">
            <v>3.8462979883386768E-2</v>
          </cell>
          <cell r="F596">
            <v>0.73079661778434857</v>
          </cell>
          <cell r="G596">
            <v>0</v>
          </cell>
        </row>
        <row r="597">
          <cell r="A597" t="str">
            <v>203 2011 10 1211 00003</v>
          </cell>
          <cell r="B597">
            <v>5</v>
          </cell>
          <cell r="C597">
            <v>40753.465266203704</v>
          </cell>
          <cell r="D597">
            <v>1</v>
          </cell>
          <cell r="E597">
            <v>0</v>
          </cell>
          <cell r="F597">
            <v>0</v>
          </cell>
          <cell r="G597">
            <v>0</v>
          </cell>
        </row>
        <row r="598">
          <cell r="A598" t="str">
            <v>203 2008 10 1211 00005</v>
          </cell>
          <cell r="B598">
            <v>30</v>
          </cell>
          <cell r="C598">
            <v>39522</v>
          </cell>
          <cell r="D598">
            <v>7.4214000000000002E-2</v>
          </cell>
          <cell r="E598">
            <v>9.2600000000000002E-2</v>
          </cell>
          <cell r="F598">
            <v>0.83318599999999998</v>
          </cell>
          <cell r="G598">
            <v>0</v>
          </cell>
        </row>
        <row r="599">
          <cell r="A599" t="str">
            <v>203 2014 10 1211 00005</v>
          </cell>
          <cell r="B599">
            <v>30</v>
          </cell>
          <cell r="C599">
            <v>41725.621203703704</v>
          </cell>
          <cell r="D599">
            <v>5.4945054945054951E-2</v>
          </cell>
          <cell r="E599">
            <v>0</v>
          </cell>
          <cell r="F599">
            <v>0.94505494505494503</v>
          </cell>
          <cell r="G599">
            <v>0</v>
          </cell>
        </row>
        <row r="600">
          <cell r="A600" t="str">
            <v>203 2015 10 1211 00001</v>
          </cell>
          <cell r="B600">
            <v>30</v>
          </cell>
          <cell r="C600">
            <v>42066.64875</v>
          </cell>
          <cell r="D600">
            <v>5.5375312604714712E-2</v>
          </cell>
          <cell r="E600">
            <v>0</v>
          </cell>
          <cell r="F600">
            <v>0.94462468739528527</v>
          </cell>
          <cell r="G600">
            <v>0</v>
          </cell>
        </row>
        <row r="601">
          <cell r="A601" t="str">
            <v>203 2015 10 1211 00001</v>
          </cell>
          <cell r="B601">
            <v>52</v>
          </cell>
          <cell r="C601">
            <v>42086.566979166666</v>
          </cell>
          <cell r="D601">
            <v>5.5375312604714712E-2</v>
          </cell>
          <cell r="E601">
            <v>0</v>
          </cell>
          <cell r="F601">
            <v>0.94462468739528527</v>
          </cell>
          <cell r="G601">
            <v>0</v>
          </cell>
        </row>
        <row r="602">
          <cell r="A602" t="str">
            <v>201 2013 10 1211 00006</v>
          </cell>
          <cell r="B602">
            <v>183</v>
          </cell>
          <cell r="C602">
            <v>41603.669618055559</v>
          </cell>
          <cell r="D602">
            <v>5.8823529411764705E-2</v>
          </cell>
          <cell r="E602">
            <v>0</v>
          </cell>
          <cell r="F602">
            <v>0.94117647058823528</v>
          </cell>
          <cell r="G602">
            <v>0</v>
          </cell>
        </row>
        <row r="603">
          <cell r="A603" t="str">
            <v>201 2013 10 1211 00006</v>
          </cell>
          <cell r="B603">
            <v>219</v>
          </cell>
          <cell r="C603">
            <v>41586.570636574077</v>
          </cell>
          <cell r="D603">
            <v>5.8823529411764705E-2</v>
          </cell>
          <cell r="E603">
            <v>0</v>
          </cell>
          <cell r="F603">
            <v>0.94117647058823528</v>
          </cell>
          <cell r="G603">
            <v>0</v>
          </cell>
        </row>
        <row r="604">
          <cell r="A604" t="str">
            <v>201 2013 10 1211 00006</v>
          </cell>
          <cell r="B604">
            <v>220</v>
          </cell>
          <cell r="C604">
            <v>41480.438958333332</v>
          </cell>
          <cell r="D604">
            <v>5.8823529411764705E-2</v>
          </cell>
          <cell r="E604">
            <v>0</v>
          </cell>
          <cell r="F604">
            <v>0.94117647058823528</v>
          </cell>
          <cell r="G604">
            <v>0</v>
          </cell>
        </row>
        <row r="605">
          <cell r="A605" t="str">
            <v>203 2015 10 1211 00001</v>
          </cell>
          <cell r="B605">
            <v>1</v>
          </cell>
          <cell r="C605">
            <v>42005.531284722223</v>
          </cell>
          <cell r="D605">
            <v>5.5375312604714712E-2</v>
          </cell>
          <cell r="E605">
            <v>0</v>
          </cell>
          <cell r="F605">
            <v>0.94462468739528527</v>
          </cell>
          <cell r="G605">
            <v>0</v>
          </cell>
        </row>
        <row r="606">
          <cell r="A606" t="str">
            <v>203 2014 10 1211 00005</v>
          </cell>
          <cell r="B606">
            <v>5</v>
          </cell>
          <cell r="C606">
            <v>41648.61246527778</v>
          </cell>
          <cell r="D606">
            <v>5.4945054945054951E-2</v>
          </cell>
          <cell r="E606">
            <v>0</v>
          </cell>
          <cell r="F606">
            <v>0.94505494505494503</v>
          </cell>
          <cell r="G606">
            <v>0</v>
          </cell>
        </row>
        <row r="607">
          <cell r="A607" t="str">
            <v>203 2015 10 1211 00001</v>
          </cell>
          <cell r="B607">
            <v>5</v>
          </cell>
          <cell r="C607">
            <v>42015.553842592592</v>
          </cell>
          <cell r="D607">
            <v>5.5375312604714712E-2</v>
          </cell>
          <cell r="E607">
            <v>0</v>
          </cell>
          <cell r="F607">
            <v>0.94462468739528527</v>
          </cell>
          <cell r="G607">
            <v>0</v>
          </cell>
        </row>
        <row r="608">
          <cell r="A608" t="str">
            <v>203 2014 10 1211 00005</v>
          </cell>
          <cell r="B608">
            <v>15</v>
          </cell>
          <cell r="C608">
            <v>41673.415312500001</v>
          </cell>
          <cell r="D608">
            <v>5.4945054945054951E-2</v>
          </cell>
          <cell r="E608">
            <v>0</v>
          </cell>
          <cell r="F608">
            <v>0.94505494505494503</v>
          </cell>
          <cell r="G608">
            <v>0</v>
          </cell>
        </row>
        <row r="609">
          <cell r="A609" t="str">
            <v>203 2015 10 1211 00001</v>
          </cell>
          <cell r="B609">
            <v>15</v>
          </cell>
          <cell r="C609">
            <v>42035.665347222224</v>
          </cell>
          <cell r="D609">
            <v>5.5375312604714712E-2</v>
          </cell>
          <cell r="E609">
            <v>0</v>
          </cell>
          <cell r="F609">
            <v>0.94462468739528527</v>
          </cell>
          <cell r="G609">
            <v>0</v>
          </cell>
        </row>
        <row r="610">
          <cell r="A610" t="str">
            <v>203 2014 10 1211 00005</v>
          </cell>
          <cell r="B610">
            <v>32</v>
          </cell>
          <cell r="C610">
            <v>41734.39502314815</v>
          </cell>
          <cell r="D610">
            <v>5.4945054945054951E-2</v>
          </cell>
          <cell r="E610">
            <v>0</v>
          </cell>
          <cell r="F610">
            <v>0.94505494505494503</v>
          </cell>
          <cell r="G610">
            <v>0</v>
          </cell>
        </row>
        <row r="611">
          <cell r="A611" t="str">
            <v>203 2015 10 1211 00001</v>
          </cell>
          <cell r="B611">
            <v>32</v>
          </cell>
          <cell r="C611">
            <v>42071.654641203706</v>
          </cell>
          <cell r="D611">
            <v>5.5375312604714712E-2</v>
          </cell>
          <cell r="E611">
            <v>0</v>
          </cell>
          <cell r="F611">
            <v>0.94462468739528527</v>
          </cell>
          <cell r="G611">
            <v>0</v>
          </cell>
        </row>
        <row r="612">
          <cell r="A612" t="str">
            <v>203 2015 10 1211 00001</v>
          </cell>
          <cell r="B612">
            <v>33</v>
          </cell>
          <cell r="C612">
            <v>42071.65761574074</v>
          </cell>
          <cell r="D612">
            <v>5.5375312604714712E-2</v>
          </cell>
          <cell r="E612">
            <v>0</v>
          </cell>
          <cell r="F612">
            <v>0.94462468739528527</v>
          </cell>
          <cell r="G612">
            <v>0</v>
          </cell>
        </row>
        <row r="613">
          <cell r="A613" t="str">
            <v>203 2015 10 1211 00001</v>
          </cell>
          <cell r="B613">
            <v>55</v>
          </cell>
          <cell r="C613">
            <v>42113.356793981482</v>
          </cell>
          <cell r="D613">
            <v>5.8633281100587728E-2</v>
          </cell>
          <cell r="E613">
            <v>0</v>
          </cell>
          <cell r="F613">
            <v>0.94136671889941226</v>
          </cell>
          <cell r="G613">
            <v>0</v>
          </cell>
        </row>
        <row r="614">
          <cell r="A614" t="str">
            <v>203 2015 10 1211 00001</v>
          </cell>
          <cell r="B614">
            <v>56</v>
          </cell>
          <cell r="C614">
            <v>42118.549097222225</v>
          </cell>
          <cell r="D614">
            <v>5.8633281100587728E-2</v>
          </cell>
          <cell r="E614">
            <v>0</v>
          </cell>
          <cell r="F614">
            <v>0.94136671889941226</v>
          </cell>
          <cell r="G614">
            <v>0</v>
          </cell>
        </row>
        <row r="615">
          <cell r="A615" t="str">
            <v>203 2012 10 1211 00009</v>
          </cell>
          <cell r="B615">
            <v>82</v>
          </cell>
          <cell r="C615">
            <v>41228.002083333333</v>
          </cell>
          <cell r="D615">
            <v>9.8039613804000364E-2</v>
          </cell>
          <cell r="E615">
            <v>0</v>
          </cell>
          <cell r="F615">
            <v>0.90196038619599961</v>
          </cell>
          <cell r="G615">
            <v>0</v>
          </cell>
        </row>
        <row r="616">
          <cell r="A616" t="str">
            <v>203 2015 10 1211 00001</v>
          </cell>
          <cell r="B616">
            <v>24</v>
          </cell>
          <cell r="C616">
            <v>42052.611759259256</v>
          </cell>
          <cell r="D616">
            <v>5.8633281100587728E-2</v>
          </cell>
          <cell r="E616">
            <v>0</v>
          </cell>
          <cell r="F616">
            <v>0.94136671889941226</v>
          </cell>
          <cell r="G616">
            <v>0</v>
          </cell>
        </row>
        <row r="617">
          <cell r="A617" t="str">
            <v>203 2015 10 1211 00001</v>
          </cell>
          <cell r="B617">
            <v>45</v>
          </cell>
          <cell r="C617">
            <v>42097.643819444442</v>
          </cell>
          <cell r="D617">
            <v>5.8633281100587728E-2</v>
          </cell>
          <cell r="E617">
            <v>0</v>
          </cell>
          <cell r="F617">
            <v>0.94136671889941226</v>
          </cell>
          <cell r="G617">
            <v>0</v>
          </cell>
        </row>
        <row r="618">
          <cell r="A618" t="str">
            <v>203 2008 10 1211 00005</v>
          </cell>
          <cell r="B618">
            <v>46</v>
          </cell>
          <cell r="C618">
            <v>39912</v>
          </cell>
          <cell r="D618">
            <v>7.4214000000000002E-2</v>
          </cell>
          <cell r="E618">
            <v>9.2600000000000002E-2</v>
          </cell>
          <cell r="F618">
            <v>0.83318599999999998</v>
          </cell>
          <cell r="G618">
            <v>0</v>
          </cell>
        </row>
        <row r="619">
          <cell r="A619" t="str">
            <v>203 2012 10 1211 00004</v>
          </cell>
          <cell r="B619">
            <v>46</v>
          </cell>
          <cell r="C619">
            <v>40963.625</v>
          </cell>
          <cell r="D619">
            <v>8.6885325334767588E-2</v>
          </cell>
          <cell r="E619">
            <v>0</v>
          </cell>
          <cell r="F619">
            <v>0.91311467466523244</v>
          </cell>
          <cell r="G619">
            <v>0</v>
          </cell>
        </row>
        <row r="620">
          <cell r="A620" t="str">
            <v>203 2013 10 1211 00009</v>
          </cell>
          <cell r="B620">
            <v>46</v>
          </cell>
          <cell r="C620">
            <v>41338.420185185183</v>
          </cell>
          <cell r="D620">
            <v>5.8823529411764712E-2</v>
          </cell>
          <cell r="E620">
            <v>0</v>
          </cell>
          <cell r="F620">
            <v>0.94117647058823528</v>
          </cell>
          <cell r="G620">
            <v>0</v>
          </cell>
        </row>
        <row r="621">
          <cell r="A621" t="str">
            <v>203 2014 10 1211 00005</v>
          </cell>
          <cell r="B621">
            <v>46</v>
          </cell>
          <cell r="C621">
            <v>41729.617986111109</v>
          </cell>
          <cell r="D621">
            <v>5.4945054945054951E-2</v>
          </cell>
          <cell r="E621">
            <v>0</v>
          </cell>
          <cell r="F621">
            <v>0.94505494505494503</v>
          </cell>
          <cell r="G621">
            <v>0</v>
          </cell>
        </row>
        <row r="622">
          <cell r="A622" t="str">
            <v>203 2015 10 1211 00001</v>
          </cell>
          <cell r="B622">
            <v>46</v>
          </cell>
          <cell r="C622">
            <v>42089.367129629631</v>
          </cell>
          <cell r="D622">
            <v>5.8633281100587728E-2</v>
          </cell>
          <cell r="E622">
            <v>0</v>
          </cell>
          <cell r="F622">
            <v>0.94136671889941226</v>
          </cell>
          <cell r="G622">
            <v>0</v>
          </cell>
        </row>
        <row r="623">
          <cell r="A623" t="str">
            <v>203 2013 10 1211 00009</v>
          </cell>
          <cell r="B623">
            <v>73</v>
          </cell>
          <cell r="C623">
            <v>41477.427511574075</v>
          </cell>
          <cell r="D623">
            <v>5.8823529411764712E-2</v>
          </cell>
          <cell r="E623">
            <v>0</v>
          </cell>
          <cell r="F623">
            <v>0.94117647058823528</v>
          </cell>
          <cell r="G623">
            <v>0</v>
          </cell>
        </row>
        <row r="624">
          <cell r="A624" t="str">
            <v>203 2014 10 1211 00005</v>
          </cell>
          <cell r="B624">
            <v>73</v>
          </cell>
          <cell r="C624">
            <v>41819.511307870373</v>
          </cell>
          <cell r="D624">
            <v>5.4945054945054951E-2</v>
          </cell>
          <cell r="E624">
            <v>0</v>
          </cell>
          <cell r="F624">
            <v>0.94505494505494503</v>
          </cell>
          <cell r="G624">
            <v>0</v>
          </cell>
        </row>
        <row r="625">
          <cell r="A625" t="str">
            <v>203 2015 10 1211 00001</v>
          </cell>
          <cell r="B625">
            <v>73</v>
          </cell>
          <cell r="C625">
            <v>42154.625034722223</v>
          </cell>
          <cell r="D625">
            <v>5.8633281100587728E-2</v>
          </cell>
          <cell r="E625">
            <v>0</v>
          </cell>
          <cell r="F625">
            <v>0.94136671889941226</v>
          </cell>
          <cell r="G625">
            <v>0</v>
          </cell>
        </row>
        <row r="626">
          <cell r="A626" t="str">
            <v>203 2008 10 1211 00005</v>
          </cell>
          <cell r="B626">
            <v>74</v>
          </cell>
          <cell r="C626">
            <v>39639</v>
          </cell>
          <cell r="D626">
            <v>7.4214000000000002E-2</v>
          </cell>
          <cell r="E626">
            <v>9.2600000000000002E-2</v>
          </cell>
          <cell r="F626">
            <v>0.83318599999999998</v>
          </cell>
          <cell r="G626">
            <v>0</v>
          </cell>
        </row>
        <row r="627">
          <cell r="A627" t="str">
            <v>203 2013 10 1211 00009</v>
          </cell>
          <cell r="B627">
            <v>109</v>
          </cell>
          <cell r="C627">
            <v>41558.473553240743</v>
          </cell>
          <cell r="D627">
            <v>5.8823529411764712E-2</v>
          </cell>
          <cell r="E627">
            <v>0</v>
          </cell>
          <cell r="F627">
            <v>0.94117647058823528</v>
          </cell>
          <cell r="G627">
            <v>0</v>
          </cell>
        </row>
        <row r="628">
          <cell r="A628" t="str">
            <v>203 2014 10 1211 00005</v>
          </cell>
          <cell r="B628">
            <v>109</v>
          </cell>
          <cell r="C628">
            <v>41903.601724537039</v>
          </cell>
          <cell r="D628">
            <v>5.4945054945054951E-2</v>
          </cell>
          <cell r="E628">
            <v>0</v>
          </cell>
          <cell r="F628">
            <v>0.94505494505494503</v>
          </cell>
          <cell r="G628">
            <v>0</v>
          </cell>
        </row>
        <row r="629">
          <cell r="A629" t="str">
            <v>203 2008 10 1211 00004</v>
          </cell>
          <cell r="B629">
            <v>2</v>
          </cell>
          <cell r="C629">
            <v>40569</v>
          </cell>
          <cell r="D629">
            <v>0.62118799999999996</v>
          </cell>
          <cell r="E629">
            <v>1.8941E-2</v>
          </cell>
          <cell r="F629">
            <v>0.359871</v>
          </cell>
          <cell r="G629">
            <v>0</v>
          </cell>
        </row>
        <row r="630">
          <cell r="A630" t="str">
            <v>203 2012 10 1211 00009</v>
          </cell>
          <cell r="B630">
            <v>16</v>
          </cell>
          <cell r="C630">
            <v>41106.450185185182</v>
          </cell>
          <cell r="D630">
            <v>9.8039613804000364E-2</v>
          </cell>
          <cell r="E630">
            <v>0</v>
          </cell>
          <cell r="F630">
            <v>0.90196038619599961</v>
          </cell>
          <cell r="G630">
            <v>0</v>
          </cell>
        </row>
        <row r="631">
          <cell r="A631" t="str">
            <v>203 2014 10 1211 00005</v>
          </cell>
          <cell r="B631">
            <v>34</v>
          </cell>
          <cell r="C631">
            <v>41683.434444444443</v>
          </cell>
          <cell r="D631">
            <v>5.4945054945054951E-2</v>
          </cell>
          <cell r="E631">
            <v>0</v>
          </cell>
          <cell r="F631">
            <v>0.94505494505494503</v>
          </cell>
          <cell r="G631">
            <v>0</v>
          </cell>
        </row>
        <row r="632">
          <cell r="A632" t="str">
            <v>203 2015 10 1211 00001</v>
          </cell>
          <cell r="B632">
            <v>34</v>
          </cell>
          <cell r="C632">
            <v>42071.670127314814</v>
          </cell>
          <cell r="D632">
            <v>5.8633281100587728E-2</v>
          </cell>
          <cell r="E632">
            <v>0</v>
          </cell>
          <cell r="F632">
            <v>0.94136671889941226</v>
          </cell>
          <cell r="G632">
            <v>0</v>
          </cell>
        </row>
        <row r="633">
          <cell r="A633" t="str">
            <v>203 2014 10 1211 00005</v>
          </cell>
          <cell r="B633">
            <v>57</v>
          </cell>
          <cell r="C633">
            <v>41804.450543981482</v>
          </cell>
          <cell r="D633">
            <v>5.4945054945054951E-2</v>
          </cell>
          <cell r="E633">
            <v>0</v>
          </cell>
          <cell r="F633">
            <v>0.94505494505494503</v>
          </cell>
          <cell r="G633">
            <v>0</v>
          </cell>
        </row>
        <row r="634">
          <cell r="A634" t="str">
            <v>203 2015 10 1211 00001</v>
          </cell>
          <cell r="B634">
            <v>57</v>
          </cell>
          <cell r="C634">
            <v>42121.558379629627</v>
          </cell>
          <cell r="D634">
            <v>5.8633281100587728E-2</v>
          </cell>
          <cell r="E634">
            <v>0</v>
          </cell>
          <cell r="F634">
            <v>0.94136671889941226</v>
          </cell>
          <cell r="G634">
            <v>0</v>
          </cell>
        </row>
        <row r="635">
          <cell r="A635" t="str">
            <v>203 2013 10 1211 00009</v>
          </cell>
          <cell r="B635">
            <v>58</v>
          </cell>
          <cell r="C635">
            <v>41357.614282407405</v>
          </cell>
          <cell r="D635">
            <v>5.8823529411764712E-2</v>
          </cell>
          <cell r="E635">
            <v>0</v>
          </cell>
          <cell r="F635">
            <v>0.94117647058823528</v>
          </cell>
          <cell r="G635">
            <v>0</v>
          </cell>
        </row>
        <row r="636">
          <cell r="A636" t="str">
            <v>203 2013 10 1211 00009</v>
          </cell>
          <cell r="B636">
            <v>84</v>
          </cell>
          <cell r="C636">
            <v>41504.569965277777</v>
          </cell>
          <cell r="D636">
            <v>5.8823529411764712E-2</v>
          </cell>
          <cell r="E636">
            <v>0</v>
          </cell>
          <cell r="F636">
            <v>0.94117647058823528</v>
          </cell>
          <cell r="G636">
            <v>0</v>
          </cell>
        </row>
        <row r="637">
          <cell r="A637" t="str">
            <v>203 2014 10 1211 00005</v>
          </cell>
          <cell r="B637">
            <v>84</v>
          </cell>
          <cell r="C637">
            <v>41872.441342592596</v>
          </cell>
          <cell r="D637">
            <v>5.4945054945054951E-2</v>
          </cell>
          <cell r="E637">
            <v>0</v>
          </cell>
          <cell r="F637">
            <v>0.94505494505494503</v>
          </cell>
          <cell r="G637">
            <v>0</v>
          </cell>
        </row>
        <row r="638">
          <cell r="A638" t="str">
            <v>203 2015 10 1211 00001</v>
          </cell>
          <cell r="B638">
            <v>84</v>
          </cell>
          <cell r="C638">
            <v>42169.930555555555</v>
          </cell>
          <cell r="D638">
            <v>5.8633281100587728E-2</v>
          </cell>
          <cell r="E638">
            <v>0</v>
          </cell>
          <cell r="F638">
            <v>0.94136671889941226</v>
          </cell>
          <cell r="G638">
            <v>0</v>
          </cell>
        </row>
        <row r="639">
          <cell r="A639" t="str">
            <v>203 2014 10 1211 00005</v>
          </cell>
          <cell r="B639">
            <v>85</v>
          </cell>
          <cell r="C639">
            <v>41875.463750000003</v>
          </cell>
          <cell r="D639">
            <v>5.4945054945054951E-2</v>
          </cell>
          <cell r="E639">
            <v>0</v>
          </cell>
          <cell r="F639">
            <v>0.94505494505494503</v>
          </cell>
          <cell r="G639">
            <v>0</v>
          </cell>
        </row>
        <row r="640">
          <cell r="A640" t="str">
            <v>203 2015 10 1211 00006</v>
          </cell>
          <cell r="B640">
            <v>85</v>
          </cell>
          <cell r="C640">
            <v>42177.43409722222</v>
          </cell>
          <cell r="D640">
            <v>1</v>
          </cell>
          <cell r="E640">
            <v>0</v>
          </cell>
          <cell r="F640">
            <v>0</v>
          </cell>
          <cell r="G640">
            <v>0</v>
          </cell>
        </row>
        <row r="641">
          <cell r="A641" t="str">
            <v>203 2014 10 1211 00005</v>
          </cell>
          <cell r="B641">
            <v>121</v>
          </cell>
          <cell r="C641">
            <v>41941.592673611114</v>
          </cell>
          <cell r="D641">
            <v>5.4945054945054951E-2</v>
          </cell>
          <cell r="E641">
            <v>0</v>
          </cell>
          <cell r="F641">
            <v>0.94505494505494503</v>
          </cell>
          <cell r="G641">
            <v>0</v>
          </cell>
        </row>
        <row r="642">
          <cell r="A642" t="str">
            <v>201 2013 10 1211 00006</v>
          </cell>
          <cell r="B642">
            <v>212</v>
          </cell>
          <cell r="C642">
            <v>41608.464201388888</v>
          </cell>
          <cell r="D642">
            <v>5.8823529411764705E-2</v>
          </cell>
          <cell r="E642">
            <v>0</v>
          </cell>
          <cell r="F642">
            <v>0.94117647058823528</v>
          </cell>
          <cell r="G642">
            <v>0</v>
          </cell>
        </row>
        <row r="643">
          <cell r="A643" t="str">
            <v>202 2012 11 1211 00006</v>
          </cell>
          <cell r="B643">
            <v>1</v>
          </cell>
          <cell r="C643">
            <v>41329.425821759258</v>
          </cell>
          <cell r="D643">
            <v>7.2738201232028885E-2</v>
          </cell>
          <cell r="E643">
            <v>0</v>
          </cell>
          <cell r="F643">
            <v>0.9272617987679711</v>
          </cell>
          <cell r="G643">
            <v>0</v>
          </cell>
        </row>
        <row r="644">
          <cell r="A644" t="str">
            <v>203 2015 10 1211 00001</v>
          </cell>
          <cell r="B644">
            <v>14</v>
          </cell>
          <cell r="C644">
            <v>42032.660439814812</v>
          </cell>
          <cell r="D644">
            <v>5.8633281100587728E-2</v>
          </cell>
          <cell r="E644">
            <v>0</v>
          </cell>
          <cell r="F644">
            <v>0.94136671889941226</v>
          </cell>
          <cell r="G644">
            <v>0</v>
          </cell>
        </row>
        <row r="645">
          <cell r="A645" t="str">
            <v>203 2015 10 1211 00001</v>
          </cell>
          <cell r="B645">
            <v>31</v>
          </cell>
          <cell r="C645">
            <v>42070.651087962964</v>
          </cell>
          <cell r="D645">
            <v>5.5375312604714712E-2</v>
          </cell>
          <cell r="E645">
            <v>0</v>
          </cell>
          <cell r="F645">
            <v>0.94462468739528527</v>
          </cell>
          <cell r="G645">
            <v>0</v>
          </cell>
        </row>
        <row r="646">
          <cell r="A646" t="str">
            <v>203 2015 10 1211 00001</v>
          </cell>
          <cell r="B646">
            <v>54</v>
          </cell>
          <cell r="C646">
            <v>42053.54446759259</v>
          </cell>
          <cell r="D646">
            <v>5.8633281100587728E-2</v>
          </cell>
          <cell r="E646">
            <v>0</v>
          </cell>
          <cell r="F646">
            <v>0.94136671889941226</v>
          </cell>
          <cell r="G646">
            <v>0</v>
          </cell>
        </row>
        <row r="647">
          <cell r="A647" t="str">
            <v>203 2012 10 1211 00011</v>
          </cell>
          <cell r="B647">
            <v>80</v>
          </cell>
          <cell r="C647">
            <v>41261.670960648145</v>
          </cell>
          <cell r="D647">
            <v>5.8823999999999994E-2</v>
          </cell>
          <cell r="E647">
            <v>0</v>
          </cell>
          <cell r="F647">
            <v>0.94117600000000001</v>
          </cell>
          <cell r="G647">
            <v>0</v>
          </cell>
        </row>
        <row r="648">
          <cell r="A648" t="str">
            <v>203 2014 10 1211 00005</v>
          </cell>
          <cell r="B648">
            <v>80</v>
          </cell>
          <cell r="C648">
            <v>41870.66269675926</v>
          </cell>
          <cell r="D648">
            <v>5.4945054945054951E-2</v>
          </cell>
          <cell r="E648">
            <v>0</v>
          </cell>
          <cell r="F648">
            <v>0.94505494505494503</v>
          </cell>
          <cell r="G648">
            <v>0</v>
          </cell>
        </row>
        <row r="649">
          <cell r="A649" t="str">
            <v>203 2015 10 1211 00001</v>
          </cell>
          <cell r="B649">
            <v>80</v>
          </cell>
          <cell r="C649">
            <v>42165.504826388889</v>
          </cell>
          <cell r="D649">
            <v>5.8633281100587728E-2</v>
          </cell>
          <cell r="E649">
            <v>0</v>
          </cell>
          <cell r="F649">
            <v>0.94136671889941226</v>
          </cell>
          <cell r="G649">
            <v>0</v>
          </cell>
        </row>
        <row r="650">
          <cell r="A650" t="str">
            <v>203 2015 10 1211 00001</v>
          </cell>
          <cell r="B650">
            <v>81</v>
          </cell>
          <cell r="C650">
            <v>42168.513981481483</v>
          </cell>
          <cell r="D650">
            <v>5.8633281100587728E-2</v>
          </cell>
          <cell r="E650">
            <v>0</v>
          </cell>
          <cell r="F650">
            <v>0.94136671889941226</v>
          </cell>
          <cell r="G650">
            <v>0</v>
          </cell>
        </row>
        <row r="651">
          <cell r="A651" t="str">
            <v>203 2014 10 1211 00005</v>
          </cell>
          <cell r="B651">
            <v>118</v>
          </cell>
          <cell r="C651">
            <v>41931.381053240744</v>
          </cell>
          <cell r="D651">
            <v>5.4945054945054951E-2</v>
          </cell>
          <cell r="E651">
            <v>0</v>
          </cell>
          <cell r="F651">
            <v>0.94505494505494503</v>
          </cell>
          <cell r="G651">
            <v>0</v>
          </cell>
        </row>
        <row r="652">
          <cell r="A652" t="str">
            <v>203 2013 10 1211 00009</v>
          </cell>
          <cell r="B652">
            <v>119</v>
          </cell>
          <cell r="C652">
            <v>41374.393414351849</v>
          </cell>
          <cell r="D652">
            <v>5.8823529411764712E-2</v>
          </cell>
          <cell r="E652">
            <v>0</v>
          </cell>
          <cell r="F652">
            <v>0.94117647058823528</v>
          </cell>
          <cell r="G652">
            <v>0</v>
          </cell>
        </row>
        <row r="653">
          <cell r="A653" t="str">
            <v>203 2014 10 1211 00005</v>
          </cell>
          <cell r="B653">
            <v>119</v>
          </cell>
          <cell r="C653">
            <v>41935.370173611111</v>
          </cell>
          <cell r="D653">
            <v>5.4945054945054951E-2</v>
          </cell>
          <cell r="E653">
            <v>0</v>
          </cell>
          <cell r="F653">
            <v>0.94505494505494503</v>
          </cell>
          <cell r="G653">
            <v>0</v>
          </cell>
        </row>
        <row r="654">
          <cell r="A654" t="str">
            <v>203 2014 10 1211 00005</v>
          </cell>
          <cell r="B654">
            <v>120</v>
          </cell>
          <cell r="C654">
            <v>41932.646331018521</v>
          </cell>
          <cell r="D654">
            <v>5.4945054945054951E-2</v>
          </cell>
          <cell r="E654">
            <v>0</v>
          </cell>
          <cell r="F654">
            <v>0.94505494505494503</v>
          </cell>
          <cell r="G654">
            <v>0</v>
          </cell>
        </row>
        <row r="655">
          <cell r="A655" t="str">
            <v>203 2015 10 1211 00001</v>
          </cell>
          <cell r="B655">
            <v>60</v>
          </cell>
          <cell r="C655">
            <v>42129.411944444444</v>
          </cell>
          <cell r="D655">
            <v>5.8633281100587728E-2</v>
          </cell>
          <cell r="E655">
            <v>0</v>
          </cell>
          <cell r="F655">
            <v>0.94136671889941226</v>
          </cell>
          <cell r="G655">
            <v>0</v>
          </cell>
        </row>
        <row r="656">
          <cell r="A656" t="str">
            <v>203 2014 10 1211 00005</v>
          </cell>
          <cell r="B656">
            <v>61</v>
          </cell>
          <cell r="C656">
            <v>41788.440613425926</v>
          </cell>
          <cell r="D656">
            <v>5.4945054945054951E-2</v>
          </cell>
          <cell r="E656">
            <v>0</v>
          </cell>
          <cell r="F656">
            <v>0.94505494505494503</v>
          </cell>
          <cell r="G656">
            <v>0</v>
          </cell>
        </row>
        <row r="657">
          <cell r="A657" t="str">
            <v>203 2015 10 1211 00001</v>
          </cell>
          <cell r="B657">
            <v>88</v>
          </cell>
          <cell r="C657">
            <v>42184.549085648148</v>
          </cell>
          <cell r="D657">
            <v>5.8633281100587728E-2</v>
          </cell>
          <cell r="E657">
            <v>0</v>
          </cell>
          <cell r="F657">
            <v>0.94136671889941226</v>
          </cell>
          <cell r="G657">
            <v>0</v>
          </cell>
        </row>
        <row r="658">
          <cell r="A658" t="str">
            <v>203 2014 10 1211 00005</v>
          </cell>
          <cell r="B658">
            <v>89</v>
          </cell>
          <cell r="C658">
            <v>41877.567164351851</v>
          </cell>
          <cell r="D658">
            <v>5.4945054945054951E-2</v>
          </cell>
          <cell r="E658">
            <v>0</v>
          </cell>
          <cell r="F658">
            <v>0.94505494505494503</v>
          </cell>
          <cell r="G658">
            <v>0</v>
          </cell>
        </row>
        <row r="659">
          <cell r="A659" t="str">
            <v>203 2015 10 1211 00001</v>
          </cell>
          <cell r="B659">
            <v>89</v>
          </cell>
          <cell r="C659">
            <v>42168.681226851855</v>
          </cell>
          <cell r="D659">
            <v>5.5375312604714712E-2</v>
          </cell>
          <cell r="E659">
            <v>0</v>
          </cell>
          <cell r="F659">
            <v>0.94462468739528527</v>
          </cell>
          <cell r="G659">
            <v>0</v>
          </cell>
        </row>
        <row r="660">
          <cell r="A660" t="str">
            <v>203 2014 10 1211 00005</v>
          </cell>
          <cell r="B660">
            <v>90</v>
          </cell>
          <cell r="C660">
            <v>41885.580324074072</v>
          </cell>
          <cell r="D660">
            <v>5.4945054945054951E-2</v>
          </cell>
          <cell r="E660">
            <v>0</v>
          </cell>
          <cell r="F660">
            <v>0.94505494505494503</v>
          </cell>
          <cell r="G660">
            <v>0</v>
          </cell>
        </row>
        <row r="661">
          <cell r="A661" t="str">
            <v>203 2015 10 1211 00001</v>
          </cell>
          <cell r="B661">
            <v>90</v>
          </cell>
          <cell r="C661">
            <v>42157.684699074074</v>
          </cell>
          <cell r="D661">
            <v>5.5375312604714712E-2</v>
          </cell>
          <cell r="E661">
            <v>0</v>
          </cell>
          <cell r="F661">
            <v>0.94462468739528527</v>
          </cell>
          <cell r="G661">
            <v>0</v>
          </cell>
        </row>
        <row r="662">
          <cell r="A662" t="str">
            <v>203 2014 10 1211 00001</v>
          </cell>
          <cell r="B662">
            <v>130</v>
          </cell>
          <cell r="C662">
            <v>41970.598819444444</v>
          </cell>
          <cell r="D662">
            <v>5.4945054945054944E-2</v>
          </cell>
          <cell r="E662">
            <v>0</v>
          </cell>
          <cell r="F662">
            <v>0.94505494505494503</v>
          </cell>
          <cell r="G662">
            <v>0</v>
          </cell>
        </row>
        <row r="663">
          <cell r="A663" t="str">
            <v>203 2013 10 1211 00009</v>
          </cell>
          <cell r="B663">
            <v>131</v>
          </cell>
          <cell r="C663">
            <v>41638.452743055554</v>
          </cell>
          <cell r="D663">
            <v>5.8823529411764712E-2</v>
          </cell>
          <cell r="E663">
            <v>0</v>
          </cell>
          <cell r="F663">
            <v>0.94117647058823528</v>
          </cell>
          <cell r="G663">
            <v>0</v>
          </cell>
        </row>
        <row r="664">
          <cell r="A664" t="str">
            <v>203 2014 10 1211 00005</v>
          </cell>
          <cell r="B664">
            <v>131</v>
          </cell>
          <cell r="C664">
            <v>41974.579722222225</v>
          </cell>
          <cell r="D664">
            <v>5.4945054945054951E-2</v>
          </cell>
          <cell r="E664">
            <v>0</v>
          </cell>
          <cell r="F664">
            <v>0.94505494505494503</v>
          </cell>
          <cell r="G664">
            <v>0</v>
          </cell>
        </row>
        <row r="665">
          <cell r="A665" t="str">
            <v>203 2014 10 1211 00005</v>
          </cell>
          <cell r="B665">
            <v>132</v>
          </cell>
          <cell r="C665">
            <v>41975.601481481484</v>
          </cell>
          <cell r="D665">
            <v>5.4945054945054951E-2</v>
          </cell>
          <cell r="E665">
            <v>0</v>
          </cell>
          <cell r="F665">
            <v>0.94505494505494503</v>
          </cell>
          <cell r="G665">
            <v>0</v>
          </cell>
        </row>
        <row r="666">
          <cell r="A666" t="str">
            <v>203 2013 10 1211 00009</v>
          </cell>
          <cell r="B666">
            <v>133</v>
          </cell>
          <cell r="C666">
            <v>41639.47111111111</v>
          </cell>
          <cell r="D666">
            <v>5.8823529411764712E-2</v>
          </cell>
          <cell r="E666">
            <v>0</v>
          </cell>
          <cell r="F666">
            <v>0.94117647058823528</v>
          </cell>
          <cell r="G666">
            <v>0</v>
          </cell>
        </row>
        <row r="667">
          <cell r="A667" t="str">
            <v>203 2014 10 1211 00005</v>
          </cell>
          <cell r="B667">
            <v>133</v>
          </cell>
          <cell r="C667">
            <v>41981.617615740739</v>
          </cell>
          <cell r="D667">
            <v>5.4945054945054951E-2</v>
          </cell>
          <cell r="E667">
            <v>0</v>
          </cell>
          <cell r="F667">
            <v>0.94505494505494503</v>
          </cell>
          <cell r="G667">
            <v>0</v>
          </cell>
        </row>
        <row r="668">
          <cell r="A668" t="str">
            <v>203 2015 10 1211 00001</v>
          </cell>
          <cell r="B668">
            <v>10</v>
          </cell>
          <cell r="C668">
            <v>42026.592569444445</v>
          </cell>
          <cell r="D668">
            <v>5.8633281100587728E-2</v>
          </cell>
          <cell r="E668">
            <v>0</v>
          </cell>
          <cell r="F668">
            <v>0.94136671889941226</v>
          </cell>
          <cell r="G668">
            <v>0</v>
          </cell>
        </row>
        <row r="669">
          <cell r="A669" t="str">
            <v>203 2015 10 1211 00001</v>
          </cell>
          <cell r="B669">
            <v>22</v>
          </cell>
          <cell r="C669">
            <v>42049.605034722219</v>
          </cell>
          <cell r="D669">
            <v>5.8633281100587728E-2</v>
          </cell>
          <cell r="E669">
            <v>0</v>
          </cell>
          <cell r="F669">
            <v>0.94136671889941226</v>
          </cell>
          <cell r="G669">
            <v>0</v>
          </cell>
        </row>
        <row r="670">
          <cell r="A670" t="str">
            <v>203 2014 10 1211 00005</v>
          </cell>
          <cell r="B670">
            <v>23</v>
          </cell>
          <cell r="C670">
            <v>41700.474803240744</v>
          </cell>
          <cell r="D670">
            <v>5.4945054945054951E-2</v>
          </cell>
          <cell r="E670">
            <v>0</v>
          </cell>
          <cell r="F670">
            <v>0.94505494505494503</v>
          </cell>
          <cell r="G670">
            <v>0</v>
          </cell>
        </row>
        <row r="671">
          <cell r="A671" t="str">
            <v>203 2014 10 1211 00005</v>
          </cell>
          <cell r="B671">
            <v>68</v>
          </cell>
          <cell r="C671">
            <v>41822.649363425924</v>
          </cell>
          <cell r="D671">
            <v>5.4945054945054951E-2</v>
          </cell>
          <cell r="E671">
            <v>0</v>
          </cell>
          <cell r="F671">
            <v>0.94505494505494503</v>
          </cell>
          <cell r="G671">
            <v>0</v>
          </cell>
        </row>
        <row r="672">
          <cell r="A672" t="str">
            <v>203 2015 10 1211 00008</v>
          </cell>
          <cell r="B672">
            <v>68</v>
          </cell>
          <cell r="C672">
            <v>42098.455300925925</v>
          </cell>
          <cell r="D672">
            <v>0.80739194844721029</v>
          </cell>
          <cell r="E672">
            <v>0</v>
          </cell>
          <cell r="F672">
            <v>0.19260805155278976</v>
          </cell>
          <cell r="G672">
            <v>0</v>
          </cell>
        </row>
        <row r="673">
          <cell r="A673" t="str">
            <v>203 2014 10 1211 00005</v>
          </cell>
          <cell r="B673">
            <v>69</v>
          </cell>
          <cell r="C673">
            <v>41836.611284722225</v>
          </cell>
          <cell r="D673">
            <v>5.4945054945054951E-2</v>
          </cell>
          <cell r="E673">
            <v>0</v>
          </cell>
          <cell r="F673">
            <v>0.94505494505494503</v>
          </cell>
          <cell r="G673">
            <v>0</v>
          </cell>
        </row>
        <row r="674">
          <cell r="A674" t="str">
            <v>203 2015 10 1211 00008</v>
          </cell>
          <cell r="B674">
            <v>69</v>
          </cell>
          <cell r="C674">
            <v>42121.579502314817</v>
          </cell>
          <cell r="D674">
            <v>0.80739194844721029</v>
          </cell>
          <cell r="E674">
            <v>0</v>
          </cell>
          <cell r="F674">
            <v>0.19260805155278976</v>
          </cell>
          <cell r="G674">
            <v>0</v>
          </cell>
        </row>
        <row r="675">
          <cell r="A675" t="str">
            <v>203 2014 10 1211 00006</v>
          </cell>
          <cell r="B675">
            <v>99</v>
          </cell>
          <cell r="C675">
            <v>41769.436597222222</v>
          </cell>
          <cell r="D675">
            <v>0.28239389219784183</v>
          </cell>
          <cell r="E675">
            <v>0</v>
          </cell>
          <cell r="F675">
            <v>0.71760610780215817</v>
          </cell>
          <cell r="G675">
            <v>0</v>
          </cell>
        </row>
        <row r="676">
          <cell r="A676" t="str">
            <v>203 2014 10 1211 00006</v>
          </cell>
          <cell r="B676">
            <v>100</v>
          </cell>
          <cell r="C676">
            <v>41779.439884259256</v>
          </cell>
          <cell r="D676">
            <v>0.28239389219784183</v>
          </cell>
          <cell r="E676">
            <v>0</v>
          </cell>
          <cell r="F676">
            <v>0.71760610780215817</v>
          </cell>
          <cell r="G676">
            <v>0</v>
          </cell>
        </row>
        <row r="677">
          <cell r="A677" t="str">
            <v>203 2014 10 1211 00006</v>
          </cell>
          <cell r="B677">
            <v>101</v>
          </cell>
          <cell r="C677">
            <v>41865.572905092595</v>
          </cell>
          <cell r="D677">
            <v>0.28239389219784183</v>
          </cell>
          <cell r="E677">
            <v>0</v>
          </cell>
          <cell r="F677">
            <v>0.71760610780215817</v>
          </cell>
          <cell r="G677">
            <v>0</v>
          </cell>
        </row>
        <row r="678">
          <cell r="A678" t="str">
            <v>203 2013 10 1211 00009</v>
          </cell>
          <cell r="B678">
            <v>137</v>
          </cell>
          <cell r="C678">
            <v>41484.41983796296</v>
          </cell>
          <cell r="D678">
            <v>5.8823529411764712E-2</v>
          </cell>
          <cell r="E678">
            <v>0</v>
          </cell>
          <cell r="F678">
            <v>0.94117647058823528</v>
          </cell>
          <cell r="G678">
            <v>0</v>
          </cell>
        </row>
        <row r="679">
          <cell r="A679" t="str">
            <v>203 2014 10 1211 00005</v>
          </cell>
          <cell r="B679">
            <v>137</v>
          </cell>
          <cell r="C679">
            <v>41982.417546296296</v>
          </cell>
          <cell r="D679">
            <v>5.4945054945054951E-2</v>
          </cell>
          <cell r="E679">
            <v>0</v>
          </cell>
          <cell r="F679">
            <v>0.94505494505494503</v>
          </cell>
          <cell r="G679">
            <v>0</v>
          </cell>
        </row>
        <row r="680">
          <cell r="A680" t="str">
            <v>203 2013 10 1211 00009</v>
          </cell>
          <cell r="B680">
            <v>138</v>
          </cell>
          <cell r="C680">
            <v>41322.511180555557</v>
          </cell>
          <cell r="D680">
            <v>5.8823529411764712E-2</v>
          </cell>
          <cell r="E680">
            <v>0</v>
          </cell>
          <cell r="F680">
            <v>0.94117647058823528</v>
          </cell>
          <cell r="G680">
            <v>0</v>
          </cell>
        </row>
        <row r="681">
          <cell r="A681" t="str">
            <v>203 2014 10 1211 00005</v>
          </cell>
          <cell r="B681">
            <v>16</v>
          </cell>
          <cell r="C681">
            <v>41676.420173611114</v>
          </cell>
          <cell r="D681">
            <v>5.4945054945054951E-2</v>
          </cell>
          <cell r="E681">
            <v>0</v>
          </cell>
          <cell r="F681">
            <v>0.94505494505494503</v>
          </cell>
          <cell r="G681">
            <v>0</v>
          </cell>
        </row>
        <row r="682">
          <cell r="A682" t="str">
            <v>203 2015 10 1211 00001</v>
          </cell>
          <cell r="B682">
            <v>16</v>
          </cell>
          <cell r="C682">
            <v>42036.453344907408</v>
          </cell>
          <cell r="D682">
            <v>5.8633281100587728E-2</v>
          </cell>
          <cell r="E682">
            <v>0</v>
          </cell>
          <cell r="F682">
            <v>0.94136671889941226</v>
          </cell>
          <cell r="G682">
            <v>0</v>
          </cell>
        </row>
        <row r="683">
          <cell r="A683" t="str">
            <v>203 2014 10 1211 00005</v>
          </cell>
          <cell r="B683">
            <v>35</v>
          </cell>
          <cell r="C683">
            <v>41740.457141203704</v>
          </cell>
          <cell r="D683">
            <v>5.4945054945054951E-2</v>
          </cell>
          <cell r="E683">
            <v>0</v>
          </cell>
          <cell r="F683">
            <v>0.94505494505494503</v>
          </cell>
          <cell r="G683">
            <v>0</v>
          </cell>
        </row>
        <row r="684">
          <cell r="A684" t="str">
            <v>203 2015 10 1211 00001</v>
          </cell>
          <cell r="B684">
            <v>35</v>
          </cell>
          <cell r="C684">
            <v>42073.619826388887</v>
          </cell>
          <cell r="D684">
            <v>5.8633281100587728E-2</v>
          </cell>
          <cell r="E684">
            <v>0</v>
          </cell>
          <cell r="F684">
            <v>0.94136671889941226</v>
          </cell>
          <cell r="G684">
            <v>0</v>
          </cell>
        </row>
        <row r="685">
          <cell r="A685" t="str">
            <v>203 2014 10 1211 00005</v>
          </cell>
          <cell r="B685">
            <v>36</v>
          </cell>
          <cell r="C685">
            <v>41741.461759259262</v>
          </cell>
          <cell r="D685">
            <v>5.4945054945054951E-2</v>
          </cell>
          <cell r="E685">
            <v>0</v>
          </cell>
          <cell r="F685">
            <v>0.94505494505494503</v>
          </cell>
          <cell r="G685">
            <v>0</v>
          </cell>
        </row>
        <row r="686">
          <cell r="A686" t="str">
            <v>203 2015 10 1211 00001</v>
          </cell>
          <cell r="B686">
            <v>58</v>
          </cell>
          <cell r="C686">
            <v>42127.672951388886</v>
          </cell>
          <cell r="D686">
            <v>5.8633281100587728E-2</v>
          </cell>
          <cell r="E686">
            <v>0</v>
          </cell>
          <cell r="F686">
            <v>0.94136671889941226</v>
          </cell>
          <cell r="G686">
            <v>0</v>
          </cell>
        </row>
        <row r="687">
          <cell r="A687" t="str">
            <v>203 2012 10 1211 00011</v>
          </cell>
          <cell r="B687">
            <v>59</v>
          </cell>
          <cell r="C687">
            <v>41226.465763888889</v>
          </cell>
          <cell r="D687">
            <v>5.8823999999999994E-2</v>
          </cell>
          <cell r="E687">
            <v>0</v>
          </cell>
          <cell r="F687">
            <v>0.94117600000000001</v>
          </cell>
          <cell r="G687">
            <v>0</v>
          </cell>
        </row>
        <row r="688">
          <cell r="A688" t="str">
            <v>203 2014 10 1211 00005</v>
          </cell>
          <cell r="B688">
            <v>59</v>
          </cell>
          <cell r="C688">
            <v>41812.42633101852</v>
          </cell>
          <cell r="D688">
            <v>5.4945054945054951E-2</v>
          </cell>
          <cell r="E688">
            <v>0</v>
          </cell>
          <cell r="F688">
            <v>0.94505494505494503</v>
          </cell>
          <cell r="G688">
            <v>0</v>
          </cell>
        </row>
        <row r="689">
          <cell r="A689" t="str">
            <v>201 2014 10 1211 00006</v>
          </cell>
          <cell r="B689">
            <v>139</v>
          </cell>
          <cell r="C689">
            <v>41848.639282407406</v>
          </cell>
          <cell r="D689">
            <v>5.4945054945054937E-2</v>
          </cell>
          <cell r="E689">
            <v>0</v>
          </cell>
          <cell r="F689">
            <v>0.94505494505494503</v>
          </cell>
          <cell r="G689">
            <v>0</v>
          </cell>
        </row>
        <row r="690">
          <cell r="A690" t="str">
            <v>201 2013 10 1211 00006</v>
          </cell>
          <cell r="B690">
            <v>140</v>
          </cell>
          <cell r="C690">
            <v>41512.480613425927</v>
          </cell>
          <cell r="D690">
            <v>5.8823529411764705E-2</v>
          </cell>
          <cell r="E690">
            <v>0</v>
          </cell>
          <cell r="F690">
            <v>0.94117647058823528</v>
          </cell>
          <cell r="G690">
            <v>0</v>
          </cell>
        </row>
        <row r="691">
          <cell r="A691" t="str">
            <v>201 2014 10 1211 00006</v>
          </cell>
          <cell r="B691">
            <v>140</v>
          </cell>
          <cell r="C691">
            <v>41851.640555555554</v>
          </cell>
          <cell r="D691">
            <v>5.4945054945054937E-2</v>
          </cell>
          <cell r="E691">
            <v>0</v>
          </cell>
          <cell r="F691">
            <v>0.94505494505494503</v>
          </cell>
          <cell r="G691">
            <v>0</v>
          </cell>
        </row>
        <row r="692">
          <cell r="A692" t="str">
            <v>201 2013 10 1211 00006</v>
          </cell>
          <cell r="B692">
            <v>165</v>
          </cell>
          <cell r="C692">
            <v>41569.55667824074</v>
          </cell>
          <cell r="D692">
            <v>5.8823529411764705E-2</v>
          </cell>
          <cell r="E692">
            <v>0</v>
          </cell>
          <cell r="F692">
            <v>0.94117647058823528</v>
          </cell>
          <cell r="G692">
            <v>0</v>
          </cell>
        </row>
        <row r="693">
          <cell r="A693" t="str">
            <v>201 2014 10 1211 00006</v>
          </cell>
          <cell r="B693">
            <v>165</v>
          </cell>
          <cell r="C693">
            <v>41942.441724537035</v>
          </cell>
          <cell r="D693">
            <v>5.4945054945054937E-2</v>
          </cell>
          <cell r="E693">
            <v>0</v>
          </cell>
          <cell r="F693">
            <v>0.94505494505494503</v>
          </cell>
          <cell r="G693">
            <v>0</v>
          </cell>
        </row>
        <row r="694">
          <cell r="A694" t="str">
            <v>201 2013 10 1211 00006</v>
          </cell>
          <cell r="B694">
            <v>196</v>
          </cell>
          <cell r="C694">
            <v>41596.610219907408</v>
          </cell>
          <cell r="D694">
            <v>5.8823529411764705E-2</v>
          </cell>
          <cell r="E694">
            <v>0</v>
          </cell>
          <cell r="F694">
            <v>0.94117647058823528</v>
          </cell>
          <cell r="G694">
            <v>0</v>
          </cell>
        </row>
        <row r="695">
          <cell r="A695" t="str">
            <v>201 2013 10 1211 00006</v>
          </cell>
          <cell r="B695">
            <v>197</v>
          </cell>
          <cell r="C695">
            <v>41607.615405092591</v>
          </cell>
          <cell r="D695">
            <v>5.8823529411764705E-2</v>
          </cell>
          <cell r="E695">
            <v>0</v>
          </cell>
          <cell r="F695">
            <v>0.94117647058823528</v>
          </cell>
          <cell r="G695">
            <v>0</v>
          </cell>
        </row>
        <row r="696">
          <cell r="A696" t="str">
            <v>203 2011 11 1211 00020</v>
          </cell>
          <cell r="B696">
            <v>3</v>
          </cell>
          <cell r="C696">
            <v>41084.424768518518</v>
          </cell>
          <cell r="D696">
            <v>0.2794466955428252</v>
          </cell>
          <cell r="E696">
            <v>0</v>
          </cell>
          <cell r="F696">
            <v>0.7205533044571748</v>
          </cell>
          <cell r="G696">
            <v>0</v>
          </cell>
        </row>
        <row r="697">
          <cell r="A697" t="str">
            <v>203 2013 10 1211 00006</v>
          </cell>
          <cell r="B697">
            <v>9</v>
          </cell>
          <cell r="C697">
            <v>41386.510277777779</v>
          </cell>
          <cell r="D697">
            <v>0.2098339255043955</v>
          </cell>
          <cell r="E697">
            <v>0</v>
          </cell>
          <cell r="F697">
            <v>0.7901660744956045</v>
          </cell>
          <cell r="G697">
            <v>0</v>
          </cell>
        </row>
        <row r="698">
          <cell r="A698" t="str">
            <v>203 2015 10 1211 00001</v>
          </cell>
          <cell r="B698">
            <v>18</v>
          </cell>
          <cell r="C698">
            <v>42038.586817129632</v>
          </cell>
          <cell r="D698">
            <v>5.8633281100587728E-2</v>
          </cell>
          <cell r="E698">
            <v>0</v>
          </cell>
          <cell r="F698">
            <v>0.94136671889941226</v>
          </cell>
          <cell r="G698">
            <v>0</v>
          </cell>
        </row>
        <row r="699">
          <cell r="A699" t="str">
            <v>203 2015 10 1211 00001</v>
          </cell>
          <cell r="B699">
            <v>37</v>
          </cell>
          <cell r="C699">
            <v>42074.629293981481</v>
          </cell>
          <cell r="D699">
            <v>5.5375312604714712E-2</v>
          </cell>
          <cell r="E699">
            <v>0</v>
          </cell>
          <cell r="F699">
            <v>0.94462468739528527</v>
          </cell>
          <cell r="G699">
            <v>0</v>
          </cell>
        </row>
        <row r="700">
          <cell r="A700" t="str">
            <v>203 2015 10 1211 00001</v>
          </cell>
          <cell r="B700">
            <v>38</v>
          </cell>
          <cell r="C700">
            <v>42077.633379629631</v>
          </cell>
          <cell r="D700">
            <v>5.5375312604714712E-2</v>
          </cell>
          <cell r="E700">
            <v>0</v>
          </cell>
          <cell r="F700">
            <v>0.94462468739528527</v>
          </cell>
          <cell r="G700">
            <v>0</v>
          </cell>
        </row>
        <row r="701">
          <cell r="A701" t="str">
            <v>203 2015 10 1211 00001</v>
          </cell>
          <cell r="B701">
            <v>61</v>
          </cell>
          <cell r="C701">
            <v>42126.63380787037</v>
          </cell>
          <cell r="D701">
            <v>5.8633281100587728E-2</v>
          </cell>
          <cell r="E701">
            <v>0</v>
          </cell>
          <cell r="F701">
            <v>0.94136671889941226</v>
          </cell>
          <cell r="G701">
            <v>0</v>
          </cell>
        </row>
        <row r="702">
          <cell r="A702" t="str">
            <v>201 2014 10 1211 00006</v>
          </cell>
          <cell r="B702">
            <v>156</v>
          </cell>
          <cell r="C702">
            <v>41835.617986111109</v>
          </cell>
          <cell r="D702">
            <v>5.4945054945054937E-2</v>
          </cell>
          <cell r="E702">
            <v>0</v>
          </cell>
          <cell r="F702">
            <v>0.94505494505494503</v>
          </cell>
          <cell r="G702">
            <v>0</v>
          </cell>
        </row>
        <row r="703">
          <cell r="A703" t="str">
            <v>201 2013 10 1211 00006</v>
          </cell>
          <cell r="B703">
            <v>185</v>
          </cell>
          <cell r="C703">
            <v>41585.402256944442</v>
          </cell>
          <cell r="D703">
            <v>5.8823529411764705E-2</v>
          </cell>
          <cell r="E703">
            <v>0</v>
          </cell>
          <cell r="F703">
            <v>0.94117647058823528</v>
          </cell>
          <cell r="G703">
            <v>0</v>
          </cell>
        </row>
        <row r="704">
          <cell r="A704" t="str">
            <v>201 2013 10 1211 00006</v>
          </cell>
          <cell r="B704">
            <v>218</v>
          </cell>
          <cell r="C704">
            <v>41516.587696759256</v>
          </cell>
          <cell r="D704">
            <v>5.8823529411764705E-2</v>
          </cell>
          <cell r="E704">
            <v>0</v>
          </cell>
          <cell r="F704">
            <v>0.94117647058823528</v>
          </cell>
          <cell r="G704">
            <v>0</v>
          </cell>
        </row>
        <row r="705">
          <cell r="A705" t="str">
            <v>203 2014 10 1211 00004</v>
          </cell>
          <cell r="B705">
            <v>2</v>
          </cell>
          <cell r="C705">
            <v>41753.423854166664</v>
          </cell>
          <cell r="D705">
            <v>5.5426939491429725E-2</v>
          </cell>
          <cell r="E705">
            <v>0</v>
          </cell>
          <cell r="F705">
            <v>0.94457306050857026</v>
          </cell>
          <cell r="G705">
            <v>0</v>
          </cell>
        </row>
        <row r="706">
          <cell r="A706" t="str">
            <v>203 2015 10 1211 00001</v>
          </cell>
          <cell r="B706">
            <v>2</v>
          </cell>
          <cell r="C706">
            <v>42008.535717592589</v>
          </cell>
          <cell r="D706">
            <v>5.8633281100587728E-2</v>
          </cell>
          <cell r="E706">
            <v>0</v>
          </cell>
          <cell r="F706">
            <v>0.94136671889941226</v>
          </cell>
          <cell r="G706">
            <v>0</v>
          </cell>
        </row>
        <row r="707">
          <cell r="A707" t="str">
            <v>203 2013 10 1211 00006</v>
          </cell>
          <cell r="B707">
            <v>8</v>
          </cell>
          <cell r="C707">
            <v>41373.458819444444</v>
          </cell>
          <cell r="D707">
            <v>0.2098339255043955</v>
          </cell>
          <cell r="E707">
            <v>0</v>
          </cell>
          <cell r="F707">
            <v>0.7901660744956045</v>
          </cell>
          <cell r="G707">
            <v>0</v>
          </cell>
        </row>
        <row r="708">
          <cell r="A708" t="str">
            <v>203 2014 10 1211 00005</v>
          </cell>
          <cell r="B708">
            <v>8</v>
          </cell>
          <cell r="C708">
            <v>41660.636365740742</v>
          </cell>
          <cell r="D708">
            <v>5.4945054945054951E-2</v>
          </cell>
          <cell r="E708">
            <v>0</v>
          </cell>
          <cell r="F708">
            <v>0.94505494505494503</v>
          </cell>
          <cell r="G708">
            <v>0</v>
          </cell>
        </row>
        <row r="709">
          <cell r="A709" t="str">
            <v>203 2015 10 1211 00001</v>
          </cell>
          <cell r="B709">
            <v>8</v>
          </cell>
          <cell r="C709">
            <v>42023.578136574077</v>
          </cell>
          <cell r="D709">
            <v>5.8633281100587728E-2</v>
          </cell>
          <cell r="E709">
            <v>0</v>
          </cell>
          <cell r="F709">
            <v>0.94136671889941226</v>
          </cell>
          <cell r="G709">
            <v>0</v>
          </cell>
        </row>
        <row r="710">
          <cell r="A710" t="str">
            <v>203 2014 10 1211 00005</v>
          </cell>
          <cell r="B710">
            <v>21</v>
          </cell>
          <cell r="C710">
            <v>41695.453506944446</v>
          </cell>
          <cell r="D710">
            <v>5.4945054945054951E-2</v>
          </cell>
          <cell r="E710">
            <v>0</v>
          </cell>
          <cell r="F710">
            <v>0.94505494505494503</v>
          </cell>
          <cell r="G710">
            <v>0</v>
          </cell>
        </row>
        <row r="711">
          <cell r="A711" t="str">
            <v>203 2015 10 1211 00001</v>
          </cell>
          <cell r="B711">
            <v>21</v>
          </cell>
          <cell r="C711">
            <v>42045.599027777775</v>
          </cell>
          <cell r="D711">
            <v>5.8633281100587728E-2</v>
          </cell>
          <cell r="E711">
            <v>0</v>
          </cell>
          <cell r="F711">
            <v>0.94136671889941226</v>
          </cell>
          <cell r="G711">
            <v>0</v>
          </cell>
        </row>
        <row r="712">
          <cell r="A712" t="str">
            <v>203 2015 10 1211 00001</v>
          </cell>
          <cell r="B712">
            <v>40</v>
          </cell>
          <cell r="C712">
            <v>42083.639976851853</v>
          </cell>
          <cell r="D712">
            <v>5.5375312604714712E-2</v>
          </cell>
          <cell r="E712">
            <v>0</v>
          </cell>
          <cell r="F712">
            <v>0.94462468739528527</v>
          </cell>
          <cell r="G712">
            <v>0</v>
          </cell>
        </row>
        <row r="713">
          <cell r="A713" t="str">
            <v>203 2012 10 1211 00007</v>
          </cell>
          <cell r="B713">
            <v>41</v>
          </cell>
          <cell r="C713">
            <v>41135.634837962964</v>
          </cell>
          <cell r="D713">
            <v>0.28239389219784183</v>
          </cell>
          <cell r="E713">
            <v>0</v>
          </cell>
          <cell r="F713">
            <v>0.71760610780215817</v>
          </cell>
          <cell r="G713">
            <v>0</v>
          </cell>
        </row>
        <row r="714">
          <cell r="A714" t="str">
            <v>203 2014 10 1211 00005</v>
          </cell>
          <cell r="B714">
            <v>65</v>
          </cell>
          <cell r="C714">
            <v>41826.47760416667</v>
          </cell>
          <cell r="D714">
            <v>5.4945054945054951E-2</v>
          </cell>
          <cell r="E714">
            <v>0</v>
          </cell>
          <cell r="F714">
            <v>0.94505494505494503</v>
          </cell>
          <cell r="G714">
            <v>0</v>
          </cell>
        </row>
        <row r="715">
          <cell r="A715" t="str">
            <v>201 2014 10 1211 00006</v>
          </cell>
          <cell r="B715">
            <v>131</v>
          </cell>
          <cell r="C715">
            <v>41841.55841435185</v>
          </cell>
          <cell r="D715">
            <v>5.4945054945054937E-2</v>
          </cell>
          <cell r="E715">
            <v>0</v>
          </cell>
          <cell r="F715">
            <v>0.94505494505494503</v>
          </cell>
          <cell r="G715">
            <v>0</v>
          </cell>
        </row>
        <row r="716">
          <cell r="A716" t="str">
            <v>201 2014 10 1211 00006</v>
          </cell>
          <cell r="B716">
            <v>157</v>
          </cell>
          <cell r="C716">
            <v>41888.624143518522</v>
          </cell>
          <cell r="D716">
            <v>5.4945054945054937E-2</v>
          </cell>
          <cell r="E716">
            <v>0</v>
          </cell>
          <cell r="F716">
            <v>0.94505494505494503</v>
          </cell>
          <cell r="G716">
            <v>0</v>
          </cell>
        </row>
        <row r="717">
          <cell r="A717" t="str">
            <v>201 2014 10 1211 00006</v>
          </cell>
          <cell r="B717">
            <v>158</v>
          </cell>
          <cell r="C717">
            <v>41904.628634259258</v>
          </cell>
          <cell r="D717">
            <v>5.4945054945054937E-2</v>
          </cell>
          <cell r="E717">
            <v>0</v>
          </cell>
          <cell r="F717">
            <v>0.94505494505494503</v>
          </cell>
          <cell r="G717">
            <v>0</v>
          </cell>
        </row>
        <row r="718">
          <cell r="A718" t="str">
            <v>201 2013 10 1211 00006</v>
          </cell>
          <cell r="B718">
            <v>186</v>
          </cell>
          <cell r="C718">
            <v>41485.409756944442</v>
          </cell>
          <cell r="D718">
            <v>5.8823529411764705E-2</v>
          </cell>
          <cell r="E718">
            <v>0</v>
          </cell>
          <cell r="F718">
            <v>0.94117647058823528</v>
          </cell>
          <cell r="G718">
            <v>0</v>
          </cell>
        </row>
        <row r="719">
          <cell r="A719" t="str">
            <v>202 2012 11 1211 00006</v>
          </cell>
          <cell r="B719">
            <v>2</v>
          </cell>
          <cell r="C719">
            <v>41230.516030092593</v>
          </cell>
          <cell r="D719">
            <v>7.2738201232028885E-2</v>
          </cell>
          <cell r="E719">
            <v>0</v>
          </cell>
          <cell r="F719">
            <v>0.9272617987679711</v>
          </cell>
          <cell r="G719">
            <v>0</v>
          </cell>
        </row>
        <row r="720">
          <cell r="A720" t="str">
            <v>203 2013 10 1211 00009</v>
          </cell>
          <cell r="B720">
            <v>19</v>
          </cell>
          <cell r="C720">
            <v>41295.553414351853</v>
          </cell>
          <cell r="D720">
            <v>5.8823529411764712E-2</v>
          </cell>
          <cell r="E720">
            <v>0</v>
          </cell>
          <cell r="F720">
            <v>0.94117647058823528</v>
          </cell>
          <cell r="G720">
            <v>0</v>
          </cell>
        </row>
        <row r="721">
          <cell r="A721" t="str">
            <v>203 2015 10 1211 00001</v>
          </cell>
          <cell r="B721">
            <v>19</v>
          </cell>
          <cell r="C721">
            <v>42040.592037037037</v>
          </cell>
          <cell r="D721">
            <v>5.8633281100587728E-2</v>
          </cell>
          <cell r="E721">
            <v>0</v>
          </cell>
          <cell r="F721">
            <v>0.94136671889941226</v>
          </cell>
          <cell r="G721">
            <v>0</v>
          </cell>
        </row>
        <row r="722">
          <cell r="A722" t="str">
            <v>203 2014 10 1211 00005</v>
          </cell>
          <cell r="B722">
            <v>39</v>
          </cell>
          <cell r="C722">
            <v>41744.474733796298</v>
          </cell>
          <cell r="D722">
            <v>5.4945054945054951E-2</v>
          </cell>
          <cell r="E722">
            <v>0</v>
          </cell>
          <cell r="F722">
            <v>0.94505494505494503</v>
          </cell>
          <cell r="G722">
            <v>0</v>
          </cell>
        </row>
        <row r="723">
          <cell r="A723" t="str">
            <v>203 2015 10 1211 00001</v>
          </cell>
          <cell r="B723">
            <v>39</v>
          </cell>
          <cell r="C723">
            <v>42078.636689814812</v>
          </cell>
          <cell r="D723">
            <v>5.8633281100587728E-2</v>
          </cell>
          <cell r="E723">
            <v>0</v>
          </cell>
          <cell r="F723">
            <v>0.94136671889941226</v>
          </cell>
          <cell r="G723">
            <v>0</v>
          </cell>
        </row>
        <row r="724">
          <cell r="A724" t="str">
            <v>203 2015 10 1211 00001</v>
          </cell>
          <cell r="B724">
            <v>63</v>
          </cell>
          <cell r="C724">
            <v>42128.596562500003</v>
          </cell>
          <cell r="D724">
            <v>5.8633281100587728E-2</v>
          </cell>
          <cell r="E724">
            <v>0</v>
          </cell>
          <cell r="F724">
            <v>0.94136671889941226</v>
          </cell>
          <cell r="G724">
            <v>0</v>
          </cell>
        </row>
        <row r="725">
          <cell r="A725" t="str">
            <v>203 2012 10 1211 00011</v>
          </cell>
          <cell r="B725">
            <v>64</v>
          </cell>
          <cell r="C725">
            <v>41227.388287037036</v>
          </cell>
          <cell r="D725">
            <v>5.8823999999999994E-2</v>
          </cell>
          <cell r="E725">
            <v>0</v>
          </cell>
          <cell r="F725">
            <v>0.94117600000000001</v>
          </cell>
          <cell r="G725">
            <v>0</v>
          </cell>
        </row>
        <row r="726">
          <cell r="A726" t="str">
            <v>203 2014 10 1211 00004</v>
          </cell>
          <cell r="B726">
            <v>64</v>
          </cell>
          <cell r="C726">
            <v>41825.488483796296</v>
          </cell>
          <cell r="D726">
            <v>5.5426939491429725E-2</v>
          </cell>
          <cell r="E726">
            <v>0</v>
          </cell>
          <cell r="F726">
            <v>0.94457306050857026</v>
          </cell>
          <cell r="G726">
            <v>0</v>
          </cell>
        </row>
        <row r="727">
          <cell r="A727" t="str">
            <v>203 2015 10 1211 00001</v>
          </cell>
          <cell r="B727">
            <v>64</v>
          </cell>
          <cell r="C727">
            <v>42131.604907407411</v>
          </cell>
          <cell r="D727">
            <v>5.8633281100587728E-2</v>
          </cell>
          <cell r="E727">
            <v>0</v>
          </cell>
          <cell r="F727">
            <v>0.94136671889941226</v>
          </cell>
          <cell r="G727">
            <v>0</v>
          </cell>
        </row>
        <row r="728">
          <cell r="A728" t="str">
            <v>201 2014 10 1211 00006</v>
          </cell>
          <cell r="B728">
            <v>172</v>
          </cell>
          <cell r="C728">
            <v>42001.397372685184</v>
          </cell>
          <cell r="D728">
            <v>5.4945054945054937E-2</v>
          </cell>
          <cell r="E728">
            <v>0</v>
          </cell>
          <cell r="F728">
            <v>0.94505494505494503</v>
          </cell>
          <cell r="G728">
            <v>0</v>
          </cell>
        </row>
        <row r="729">
          <cell r="A729" t="str">
            <v>201 2013 10 1211 00006</v>
          </cell>
          <cell r="B729">
            <v>173</v>
          </cell>
          <cell r="C729">
            <v>41591.654861111114</v>
          </cell>
          <cell r="D729">
            <v>5.8823529411764705E-2</v>
          </cell>
          <cell r="E729">
            <v>0</v>
          </cell>
          <cell r="F729">
            <v>0.94117647058823528</v>
          </cell>
          <cell r="G729">
            <v>0</v>
          </cell>
        </row>
        <row r="730">
          <cell r="A730" t="str">
            <v>201 2014 10 1211 00006</v>
          </cell>
          <cell r="B730">
            <v>173</v>
          </cell>
          <cell r="C730">
            <v>42004.408009259256</v>
          </cell>
          <cell r="D730">
            <v>5.4945054945054937E-2</v>
          </cell>
          <cell r="E730">
            <v>0</v>
          </cell>
          <cell r="F730">
            <v>0.94505494505494503</v>
          </cell>
          <cell r="G730">
            <v>0</v>
          </cell>
        </row>
        <row r="731">
          <cell r="A731" t="str">
            <v>201 2013 10 1211 00006</v>
          </cell>
          <cell r="B731">
            <v>206</v>
          </cell>
          <cell r="C731">
            <v>41616.407766203702</v>
          </cell>
          <cell r="D731">
            <v>5.8823529411764705E-2</v>
          </cell>
          <cell r="E731">
            <v>0</v>
          </cell>
          <cell r="F731">
            <v>0.94117647058823528</v>
          </cell>
          <cell r="G731">
            <v>0</v>
          </cell>
        </row>
        <row r="732">
          <cell r="A732" t="str">
            <v>200 2004 10 1211 00001</v>
          </cell>
          <cell r="B732">
            <v>4</v>
          </cell>
          <cell r="C732">
            <v>40590</v>
          </cell>
          <cell r="D732">
            <v>0.589449</v>
          </cell>
          <cell r="E732">
            <v>0</v>
          </cell>
          <cell r="F732">
            <v>0.41055100000000005</v>
          </cell>
          <cell r="G732">
            <v>0</v>
          </cell>
        </row>
        <row r="733">
          <cell r="A733" t="str">
            <v>203 2014 10 1211 00005</v>
          </cell>
          <cell r="B733">
            <v>11</v>
          </cell>
          <cell r="C733">
            <v>41665.656550925924</v>
          </cell>
          <cell r="D733">
            <v>5.4945054945054951E-2</v>
          </cell>
          <cell r="E733">
            <v>0</v>
          </cell>
          <cell r="F733">
            <v>0.94505494505494503</v>
          </cell>
          <cell r="G733">
            <v>0</v>
          </cell>
        </row>
        <row r="734">
          <cell r="A734" t="str">
            <v>203 2015 10 1211 00001</v>
          </cell>
          <cell r="B734">
            <v>11</v>
          </cell>
          <cell r="C734">
            <v>42026.652743055558</v>
          </cell>
          <cell r="D734">
            <v>5.8633281100587728E-2</v>
          </cell>
          <cell r="E734">
            <v>0</v>
          </cell>
          <cell r="F734">
            <v>0.94136671889941226</v>
          </cell>
          <cell r="G734">
            <v>0</v>
          </cell>
        </row>
        <row r="735">
          <cell r="A735" t="str">
            <v>203 2008 10 1211 00005</v>
          </cell>
          <cell r="B735">
            <v>25</v>
          </cell>
          <cell r="C735">
            <v>39499</v>
          </cell>
          <cell r="D735">
            <v>7.4214000000000002E-2</v>
          </cell>
          <cell r="E735">
            <v>9.2600000000000002E-2</v>
          </cell>
          <cell r="F735">
            <v>0.83318599999999998</v>
          </cell>
          <cell r="G735">
            <v>0</v>
          </cell>
        </row>
        <row r="736">
          <cell r="A736" t="str">
            <v>203 2014 10 1211 00005</v>
          </cell>
          <cell r="B736">
            <v>25</v>
          </cell>
          <cell r="C736">
            <v>41703.487187500003</v>
          </cell>
          <cell r="D736">
            <v>5.4945054945054951E-2</v>
          </cell>
          <cell r="E736">
            <v>0</v>
          </cell>
          <cell r="F736">
            <v>0.94505494505494503</v>
          </cell>
          <cell r="G736">
            <v>0</v>
          </cell>
        </row>
        <row r="737">
          <cell r="A737" t="str">
            <v>203 2015 10 1211 00001</v>
          </cell>
          <cell r="B737">
            <v>25</v>
          </cell>
          <cell r="C737">
            <v>42052.616076388891</v>
          </cell>
          <cell r="D737">
            <v>5.8633281100587728E-2</v>
          </cell>
          <cell r="E737">
            <v>0</v>
          </cell>
          <cell r="F737">
            <v>0.94136671889941226</v>
          </cell>
          <cell r="G737">
            <v>0</v>
          </cell>
        </row>
        <row r="738">
          <cell r="A738" t="str">
            <v>203 2015 10 1211 00001</v>
          </cell>
          <cell r="B738">
            <v>43</v>
          </cell>
          <cell r="C738">
            <v>42086.654178240744</v>
          </cell>
          <cell r="D738">
            <v>5.8633281100587728E-2</v>
          </cell>
          <cell r="E738">
            <v>0</v>
          </cell>
          <cell r="F738">
            <v>0.94136671889941226</v>
          </cell>
          <cell r="G738">
            <v>0</v>
          </cell>
        </row>
        <row r="739">
          <cell r="A739" t="str">
            <v>203 2015 10 1211 00001</v>
          </cell>
          <cell r="B739">
            <v>44</v>
          </cell>
          <cell r="C739">
            <v>42092.663715277777</v>
          </cell>
          <cell r="D739">
            <v>5.5375312604714712E-2</v>
          </cell>
          <cell r="E739">
            <v>0</v>
          </cell>
          <cell r="F739">
            <v>0.94462468739528527</v>
          </cell>
          <cell r="G739">
            <v>0</v>
          </cell>
        </row>
        <row r="740">
          <cell r="A740" t="str">
            <v>203 2015 10 1211 00008</v>
          </cell>
          <cell r="B740">
            <v>70</v>
          </cell>
          <cell r="C740">
            <v>42146.591851851852</v>
          </cell>
          <cell r="D740">
            <v>0.80739194844721029</v>
          </cell>
          <cell r="E740">
            <v>0</v>
          </cell>
          <cell r="F740">
            <v>0.19260805155278976</v>
          </cell>
          <cell r="G740">
            <v>0</v>
          </cell>
        </row>
        <row r="741">
          <cell r="A741" t="str">
            <v>201 2013 10 1211 00006</v>
          </cell>
          <cell r="B741">
            <v>215</v>
          </cell>
          <cell r="C741">
            <v>41616.564270833333</v>
          </cell>
          <cell r="D741">
            <v>5.8823529411764705E-2</v>
          </cell>
          <cell r="E741">
            <v>0</v>
          </cell>
          <cell r="F741">
            <v>0.94117647058823528</v>
          </cell>
          <cell r="G741">
            <v>0</v>
          </cell>
        </row>
        <row r="742">
          <cell r="A742" t="str">
            <v>203 2014 10 1211 00004</v>
          </cell>
          <cell r="B742">
            <v>1</v>
          </cell>
          <cell r="C742">
            <v>41734.574050925927</v>
          </cell>
          <cell r="D742">
            <v>5.5426939491429725E-2</v>
          </cell>
          <cell r="E742">
            <v>0</v>
          </cell>
          <cell r="F742">
            <v>0.94457306050857026</v>
          </cell>
          <cell r="G742">
            <v>0</v>
          </cell>
        </row>
        <row r="743">
          <cell r="A743" t="str">
            <v>203 2015 10 1211 00001</v>
          </cell>
          <cell r="B743">
            <v>13</v>
          </cell>
          <cell r="C743">
            <v>42031.657175925924</v>
          </cell>
          <cell r="D743">
            <v>5.8633281100587728E-2</v>
          </cell>
          <cell r="E743">
            <v>0</v>
          </cell>
          <cell r="F743">
            <v>0.94136671889941226</v>
          </cell>
          <cell r="G743">
            <v>0</v>
          </cell>
        </row>
        <row r="744">
          <cell r="A744" t="str">
            <v>201 2014 10 1211 00006</v>
          </cell>
          <cell r="B744">
            <v>136</v>
          </cell>
          <cell r="C744">
            <v>41878.634953703702</v>
          </cell>
          <cell r="D744">
            <v>5.4945054945054937E-2</v>
          </cell>
          <cell r="E744">
            <v>0</v>
          </cell>
          <cell r="F744">
            <v>0.94505494505494503</v>
          </cell>
          <cell r="G744">
            <v>0</v>
          </cell>
        </row>
        <row r="745">
          <cell r="A745" t="str">
            <v>201 2014 10 1211 00006</v>
          </cell>
          <cell r="B745">
            <v>137</v>
          </cell>
          <cell r="C745">
            <v>41836.636018518519</v>
          </cell>
          <cell r="D745">
            <v>5.4945054945054937E-2</v>
          </cell>
          <cell r="E745">
            <v>0</v>
          </cell>
          <cell r="F745">
            <v>0.94505494505494503</v>
          </cell>
          <cell r="G745">
            <v>0</v>
          </cell>
        </row>
        <row r="746">
          <cell r="A746" t="str">
            <v>201 2013 10 1211 00006</v>
          </cell>
          <cell r="B746">
            <v>162</v>
          </cell>
          <cell r="C746">
            <v>41537.44195601852</v>
          </cell>
          <cell r="D746">
            <v>5.8823529411764705E-2</v>
          </cell>
          <cell r="E746">
            <v>0</v>
          </cell>
          <cell r="F746">
            <v>0.94117647058823528</v>
          </cell>
          <cell r="G746">
            <v>0</v>
          </cell>
        </row>
        <row r="747">
          <cell r="A747" t="str">
            <v>201 2014 10 1211 00006</v>
          </cell>
          <cell r="B747">
            <v>162</v>
          </cell>
          <cell r="C747">
            <v>41965.409895833334</v>
          </cell>
          <cell r="D747">
            <v>5.4945054945054937E-2</v>
          </cell>
          <cell r="E747">
            <v>0</v>
          </cell>
          <cell r="F747">
            <v>0.94505494505494503</v>
          </cell>
          <cell r="G747">
            <v>0</v>
          </cell>
        </row>
        <row r="748">
          <cell r="A748" t="str">
            <v>201 2013 10 1211 00006</v>
          </cell>
          <cell r="B748">
            <v>163</v>
          </cell>
          <cell r="C748">
            <v>41553.466261574074</v>
          </cell>
          <cell r="D748">
            <v>5.8823529411764705E-2</v>
          </cell>
          <cell r="E748">
            <v>0</v>
          </cell>
          <cell r="F748">
            <v>0.94117647058823528</v>
          </cell>
          <cell r="G748">
            <v>0</v>
          </cell>
        </row>
        <row r="749">
          <cell r="A749" t="str">
            <v>201 2013 10 1211 00006</v>
          </cell>
          <cell r="B749">
            <v>193</v>
          </cell>
          <cell r="C749">
            <v>41607.584710648145</v>
          </cell>
          <cell r="D749">
            <v>5.8823529411764705E-2</v>
          </cell>
          <cell r="E749">
            <v>0</v>
          </cell>
          <cell r="F749">
            <v>0.94117647058823528</v>
          </cell>
          <cell r="G749">
            <v>0</v>
          </cell>
        </row>
        <row r="750">
          <cell r="A750" t="str">
            <v>201 2013 10 1211 00006</v>
          </cell>
          <cell r="B750">
            <v>194</v>
          </cell>
          <cell r="C750">
            <v>41605.591099537036</v>
          </cell>
          <cell r="D750">
            <v>5.8823529411764705E-2</v>
          </cell>
          <cell r="E750">
            <v>0</v>
          </cell>
          <cell r="F750">
            <v>0.94117647058823528</v>
          </cell>
          <cell r="G750">
            <v>0</v>
          </cell>
        </row>
        <row r="751">
          <cell r="A751" t="str">
            <v>202 2007 11 1211 00008</v>
          </cell>
          <cell r="B751">
            <v>3</v>
          </cell>
          <cell r="C751">
            <v>39532</v>
          </cell>
        </row>
        <row r="752">
          <cell r="A752" t="str">
            <v>504 2015 10 1211 00007</v>
          </cell>
          <cell r="B752">
            <v>3</v>
          </cell>
          <cell r="C752">
            <v>42162.676053240742</v>
          </cell>
          <cell r="D752">
            <v>0.78125</v>
          </cell>
          <cell r="E752">
            <v>0</v>
          </cell>
          <cell r="F752">
            <v>0.21875</v>
          </cell>
          <cell r="G752">
            <v>0</v>
          </cell>
        </row>
        <row r="753">
          <cell r="A753" t="str">
            <v>203 2014 10 1211 00006</v>
          </cell>
          <cell r="B753">
            <v>122</v>
          </cell>
          <cell r="C753">
            <v>41946.388749999998</v>
          </cell>
          <cell r="D753">
            <v>0.28239389219784183</v>
          </cell>
          <cell r="E753">
            <v>0</v>
          </cell>
          <cell r="F753">
            <v>0.71760610780215817</v>
          </cell>
          <cell r="G753">
            <v>0</v>
          </cell>
        </row>
        <row r="754">
          <cell r="A754" t="str">
            <v>100 2001 10 1211 00026</v>
          </cell>
          <cell r="B754">
            <v>34</v>
          </cell>
          <cell r="C754">
            <v>37153</v>
          </cell>
          <cell r="D754">
            <v>2.5000000000000001E-2</v>
          </cell>
          <cell r="E754">
            <v>0</v>
          </cell>
          <cell r="F754">
            <v>0</v>
          </cell>
          <cell r="G754">
            <v>0.97499999999999998</v>
          </cell>
        </row>
        <row r="755">
          <cell r="A755" t="str">
            <v>100 2005 10 1211 00001</v>
          </cell>
          <cell r="B755">
            <v>45</v>
          </cell>
          <cell r="C755">
            <v>38591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</row>
        <row r="756">
          <cell r="A756" t="str">
            <v>204 2015 10 1211 00010</v>
          </cell>
          <cell r="B756">
            <v>5</v>
          </cell>
          <cell r="C756">
            <v>42206</v>
          </cell>
          <cell r="D756">
            <v>7.6530612244897957E-3</v>
          </cell>
          <cell r="E756">
            <v>0</v>
          </cell>
          <cell r="F756">
            <v>7.6530612244897961E-2</v>
          </cell>
          <cell r="G756">
            <v>0.91581632653061218</v>
          </cell>
        </row>
        <row r="757">
          <cell r="A757" t="str">
            <v>204 2013 10 1211 00012</v>
          </cell>
          <cell r="B757">
            <v>20</v>
          </cell>
          <cell r="C757">
            <v>41605.451238425929</v>
          </cell>
          <cell r="D757">
            <v>8.4459459459459499E-3</v>
          </cell>
          <cell r="E757">
            <v>0</v>
          </cell>
          <cell r="F757">
            <v>7.0101351351351246E-2</v>
          </cell>
          <cell r="G757">
            <v>0.92145270270270285</v>
          </cell>
        </row>
        <row r="758">
          <cell r="A758" t="str">
            <v>204 2015 10 1211 00015</v>
          </cell>
          <cell r="B758">
            <v>20</v>
          </cell>
          <cell r="C758">
            <v>42298.44259259259</v>
          </cell>
          <cell r="D758">
            <v>9.4923382925863106E-3</v>
          </cell>
          <cell r="E758">
            <v>0</v>
          </cell>
          <cell r="F758">
            <v>0.12559093740960348</v>
          </cell>
          <cell r="G758">
            <v>0.86491672429781019</v>
          </cell>
        </row>
        <row r="759">
          <cell r="A759" t="str">
            <v>503 2015 10 1211 00006</v>
          </cell>
          <cell r="B759">
            <v>15</v>
          </cell>
          <cell r="C759">
            <v>42088.48232638889</v>
          </cell>
          <cell r="D759">
            <v>0.79448648245444609</v>
          </cell>
          <cell r="E759">
            <v>0</v>
          </cell>
          <cell r="F759">
            <v>0.20551351754555389</v>
          </cell>
          <cell r="G759">
            <v>0</v>
          </cell>
        </row>
        <row r="760">
          <cell r="A760" t="str">
            <v>503 2014 10 1211 00006</v>
          </cell>
          <cell r="B760">
            <v>29</v>
          </cell>
          <cell r="C760">
            <v>41758.4140625</v>
          </cell>
          <cell r="D760">
            <v>0.19722841456988308</v>
          </cell>
          <cell r="E760">
            <v>0</v>
          </cell>
          <cell r="F760">
            <v>0.80277158543011695</v>
          </cell>
          <cell r="G760">
            <v>0</v>
          </cell>
        </row>
        <row r="761">
          <cell r="A761" t="str">
            <v>503 2015 10 1211 00022</v>
          </cell>
          <cell r="B761">
            <v>29</v>
          </cell>
          <cell r="C761">
            <v>42169.416759259257</v>
          </cell>
          <cell r="D761">
            <v>0.93283582089552242</v>
          </cell>
          <cell r="E761">
            <v>0</v>
          </cell>
          <cell r="F761">
            <v>6.7164179104477612E-2</v>
          </cell>
          <cell r="G761">
            <v>0</v>
          </cell>
        </row>
        <row r="762">
          <cell r="A762" t="str">
            <v>503 2015 10 1211 00014</v>
          </cell>
          <cell r="B762">
            <v>30</v>
          </cell>
          <cell r="C762">
            <v>42176.337372685186</v>
          </cell>
          <cell r="D762">
            <v>0.56219092387413849</v>
          </cell>
          <cell r="E762">
            <v>0</v>
          </cell>
          <cell r="F762">
            <v>0.43780907612586145</v>
          </cell>
          <cell r="G762">
            <v>0</v>
          </cell>
        </row>
        <row r="763">
          <cell r="A763" t="str">
            <v>504 2014 10 1211 00004</v>
          </cell>
          <cell r="B763">
            <v>8</v>
          </cell>
          <cell r="C763">
            <v>41779.375</v>
          </cell>
          <cell r="D763">
            <v>0.625</v>
          </cell>
          <cell r="E763">
            <v>0</v>
          </cell>
          <cell r="F763">
            <v>0.375</v>
          </cell>
          <cell r="G763">
            <v>0</v>
          </cell>
        </row>
        <row r="764">
          <cell r="A764" t="str">
            <v>504 2014 10 1211 00004</v>
          </cell>
          <cell r="B764">
            <v>9</v>
          </cell>
          <cell r="C764">
            <v>41809.333333333336</v>
          </cell>
          <cell r="D764">
            <v>0.625</v>
          </cell>
          <cell r="E764">
            <v>0</v>
          </cell>
          <cell r="F764">
            <v>0.375</v>
          </cell>
          <cell r="G764">
            <v>0</v>
          </cell>
        </row>
        <row r="765">
          <cell r="A765" t="str">
            <v>505 2015 10 1211 00007</v>
          </cell>
          <cell r="B765">
            <v>3</v>
          </cell>
          <cell r="C765">
            <v>42236.729942129627</v>
          </cell>
          <cell r="D765">
            <v>1</v>
          </cell>
          <cell r="E765">
            <v>0</v>
          </cell>
          <cell r="F765">
            <v>0</v>
          </cell>
          <cell r="G765">
            <v>0</v>
          </cell>
        </row>
        <row r="766">
          <cell r="A766" t="str">
            <v>203 2014 10 1211 00005</v>
          </cell>
          <cell r="B766">
            <v>138</v>
          </cell>
          <cell r="C766">
            <v>41989.378032407411</v>
          </cell>
          <cell r="D766">
            <v>5.4945054945054951E-2</v>
          </cell>
          <cell r="E766">
            <v>0</v>
          </cell>
          <cell r="F766">
            <v>0.94505494505494503</v>
          </cell>
          <cell r="G766">
            <v>0</v>
          </cell>
        </row>
        <row r="767">
          <cell r="A767" t="str">
            <v>201 2012 10 1212 00004</v>
          </cell>
          <cell r="B767">
            <v>1</v>
          </cell>
          <cell r="C767">
            <v>40948.5856712963</v>
          </cell>
          <cell r="D767">
            <v>0.10605654604331205</v>
          </cell>
          <cell r="E767">
            <v>0</v>
          </cell>
          <cell r="F767">
            <v>0.89394345395668795</v>
          </cell>
          <cell r="G767">
            <v>0</v>
          </cell>
        </row>
        <row r="768">
          <cell r="A768" t="str">
            <v>201 2012 10 1212 00004</v>
          </cell>
          <cell r="B768">
            <v>9</v>
          </cell>
          <cell r="C768">
            <v>41128.615567129629</v>
          </cell>
          <cell r="D768">
            <v>0.10605654604331205</v>
          </cell>
          <cell r="E768">
            <v>0</v>
          </cell>
          <cell r="F768">
            <v>0.89394345395668795</v>
          </cell>
          <cell r="G768">
            <v>0</v>
          </cell>
        </row>
        <row r="769">
          <cell r="A769" t="str">
            <v>201 2014 10 1212 00010</v>
          </cell>
          <cell r="B769">
            <v>15</v>
          </cell>
          <cell r="C769">
            <v>41791.586145833331</v>
          </cell>
          <cell r="D769">
            <v>0.11718494688808323</v>
          </cell>
          <cell r="E769">
            <v>0</v>
          </cell>
          <cell r="F769">
            <v>0.88281505311191677</v>
          </cell>
          <cell r="G769">
            <v>0</v>
          </cell>
        </row>
        <row r="770">
          <cell r="A770" t="str">
            <v>201 2015 10 1212 00007</v>
          </cell>
          <cell r="B770">
            <v>15</v>
          </cell>
          <cell r="C770">
            <v>42222.63003472222</v>
          </cell>
          <cell r="D770">
            <v>2.8799999999999999E-2</v>
          </cell>
          <cell r="E770">
            <v>0</v>
          </cell>
          <cell r="F770">
            <v>0.414750109230765</v>
          </cell>
          <cell r="G770">
            <v>0.55644989076923501</v>
          </cell>
        </row>
        <row r="771">
          <cell r="A771" t="str">
            <v>201 2014 10 1212 00007</v>
          </cell>
          <cell r="B771">
            <v>27</v>
          </cell>
          <cell r="C771">
            <v>41941.485763888886</v>
          </cell>
          <cell r="D771">
            <v>5.8823529411764698E-2</v>
          </cell>
          <cell r="E771">
            <v>0</v>
          </cell>
          <cell r="F771">
            <v>0.94117647058823528</v>
          </cell>
          <cell r="G771">
            <v>0</v>
          </cell>
        </row>
        <row r="772">
          <cell r="A772" t="str">
            <v>202 2012 11 1212 00006</v>
          </cell>
          <cell r="B772">
            <v>5</v>
          </cell>
          <cell r="C772">
            <v>41014.431840277779</v>
          </cell>
          <cell r="D772">
            <v>1</v>
          </cell>
          <cell r="E772">
            <v>0</v>
          </cell>
          <cell r="F772">
            <v>0</v>
          </cell>
          <cell r="G772">
            <v>0</v>
          </cell>
        </row>
        <row r="773">
          <cell r="A773" t="str">
            <v>203 2015 10 1212 00003</v>
          </cell>
          <cell r="B773">
            <v>11</v>
          </cell>
          <cell r="C773">
            <v>42074.656134259261</v>
          </cell>
          <cell r="D773">
            <v>2.31076272069227E-2</v>
          </cell>
          <cell r="E773">
            <v>0</v>
          </cell>
          <cell r="F773">
            <v>0.39745118795907064</v>
          </cell>
          <cell r="G773">
            <v>0.57944118483400664</v>
          </cell>
        </row>
        <row r="774">
          <cell r="A774" t="str">
            <v>203 2015 10 1212 00003</v>
          </cell>
          <cell r="B774">
            <v>25</v>
          </cell>
          <cell r="C774">
            <v>42171.670381944445</v>
          </cell>
          <cell r="D774">
            <v>2.31076272069227E-2</v>
          </cell>
          <cell r="E774">
            <v>0</v>
          </cell>
          <cell r="F774">
            <v>0.39745118795907064</v>
          </cell>
          <cell r="G774">
            <v>0.57944118483400664</v>
          </cell>
        </row>
        <row r="775">
          <cell r="A775" t="str">
            <v>203 2012 10 1212 00010</v>
          </cell>
          <cell r="B775">
            <v>26</v>
          </cell>
          <cell r="C775">
            <v>41198.475821759261</v>
          </cell>
          <cell r="D775">
            <v>0.48078258912855332</v>
          </cell>
          <cell r="E775">
            <v>0</v>
          </cell>
          <cell r="F775">
            <v>0.51921741087144668</v>
          </cell>
          <cell r="G775">
            <v>0</v>
          </cell>
        </row>
        <row r="776">
          <cell r="A776" t="str">
            <v>203 2015 10 1212 00005</v>
          </cell>
          <cell r="B776">
            <v>43</v>
          </cell>
          <cell r="C776">
            <v>42278.644178240742</v>
          </cell>
          <cell r="D776">
            <v>5.9565902215354301E-2</v>
          </cell>
          <cell r="E776">
            <v>0</v>
          </cell>
          <cell r="F776">
            <v>0.83392263101496</v>
          </cell>
          <cell r="G776">
            <v>0.1065114667696857</v>
          </cell>
        </row>
        <row r="777">
          <cell r="A777" t="str">
            <v>203 2015 10 1212 00005</v>
          </cell>
          <cell r="B777">
            <v>44</v>
          </cell>
          <cell r="C777">
            <v>42276.415150462963</v>
          </cell>
          <cell r="D777">
            <v>5.9565902215354301E-2</v>
          </cell>
          <cell r="E777">
            <v>0</v>
          </cell>
          <cell r="F777">
            <v>0.83392263101496</v>
          </cell>
          <cell r="G777">
            <v>0.1065114667696857</v>
          </cell>
        </row>
        <row r="778">
          <cell r="A778" t="str">
            <v>203 2014 10 1212 00004</v>
          </cell>
          <cell r="B778">
            <v>102</v>
          </cell>
          <cell r="C778">
            <v>41924.368923611109</v>
          </cell>
          <cell r="D778">
            <v>1</v>
          </cell>
          <cell r="E778">
            <v>0</v>
          </cell>
          <cell r="F778">
            <v>0</v>
          </cell>
          <cell r="G778">
            <v>0</v>
          </cell>
        </row>
        <row r="779">
          <cell r="A779" t="str">
            <v>203 2014 10 1211 00005</v>
          </cell>
          <cell r="B779">
            <v>139</v>
          </cell>
          <cell r="C779">
            <v>41962.55773148148</v>
          </cell>
          <cell r="D779">
            <v>5.4945054945054951E-2</v>
          </cell>
          <cell r="E779">
            <v>0</v>
          </cell>
          <cell r="F779">
            <v>0.94505494505494503</v>
          </cell>
          <cell r="G779">
            <v>0</v>
          </cell>
        </row>
        <row r="780">
          <cell r="A780" t="str">
            <v>204 2013 10 1211 00012</v>
          </cell>
          <cell r="B780">
            <v>2</v>
          </cell>
          <cell r="C780">
            <v>41654.554039351853</v>
          </cell>
          <cell r="D780">
            <v>8.4459459459459499E-3</v>
          </cell>
          <cell r="E780">
            <v>0</v>
          </cell>
          <cell r="F780">
            <v>7.0101351351351246E-2</v>
          </cell>
          <cell r="G780">
            <v>0.92145270270270285</v>
          </cell>
        </row>
        <row r="781">
          <cell r="A781" t="str">
            <v>204 2014 10 1211 00018</v>
          </cell>
          <cell r="B781">
            <v>2</v>
          </cell>
          <cell r="C781">
            <v>42136.629571759258</v>
          </cell>
          <cell r="D781">
            <v>3.1250000000000002E-3</v>
          </cell>
          <cell r="E781">
            <v>0</v>
          </cell>
          <cell r="F781">
            <v>5.3749999999999999E-2</v>
          </cell>
          <cell r="G781">
            <v>0.94312499999999999</v>
          </cell>
        </row>
        <row r="782">
          <cell r="A782" t="str">
            <v>204 2015 10 1211 00009</v>
          </cell>
          <cell r="B782">
            <v>8</v>
          </cell>
          <cell r="C782">
            <v>42260.651261574072</v>
          </cell>
          <cell r="D782">
            <v>0.03</v>
          </cell>
          <cell r="E782">
            <v>0</v>
          </cell>
          <cell r="F782">
            <v>0</v>
          </cell>
          <cell r="G782">
            <v>0.97</v>
          </cell>
        </row>
        <row r="783">
          <cell r="A783" t="str">
            <v>204 2012 10 1211 00010</v>
          </cell>
          <cell r="B783">
            <v>16</v>
          </cell>
          <cell r="C783">
            <v>41151.466226851851</v>
          </cell>
          <cell r="D783">
            <v>8.4459459459459499E-3</v>
          </cell>
          <cell r="E783">
            <v>0</v>
          </cell>
          <cell r="F783">
            <v>7.5337837837837748E-2</v>
          </cell>
          <cell r="G783">
            <v>0.91621621621621629</v>
          </cell>
        </row>
        <row r="784">
          <cell r="A784" t="str">
            <v>204 2012 10 1211 00010</v>
          </cell>
          <cell r="B784">
            <v>24</v>
          </cell>
          <cell r="C784">
            <v>41091.482210648152</v>
          </cell>
          <cell r="D784">
            <v>8.4459459459459499E-3</v>
          </cell>
          <cell r="E784">
            <v>0</v>
          </cell>
          <cell r="F784">
            <v>7.5337837837837748E-2</v>
          </cell>
          <cell r="G784">
            <v>0.91621621621621629</v>
          </cell>
        </row>
        <row r="785">
          <cell r="A785" t="str">
            <v>504 2012 10 1211 00010</v>
          </cell>
          <cell r="B785">
            <v>12</v>
          </cell>
          <cell r="C785">
            <v>41163.68378472222</v>
          </cell>
          <cell r="D785">
            <v>0.25</v>
          </cell>
          <cell r="E785">
            <v>0</v>
          </cell>
          <cell r="F785">
            <v>0.75</v>
          </cell>
          <cell r="G785">
            <v>0</v>
          </cell>
        </row>
        <row r="786">
          <cell r="A786" t="str">
            <v>504 2014 10 1211 00003</v>
          </cell>
          <cell r="B786">
            <v>12</v>
          </cell>
          <cell r="C786">
            <v>41878.391168981485</v>
          </cell>
          <cell r="D786">
            <v>1</v>
          </cell>
          <cell r="E786">
            <v>0</v>
          </cell>
          <cell r="F786">
            <v>0</v>
          </cell>
          <cell r="G786">
            <v>0</v>
          </cell>
        </row>
        <row r="787">
          <cell r="A787" t="str">
            <v>504 2012 10 1211 00010</v>
          </cell>
          <cell r="B787">
            <v>13</v>
          </cell>
          <cell r="C787">
            <v>41204.498842592591</v>
          </cell>
          <cell r="D787">
            <v>0.25</v>
          </cell>
          <cell r="E787">
            <v>0</v>
          </cell>
          <cell r="F787">
            <v>0.75</v>
          </cell>
          <cell r="G787">
            <v>0</v>
          </cell>
        </row>
        <row r="788">
          <cell r="A788" t="str">
            <v>505 2015 10 1211 00005</v>
          </cell>
          <cell r="B788">
            <v>2</v>
          </cell>
          <cell r="C788">
            <v>42050.608599537038</v>
          </cell>
          <cell r="D788">
            <v>1</v>
          </cell>
          <cell r="E788">
            <v>0</v>
          </cell>
          <cell r="F788">
            <v>0</v>
          </cell>
          <cell r="G788">
            <v>0</v>
          </cell>
        </row>
        <row r="789">
          <cell r="A789" t="str">
            <v>505 2014 10 1211 00006</v>
          </cell>
          <cell r="B789">
            <v>4</v>
          </cell>
          <cell r="C789">
            <v>41673</v>
          </cell>
          <cell r="D789">
            <v>5.8823529411764705E-2</v>
          </cell>
          <cell r="E789">
            <v>0</v>
          </cell>
          <cell r="F789">
            <v>0.94117647058823528</v>
          </cell>
          <cell r="G789">
            <v>0</v>
          </cell>
        </row>
        <row r="790">
          <cell r="A790" t="str">
            <v>505 2015 10 1211 00005</v>
          </cell>
          <cell r="B790">
            <v>4</v>
          </cell>
          <cell r="C790">
            <v>42256.416666666664</v>
          </cell>
          <cell r="D790">
            <v>1</v>
          </cell>
          <cell r="E790">
            <v>0</v>
          </cell>
          <cell r="F790">
            <v>0</v>
          </cell>
          <cell r="G790">
            <v>0</v>
          </cell>
        </row>
        <row r="791">
          <cell r="A791" t="str">
            <v>203 2014 10 1212 00009</v>
          </cell>
          <cell r="B791">
            <v>103</v>
          </cell>
          <cell r="C791">
            <v>41935.557743055557</v>
          </cell>
          <cell r="D791">
            <v>5.9565902215354273E-2</v>
          </cell>
          <cell r="E791">
            <v>0</v>
          </cell>
          <cell r="F791">
            <v>0.83392263101495978</v>
          </cell>
          <cell r="G791">
            <v>0.10651146676968593</v>
          </cell>
        </row>
        <row r="792">
          <cell r="A792" t="str">
            <v>205 2014 10 1212 00019</v>
          </cell>
          <cell r="B792">
            <v>7</v>
          </cell>
          <cell r="C792">
            <v>41852.217974537038</v>
          </cell>
          <cell r="D792">
            <v>5.4945054945054944E-2</v>
          </cell>
          <cell r="E792">
            <v>0</v>
          </cell>
          <cell r="F792">
            <v>0.94505494505494503</v>
          </cell>
          <cell r="G792">
            <v>0</v>
          </cell>
        </row>
        <row r="793">
          <cell r="A793" t="str">
            <v>205 2015 10 1212 00009</v>
          </cell>
          <cell r="B793">
            <v>7</v>
          </cell>
          <cell r="C793">
            <v>42290</v>
          </cell>
          <cell r="D793">
            <v>1</v>
          </cell>
          <cell r="E793">
            <v>0</v>
          </cell>
          <cell r="F793">
            <v>0</v>
          </cell>
          <cell r="G793">
            <v>0</v>
          </cell>
        </row>
        <row r="794">
          <cell r="A794" t="str">
            <v>205 2014 10 1212 00003</v>
          </cell>
          <cell r="B794">
            <v>10</v>
          </cell>
          <cell r="C794">
            <v>41868.416712962964</v>
          </cell>
          <cell r="D794">
            <v>0.75</v>
          </cell>
          <cell r="E794">
            <v>0</v>
          </cell>
          <cell r="F794">
            <v>0.25</v>
          </cell>
          <cell r="G794">
            <v>0</v>
          </cell>
        </row>
        <row r="795">
          <cell r="A795" t="str">
            <v>205 2013 10 1212 00015</v>
          </cell>
          <cell r="B795">
            <v>15</v>
          </cell>
          <cell r="C795">
            <v>41604.424305555556</v>
          </cell>
          <cell r="D795">
            <v>7.2463768115942032E-2</v>
          </cell>
          <cell r="E795">
            <v>0</v>
          </cell>
          <cell r="F795">
            <v>0.92753623188405798</v>
          </cell>
          <cell r="G795">
            <v>0</v>
          </cell>
        </row>
        <row r="796">
          <cell r="A796" t="str">
            <v>205 2014 10 1212 00003</v>
          </cell>
          <cell r="B796">
            <v>15</v>
          </cell>
          <cell r="C796">
            <v>41882.495532407411</v>
          </cell>
          <cell r="D796">
            <v>0.75</v>
          </cell>
          <cell r="E796">
            <v>0</v>
          </cell>
          <cell r="F796">
            <v>0.25</v>
          </cell>
          <cell r="G796">
            <v>0</v>
          </cell>
        </row>
        <row r="797">
          <cell r="A797" t="str">
            <v>209 2015 51 1212 00004</v>
          </cell>
          <cell r="B797">
            <v>4</v>
          </cell>
          <cell r="C797">
            <v>42184.567280092589</v>
          </cell>
          <cell r="D797">
            <v>0.04</v>
          </cell>
          <cell r="E797">
            <v>0</v>
          </cell>
          <cell r="F797">
            <v>0</v>
          </cell>
          <cell r="G797">
            <v>0.96</v>
          </cell>
        </row>
        <row r="798">
          <cell r="A798" t="str">
            <v>209 2013 11 1212 00011</v>
          </cell>
          <cell r="B798">
            <v>5</v>
          </cell>
          <cell r="C798">
            <v>41630.644293981481</v>
          </cell>
          <cell r="D798">
            <v>1</v>
          </cell>
          <cell r="E798">
            <v>0</v>
          </cell>
          <cell r="F798">
            <v>0</v>
          </cell>
          <cell r="G798">
            <v>0</v>
          </cell>
        </row>
        <row r="799">
          <cell r="A799" t="str">
            <v>209 2015 11 1212 00001</v>
          </cell>
          <cell r="B799">
            <v>5</v>
          </cell>
          <cell r="C799">
            <v>42297.978344907409</v>
          </cell>
          <cell r="D799">
            <v>1</v>
          </cell>
          <cell r="E799">
            <v>0</v>
          </cell>
          <cell r="F799">
            <v>0</v>
          </cell>
          <cell r="G799">
            <v>0</v>
          </cell>
        </row>
        <row r="800">
          <cell r="A800" t="str">
            <v>209 2015 10 1212 00001</v>
          </cell>
          <cell r="B800">
            <v>6</v>
          </cell>
          <cell r="C800">
            <v>42301.670138888891</v>
          </cell>
          <cell r="D800">
            <v>5.4945054945054937E-2</v>
          </cell>
          <cell r="E800">
            <v>0</v>
          </cell>
          <cell r="F800">
            <v>0.94505494505494503</v>
          </cell>
          <cell r="G800">
            <v>0</v>
          </cell>
        </row>
        <row r="801">
          <cell r="A801" t="str">
            <v>113 2015 10 1212 00001</v>
          </cell>
          <cell r="B801">
            <v>1</v>
          </cell>
          <cell r="C801">
            <v>42161.0002662037</v>
          </cell>
          <cell r="D801">
            <v>1</v>
          </cell>
          <cell r="E801">
            <v>0</v>
          </cell>
          <cell r="F801">
            <v>0</v>
          </cell>
          <cell r="G801">
            <v>0</v>
          </cell>
        </row>
        <row r="802">
          <cell r="A802" t="str">
            <v>113 2015 10 1212 00002</v>
          </cell>
          <cell r="B802">
            <v>2</v>
          </cell>
          <cell r="C802">
            <v>42310.085335648146</v>
          </cell>
          <cell r="D802">
            <v>1</v>
          </cell>
          <cell r="E802">
            <v>0</v>
          </cell>
          <cell r="F802">
            <v>0</v>
          </cell>
          <cell r="G802">
            <v>0</v>
          </cell>
        </row>
        <row r="803">
          <cell r="A803" t="str">
            <v>503 2014 10 1211 00004</v>
          </cell>
          <cell r="B803">
            <v>33</v>
          </cell>
          <cell r="C803">
            <v>41786.604502314818</v>
          </cell>
          <cell r="D803">
            <v>0.23433295795786754</v>
          </cell>
          <cell r="E803">
            <v>0</v>
          </cell>
          <cell r="F803">
            <v>0.76566704204213243</v>
          </cell>
          <cell r="G803">
            <v>0</v>
          </cell>
        </row>
        <row r="804">
          <cell r="A804" t="str">
            <v>503 2015 10 1211 00005</v>
          </cell>
          <cell r="B804">
            <v>33</v>
          </cell>
          <cell r="C804">
            <v>42181.598379629628</v>
          </cell>
          <cell r="D804">
            <v>0.67978394025464917</v>
          </cell>
          <cell r="E804">
            <v>0</v>
          </cell>
          <cell r="F804">
            <v>0.32021605974535083</v>
          </cell>
          <cell r="G804">
            <v>0</v>
          </cell>
        </row>
        <row r="805">
          <cell r="A805" t="str">
            <v>504 2015 10 1211 00007</v>
          </cell>
          <cell r="B805">
            <v>4</v>
          </cell>
          <cell r="C805">
            <v>42173.295138888891</v>
          </cell>
          <cell r="D805">
            <v>0.78125</v>
          </cell>
          <cell r="E805">
            <v>0</v>
          </cell>
          <cell r="F805">
            <v>0.21875</v>
          </cell>
          <cell r="G805">
            <v>0</v>
          </cell>
        </row>
        <row r="806">
          <cell r="A806" t="str">
            <v>504 2015 10 1211 00007</v>
          </cell>
          <cell r="B806">
            <v>6</v>
          </cell>
          <cell r="C806">
            <v>42346.333333333336</v>
          </cell>
          <cell r="D806">
            <v>0.78125</v>
          </cell>
          <cell r="E806">
            <v>0</v>
          </cell>
          <cell r="F806">
            <v>0.21875</v>
          </cell>
          <cell r="G806">
            <v>0</v>
          </cell>
        </row>
        <row r="807">
          <cell r="A807" t="str">
            <v>504 2012 10 1211 00007</v>
          </cell>
          <cell r="B807">
            <v>7</v>
          </cell>
          <cell r="C807">
            <v>41131.485555555555</v>
          </cell>
          <cell r="D807">
            <v>1</v>
          </cell>
          <cell r="E807">
            <v>0</v>
          </cell>
          <cell r="F807">
            <v>0</v>
          </cell>
          <cell r="G807">
            <v>0</v>
          </cell>
        </row>
        <row r="808">
          <cell r="A808" t="str">
            <v>504 2014 10 1211 00004</v>
          </cell>
          <cell r="B808">
            <v>7</v>
          </cell>
          <cell r="C808">
            <v>41738.376215277778</v>
          </cell>
          <cell r="D808">
            <v>0.625</v>
          </cell>
          <cell r="E808">
            <v>0</v>
          </cell>
          <cell r="F808">
            <v>0.375</v>
          </cell>
          <cell r="G808">
            <v>0</v>
          </cell>
        </row>
        <row r="809">
          <cell r="A809" t="str">
            <v>504 2014 10 1211 00003</v>
          </cell>
          <cell r="B809">
            <v>13</v>
          </cell>
          <cell r="C809">
            <v>41852.395185185182</v>
          </cell>
          <cell r="D809">
            <v>1</v>
          </cell>
          <cell r="E809">
            <v>0</v>
          </cell>
          <cell r="F809">
            <v>0</v>
          </cell>
          <cell r="G809">
            <v>0</v>
          </cell>
        </row>
        <row r="810">
          <cell r="A810" t="str">
            <v>504 2012 10 1211 00010</v>
          </cell>
          <cell r="B810">
            <v>14</v>
          </cell>
          <cell r="C810">
            <v>41216.685358796298</v>
          </cell>
          <cell r="D810">
            <v>0.25</v>
          </cell>
          <cell r="E810">
            <v>0</v>
          </cell>
          <cell r="F810">
            <v>0.75</v>
          </cell>
          <cell r="G810">
            <v>0</v>
          </cell>
        </row>
        <row r="811">
          <cell r="A811" t="str">
            <v>504 2014 10 1211 00004</v>
          </cell>
          <cell r="B811">
            <v>14</v>
          </cell>
          <cell r="C811">
            <v>41879.400358796294</v>
          </cell>
          <cell r="D811">
            <v>0.625</v>
          </cell>
          <cell r="E811">
            <v>0</v>
          </cell>
          <cell r="F811">
            <v>0.375</v>
          </cell>
          <cell r="G811">
            <v>0</v>
          </cell>
        </row>
        <row r="812">
          <cell r="A812" t="str">
            <v>504 2014 10 1211 00003</v>
          </cell>
          <cell r="B812">
            <v>17</v>
          </cell>
          <cell r="C812">
            <v>41904.375</v>
          </cell>
          <cell r="D812">
            <v>1</v>
          </cell>
          <cell r="E812">
            <v>0</v>
          </cell>
          <cell r="F812">
            <v>0</v>
          </cell>
          <cell r="G812">
            <v>0</v>
          </cell>
        </row>
        <row r="813">
          <cell r="A813" t="str">
            <v>505 2014 10 1211 00022</v>
          </cell>
          <cell r="B813">
            <v>22</v>
          </cell>
          <cell r="C813">
            <v>41710</v>
          </cell>
          <cell r="D813">
            <v>0.32341549364147415</v>
          </cell>
          <cell r="E813">
            <v>0</v>
          </cell>
          <cell r="F813">
            <v>0.67658450635852585</v>
          </cell>
          <cell r="G813">
            <v>0</v>
          </cell>
        </row>
        <row r="814">
          <cell r="A814" t="str">
            <v>505 2014 10 1211 00006</v>
          </cell>
          <cell r="B814">
            <v>29</v>
          </cell>
          <cell r="C814">
            <v>41716.641539351855</v>
          </cell>
          <cell r="D814">
            <v>5.8823529411764705E-2</v>
          </cell>
          <cell r="E814">
            <v>0</v>
          </cell>
          <cell r="F814">
            <v>0.94117647058823528</v>
          </cell>
          <cell r="G814">
            <v>0</v>
          </cell>
        </row>
        <row r="815">
          <cell r="A815" t="str">
            <v>208 2015 10 1212 00005</v>
          </cell>
          <cell r="B815">
            <v>1</v>
          </cell>
          <cell r="C815">
            <v>42285.391435185185</v>
          </cell>
          <cell r="D815">
            <v>0.33644672157566879</v>
          </cell>
          <cell r="E815">
            <v>0</v>
          </cell>
          <cell r="F815">
            <v>0.66355327842433121</v>
          </cell>
          <cell r="G815">
            <v>0</v>
          </cell>
        </row>
        <row r="816">
          <cell r="A816" t="str">
            <v>503 2015 10 1212 00002</v>
          </cell>
          <cell r="B816">
            <v>1</v>
          </cell>
          <cell r="C816">
            <v>42103.583715277775</v>
          </cell>
          <cell r="D816">
            <v>0.31716432009892936</v>
          </cell>
          <cell r="E816">
            <v>0</v>
          </cell>
          <cell r="F816">
            <v>0.68283567990107064</v>
          </cell>
          <cell r="G816">
            <v>0</v>
          </cell>
        </row>
        <row r="817">
          <cell r="A817" t="str">
            <v>505 2013 10 1212 00001</v>
          </cell>
          <cell r="B817">
            <v>1</v>
          </cell>
          <cell r="C817">
            <v>41640.68277777778</v>
          </cell>
          <cell r="D817">
            <v>1</v>
          </cell>
          <cell r="E817">
            <v>0</v>
          </cell>
          <cell r="F817">
            <v>0</v>
          </cell>
          <cell r="G817">
            <v>0</v>
          </cell>
        </row>
        <row r="818">
          <cell r="A818" t="str">
            <v>505 2014 10 1212 00002</v>
          </cell>
          <cell r="B818">
            <v>1</v>
          </cell>
          <cell r="C818">
            <v>42097.498645833337</v>
          </cell>
          <cell r="D818">
            <v>1</v>
          </cell>
          <cell r="E818">
            <v>0</v>
          </cell>
          <cell r="F818">
            <v>0</v>
          </cell>
          <cell r="G818">
            <v>0</v>
          </cell>
        </row>
        <row r="819">
          <cell r="A819" t="str">
            <v>505 2013 10 1212 00001</v>
          </cell>
          <cell r="B819">
            <v>3</v>
          </cell>
          <cell r="C819">
            <v>41740.405543981484</v>
          </cell>
          <cell r="D819">
            <v>1</v>
          </cell>
          <cell r="E819">
            <v>0</v>
          </cell>
          <cell r="F819">
            <v>0</v>
          </cell>
          <cell r="G819">
            <v>0</v>
          </cell>
        </row>
        <row r="820">
          <cell r="A820" t="str">
            <v>505 2013 10 1212 00001</v>
          </cell>
          <cell r="B820">
            <v>5</v>
          </cell>
          <cell r="C820">
            <v>41790.657071759262</v>
          </cell>
          <cell r="D820">
            <v>1</v>
          </cell>
          <cell r="E820">
            <v>0</v>
          </cell>
          <cell r="F820">
            <v>0</v>
          </cell>
          <cell r="G820">
            <v>0</v>
          </cell>
        </row>
        <row r="821">
          <cell r="A821" t="str">
            <v>505 2014 10 1212 00002</v>
          </cell>
          <cell r="B821">
            <v>8</v>
          </cell>
          <cell r="C821">
            <v>41805.771469907406</v>
          </cell>
          <cell r="D821">
            <v>1</v>
          </cell>
          <cell r="E821">
            <v>0</v>
          </cell>
          <cell r="F821">
            <v>0</v>
          </cell>
          <cell r="G821">
            <v>0</v>
          </cell>
        </row>
        <row r="822">
          <cell r="A822" t="str">
            <v>207 2015 10 1212 00001</v>
          </cell>
          <cell r="B822">
            <v>3</v>
          </cell>
          <cell r="C822">
            <v>42095</v>
          </cell>
          <cell r="D822">
            <v>5.4945054945054944E-2</v>
          </cell>
          <cell r="E822">
            <v>0</v>
          </cell>
          <cell r="F822">
            <v>0.94505494505494503</v>
          </cell>
          <cell r="G822">
            <v>0</v>
          </cell>
        </row>
        <row r="823">
          <cell r="A823" t="str">
            <v>207 2015 10 1212 00007</v>
          </cell>
          <cell r="B823">
            <v>6</v>
          </cell>
          <cell r="C823">
            <v>42210.659722222219</v>
          </cell>
          <cell r="D823">
            <v>0.38922595009117966</v>
          </cell>
          <cell r="E823">
            <v>0</v>
          </cell>
          <cell r="F823">
            <v>0.61077404990882034</v>
          </cell>
          <cell r="G823">
            <v>0</v>
          </cell>
        </row>
        <row r="824">
          <cell r="A824" t="str">
            <v>207 2014 10 1212 00007</v>
          </cell>
          <cell r="B824">
            <v>10</v>
          </cell>
          <cell r="C824">
            <v>41946.544895833336</v>
          </cell>
          <cell r="D824">
            <v>0.19395346203050656</v>
          </cell>
          <cell r="E824">
            <v>0</v>
          </cell>
          <cell r="F824">
            <v>0.80604653796949344</v>
          </cell>
          <cell r="G824">
            <v>0</v>
          </cell>
        </row>
        <row r="825">
          <cell r="A825" t="str">
            <v>203 2015 10 1212 00005</v>
          </cell>
          <cell r="B825">
            <v>57</v>
          </cell>
          <cell r="C825">
            <v>42333.509756944448</v>
          </cell>
          <cell r="D825">
            <v>5.9565902215354301E-2</v>
          </cell>
          <cell r="E825">
            <v>0</v>
          </cell>
          <cell r="F825">
            <v>0.83392263101496</v>
          </cell>
          <cell r="G825">
            <v>0.1065114667696857</v>
          </cell>
        </row>
        <row r="826">
          <cell r="A826" t="str">
            <v>203 2013 10 1212 00013</v>
          </cell>
          <cell r="B826">
            <v>58</v>
          </cell>
          <cell r="C826">
            <v>41635.613310185188</v>
          </cell>
          <cell r="D826">
            <v>0.10261154966097075</v>
          </cell>
          <cell r="E826">
            <v>0</v>
          </cell>
          <cell r="F826">
            <v>0.89738845033902925</v>
          </cell>
          <cell r="G826">
            <v>0</v>
          </cell>
        </row>
        <row r="827">
          <cell r="A827" t="str">
            <v>505 2014 10 1211 00006</v>
          </cell>
          <cell r="B827">
            <v>64</v>
          </cell>
          <cell r="C827">
            <v>41821.584189814814</v>
          </cell>
          <cell r="D827">
            <v>5.8823529411764705E-2</v>
          </cell>
          <cell r="E827">
            <v>0</v>
          </cell>
          <cell r="F827">
            <v>0.94117647058823528</v>
          </cell>
          <cell r="G827">
            <v>0</v>
          </cell>
        </row>
        <row r="828">
          <cell r="A828" t="str">
            <v>503 2015 10 1211 00011</v>
          </cell>
          <cell r="B828">
            <v>53</v>
          </cell>
          <cell r="C828">
            <v>42346.371770833335</v>
          </cell>
          <cell r="D828">
            <v>0.23427661275443901</v>
          </cell>
          <cell r="E828">
            <v>0</v>
          </cell>
          <cell r="F828">
            <v>0.76572338724556099</v>
          </cell>
          <cell r="G828">
            <v>0</v>
          </cell>
        </row>
        <row r="829">
          <cell r="A829" t="str">
            <v>504 2014 10 1211 00004</v>
          </cell>
          <cell r="B829">
            <v>1</v>
          </cell>
          <cell r="C829">
            <v>42023.417453703703</v>
          </cell>
          <cell r="D829">
            <v>0.625</v>
          </cell>
          <cell r="E829">
            <v>0</v>
          </cell>
          <cell r="F829">
            <v>0.375</v>
          </cell>
          <cell r="G829">
            <v>0</v>
          </cell>
        </row>
        <row r="830">
          <cell r="A830" t="str">
            <v>504 2014 10 1211 00004</v>
          </cell>
          <cell r="B830">
            <v>2</v>
          </cell>
          <cell r="C830">
            <v>42094.452152777776</v>
          </cell>
          <cell r="D830">
            <v>0.625</v>
          </cell>
          <cell r="E830">
            <v>0</v>
          </cell>
          <cell r="F830">
            <v>0.375</v>
          </cell>
          <cell r="G830">
            <v>0</v>
          </cell>
        </row>
        <row r="831">
          <cell r="A831" t="str">
            <v>504 2012 10 1211 00010</v>
          </cell>
          <cell r="B831">
            <v>5</v>
          </cell>
          <cell r="C831">
            <v>41382.5</v>
          </cell>
          <cell r="D831">
            <v>0.25</v>
          </cell>
          <cell r="E831">
            <v>0</v>
          </cell>
          <cell r="F831">
            <v>0.75</v>
          </cell>
          <cell r="G831">
            <v>0</v>
          </cell>
        </row>
        <row r="832">
          <cell r="A832" t="str">
            <v>504 2014 10 1211 00004</v>
          </cell>
          <cell r="B832">
            <v>5</v>
          </cell>
          <cell r="C832">
            <v>41749.333333333336</v>
          </cell>
          <cell r="D832">
            <v>0.625</v>
          </cell>
          <cell r="E832">
            <v>0</v>
          </cell>
          <cell r="F832">
            <v>0.375</v>
          </cell>
          <cell r="G832">
            <v>0</v>
          </cell>
        </row>
        <row r="833">
          <cell r="A833" t="str">
            <v>504 2015 10 1211 00007</v>
          </cell>
          <cell r="B833">
            <v>5</v>
          </cell>
          <cell r="C833">
            <v>42253.333333333336</v>
          </cell>
          <cell r="D833">
            <v>0.78125</v>
          </cell>
          <cell r="E833">
            <v>0</v>
          </cell>
          <cell r="F833">
            <v>0.21875</v>
          </cell>
          <cell r="G833">
            <v>0</v>
          </cell>
        </row>
        <row r="834">
          <cell r="A834" t="str">
            <v>504 2012 10 1211 00010</v>
          </cell>
          <cell r="B834">
            <v>6</v>
          </cell>
          <cell r="C834">
            <v>41346.416678240741</v>
          </cell>
          <cell r="D834">
            <v>0.25</v>
          </cell>
          <cell r="E834">
            <v>0</v>
          </cell>
          <cell r="F834">
            <v>0.75</v>
          </cell>
          <cell r="G834">
            <v>0</v>
          </cell>
        </row>
        <row r="835">
          <cell r="A835" t="str">
            <v>504 2014 10 1211 00004</v>
          </cell>
          <cell r="B835">
            <v>6</v>
          </cell>
          <cell r="C835">
            <v>41757.375</v>
          </cell>
          <cell r="D835">
            <v>0.625</v>
          </cell>
          <cell r="E835">
            <v>0</v>
          </cell>
          <cell r="F835">
            <v>0.375</v>
          </cell>
          <cell r="G835">
            <v>0</v>
          </cell>
        </row>
        <row r="836">
          <cell r="A836" t="str">
            <v>504 2014 10 1211 00004</v>
          </cell>
          <cell r="B836">
            <v>10</v>
          </cell>
          <cell r="C836">
            <v>41809.333333333336</v>
          </cell>
          <cell r="D836">
            <v>0.625</v>
          </cell>
          <cell r="E836">
            <v>0</v>
          </cell>
          <cell r="F836">
            <v>0.375</v>
          </cell>
          <cell r="G836">
            <v>0</v>
          </cell>
        </row>
        <row r="837">
          <cell r="A837" t="str">
            <v>504 2012 10 1211 00010</v>
          </cell>
          <cell r="B837">
            <v>11</v>
          </cell>
          <cell r="C837">
            <v>41163.553784722222</v>
          </cell>
          <cell r="D837">
            <v>0.25</v>
          </cell>
          <cell r="E837">
            <v>0</v>
          </cell>
          <cell r="F837">
            <v>0.75</v>
          </cell>
          <cell r="G837">
            <v>0</v>
          </cell>
        </row>
        <row r="838">
          <cell r="A838" t="str">
            <v>504 2014 10 1211 00004</v>
          </cell>
          <cell r="B838">
            <v>11</v>
          </cell>
          <cell r="C838">
            <v>41865.451643518521</v>
          </cell>
          <cell r="D838">
            <v>0.625</v>
          </cell>
          <cell r="E838">
            <v>0</v>
          </cell>
          <cell r="F838">
            <v>0.375</v>
          </cell>
          <cell r="G838">
            <v>0</v>
          </cell>
        </row>
        <row r="839">
          <cell r="A839" t="str">
            <v>203 2014 10 1212 00009</v>
          </cell>
          <cell r="B839">
            <v>121</v>
          </cell>
          <cell r="C839">
            <v>41995.446203703701</v>
          </cell>
          <cell r="D839">
            <v>5.9565902215354273E-2</v>
          </cell>
          <cell r="E839">
            <v>0</v>
          </cell>
          <cell r="F839">
            <v>0.83392263101495978</v>
          </cell>
          <cell r="G839">
            <v>0.10651146676968593</v>
          </cell>
        </row>
        <row r="840">
          <cell r="A840" t="str">
            <v>203 2014 10 1212 00011</v>
          </cell>
          <cell r="B840">
            <v>122</v>
          </cell>
          <cell r="C840">
            <v>42001.355416666665</v>
          </cell>
          <cell r="D840">
            <v>0.2155046172804585</v>
          </cell>
          <cell r="E840">
            <v>0</v>
          </cell>
          <cell r="F840">
            <v>0.78449538271954156</v>
          </cell>
          <cell r="G840">
            <v>0</v>
          </cell>
        </row>
        <row r="841">
          <cell r="A841" t="str">
            <v>205 2013 10 1212 00013</v>
          </cell>
          <cell r="B841">
            <v>12</v>
          </cell>
          <cell r="C841">
            <v>41590.435682870368</v>
          </cell>
          <cell r="D841">
            <v>1</v>
          </cell>
          <cell r="E841">
            <v>0</v>
          </cell>
          <cell r="F841">
            <v>0</v>
          </cell>
          <cell r="G841">
            <v>0</v>
          </cell>
        </row>
        <row r="842">
          <cell r="A842" t="str">
            <v>205 2014 10 1212 00002</v>
          </cell>
          <cell r="B842">
            <v>12</v>
          </cell>
          <cell r="C842">
            <v>41882.625960648147</v>
          </cell>
          <cell r="D842">
            <v>0.26906603940095325</v>
          </cell>
          <cell r="E842">
            <v>0</v>
          </cell>
          <cell r="F842">
            <v>0.73093396059904681</v>
          </cell>
          <cell r="G842">
            <v>0</v>
          </cell>
        </row>
        <row r="843">
          <cell r="A843" t="str">
            <v>205 2014 10 1212 00020</v>
          </cell>
          <cell r="B843">
            <v>18</v>
          </cell>
          <cell r="C843">
            <v>41970.572928240741</v>
          </cell>
          <cell r="D843">
            <v>7.7510167556295445E-2</v>
          </cell>
          <cell r="E843">
            <v>0</v>
          </cell>
          <cell r="F843">
            <v>0.92248983244370453</v>
          </cell>
          <cell r="G843">
            <v>0</v>
          </cell>
        </row>
        <row r="844">
          <cell r="A844" t="str">
            <v>503 2015 10 1212 00002</v>
          </cell>
          <cell r="B844">
            <v>15</v>
          </cell>
          <cell r="C844">
            <v>42311.312893518516</v>
          </cell>
          <cell r="D844">
            <v>0.31716432009892936</v>
          </cell>
          <cell r="E844">
            <v>0</v>
          </cell>
          <cell r="F844">
            <v>0.68283567990107064</v>
          </cell>
          <cell r="G844">
            <v>0</v>
          </cell>
        </row>
        <row r="845">
          <cell r="A845" t="str">
            <v>505 2015 10 1212 00003</v>
          </cell>
          <cell r="B845">
            <v>3</v>
          </cell>
          <cell r="C845">
            <v>42251.718113425923</v>
          </cell>
          <cell r="D845">
            <v>0.71578119925836925</v>
          </cell>
          <cell r="E845">
            <v>0</v>
          </cell>
          <cell r="F845">
            <v>0.28421880074163081</v>
          </cell>
          <cell r="G845">
            <v>0</v>
          </cell>
        </row>
        <row r="846">
          <cell r="A846" t="str">
            <v>505 2014 10 1212 00002</v>
          </cell>
          <cell r="B846">
            <v>7</v>
          </cell>
          <cell r="C846">
            <v>41806.664074074077</v>
          </cell>
          <cell r="D846">
            <v>1</v>
          </cell>
          <cell r="E846">
            <v>0</v>
          </cell>
          <cell r="F846">
            <v>0</v>
          </cell>
          <cell r="G846">
            <v>0</v>
          </cell>
        </row>
        <row r="847">
          <cell r="A847" t="str">
            <v>110 2015 11 1212 00001</v>
          </cell>
          <cell r="B847">
            <v>1</v>
          </cell>
          <cell r="C847">
            <v>42223.668634259258</v>
          </cell>
          <cell r="D847">
            <v>1</v>
          </cell>
          <cell r="E847">
            <v>0</v>
          </cell>
          <cell r="F847">
            <v>0</v>
          </cell>
          <cell r="G847">
            <v>0</v>
          </cell>
        </row>
        <row r="848">
          <cell r="A848" t="str">
            <v>110 2014 11 1212 00001</v>
          </cell>
          <cell r="B848">
            <v>3</v>
          </cell>
          <cell r="C848">
            <v>41972.335034722222</v>
          </cell>
          <cell r="D848">
            <v>0.19263368777931886</v>
          </cell>
          <cell r="E848">
            <v>0</v>
          </cell>
          <cell r="F848">
            <v>0.80736631222068111</v>
          </cell>
          <cell r="G848">
            <v>0</v>
          </cell>
        </row>
        <row r="849">
          <cell r="A849" t="str">
            <v>210 2015 10 1212 00004</v>
          </cell>
          <cell r="B849">
            <v>21</v>
          </cell>
          <cell r="C849">
            <v>42247.602858796294</v>
          </cell>
          <cell r="D849">
            <v>9.3290220796516332E-2</v>
          </cell>
          <cell r="E849">
            <v>0</v>
          </cell>
          <cell r="F849">
            <v>0.90670977920348361</v>
          </cell>
          <cell r="G849">
            <v>0</v>
          </cell>
        </row>
        <row r="850">
          <cell r="A850" t="str">
            <v>203 2013 10 1212 00001</v>
          </cell>
          <cell r="B850">
            <v>41</v>
          </cell>
          <cell r="C850">
            <v>41527.489039351851</v>
          </cell>
          <cell r="D850">
            <v>0.46548974499959167</v>
          </cell>
          <cell r="E850">
            <v>0</v>
          </cell>
          <cell r="F850">
            <v>0.53451025500040839</v>
          </cell>
          <cell r="G850">
            <v>0</v>
          </cell>
        </row>
        <row r="851">
          <cell r="A851" t="str">
            <v>505 2014 10 1211 00020</v>
          </cell>
          <cell r="B851">
            <v>82</v>
          </cell>
          <cell r="C851">
            <v>41940</v>
          </cell>
          <cell r="D851">
            <v>0.28486827155001443</v>
          </cell>
          <cell r="E851">
            <v>0</v>
          </cell>
          <cell r="F851">
            <v>0.71513172844998563</v>
          </cell>
          <cell r="G851">
            <v>0</v>
          </cell>
        </row>
        <row r="852">
          <cell r="A852" t="str">
            <v>505 2014 10 1211 00012</v>
          </cell>
          <cell r="B852">
            <v>83</v>
          </cell>
          <cell r="C852">
            <v>41940</v>
          </cell>
          <cell r="D852">
            <v>1</v>
          </cell>
          <cell r="E852">
            <v>0</v>
          </cell>
          <cell r="F852">
            <v>0</v>
          </cell>
          <cell r="G852">
            <v>0</v>
          </cell>
        </row>
        <row r="853">
          <cell r="A853" t="str">
            <v>505 2014 10 1211 00023</v>
          </cell>
          <cell r="B853">
            <v>84</v>
          </cell>
          <cell r="C853">
            <v>41940</v>
          </cell>
          <cell r="D853">
            <v>0.32341549364147415</v>
          </cell>
          <cell r="E853">
            <v>0</v>
          </cell>
          <cell r="F853">
            <v>0.67658450635852585</v>
          </cell>
          <cell r="G853">
            <v>0</v>
          </cell>
        </row>
        <row r="854">
          <cell r="A854" t="str">
            <v>505 2014 10 1211 00006</v>
          </cell>
          <cell r="B854">
            <v>85</v>
          </cell>
          <cell r="C854">
            <v>41938</v>
          </cell>
          <cell r="D854">
            <v>5.8823529411764705E-2</v>
          </cell>
          <cell r="E854">
            <v>0</v>
          </cell>
          <cell r="F854">
            <v>0.94117647058823528</v>
          </cell>
          <cell r="G854">
            <v>0</v>
          </cell>
        </row>
        <row r="855">
          <cell r="A855" t="str">
            <v>505 2014 10 1211 00006</v>
          </cell>
          <cell r="B855">
            <v>86</v>
          </cell>
          <cell r="C855">
            <v>41942</v>
          </cell>
          <cell r="D855">
            <v>5.8823529411764705E-2</v>
          </cell>
          <cell r="E855">
            <v>0</v>
          </cell>
          <cell r="F855">
            <v>0.94117647058823528</v>
          </cell>
          <cell r="G855">
            <v>0</v>
          </cell>
        </row>
        <row r="856">
          <cell r="A856" t="str">
            <v>505 2014 10 1211 00006</v>
          </cell>
          <cell r="B856">
            <v>91</v>
          </cell>
          <cell r="C856">
            <v>41954.645451388889</v>
          </cell>
          <cell r="D856">
            <v>5.8823529411764705E-2</v>
          </cell>
          <cell r="E856">
            <v>0</v>
          </cell>
          <cell r="F856">
            <v>0.94117647058823528</v>
          </cell>
          <cell r="G856">
            <v>0</v>
          </cell>
        </row>
        <row r="857">
          <cell r="A857" t="str">
            <v>505 2014 10 1211 00020</v>
          </cell>
          <cell r="B857">
            <v>92</v>
          </cell>
          <cell r="C857">
            <v>41963</v>
          </cell>
          <cell r="D857">
            <v>0.28486827155001443</v>
          </cell>
          <cell r="E857">
            <v>0</v>
          </cell>
          <cell r="F857">
            <v>0.71513172844998563</v>
          </cell>
          <cell r="G857">
            <v>0</v>
          </cell>
        </row>
        <row r="858">
          <cell r="A858" t="str">
            <v>505 2014 10 1211 00007</v>
          </cell>
          <cell r="B858">
            <v>93</v>
          </cell>
          <cell r="C858">
            <v>41961</v>
          </cell>
          <cell r="D858">
            <v>1</v>
          </cell>
          <cell r="E858">
            <v>0</v>
          </cell>
          <cell r="F858">
            <v>0</v>
          </cell>
          <cell r="G858">
            <v>0</v>
          </cell>
        </row>
        <row r="859">
          <cell r="A859" t="str">
            <v>505 2014 10 1211 00011</v>
          </cell>
          <cell r="B859">
            <v>94</v>
          </cell>
          <cell r="C859">
            <v>41967</v>
          </cell>
          <cell r="D859">
            <v>1</v>
          </cell>
          <cell r="E859">
            <v>0</v>
          </cell>
          <cell r="F859">
            <v>0</v>
          </cell>
          <cell r="G859">
            <v>0</v>
          </cell>
        </row>
        <row r="860">
          <cell r="A860" t="str">
            <v>505 2014 10 1211 00023</v>
          </cell>
          <cell r="B860">
            <v>95</v>
          </cell>
          <cell r="C860">
            <v>41961.791666666664</v>
          </cell>
          <cell r="D860">
            <v>0.32341549364147415</v>
          </cell>
          <cell r="E860">
            <v>0</v>
          </cell>
          <cell r="F860">
            <v>0.67658450635852585</v>
          </cell>
          <cell r="G860">
            <v>0</v>
          </cell>
        </row>
        <row r="861">
          <cell r="A861" t="str">
            <v>505 2014 10 1211 00023</v>
          </cell>
          <cell r="B861">
            <v>96</v>
          </cell>
          <cell r="C861">
            <v>41961.791666666664</v>
          </cell>
          <cell r="D861">
            <v>0.32341549364147415</v>
          </cell>
          <cell r="E861">
            <v>0</v>
          </cell>
          <cell r="F861">
            <v>0.67658450635852585</v>
          </cell>
          <cell r="G861">
            <v>0</v>
          </cell>
        </row>
        <row r="862">
          <cell r="A862" t="str">
            <v>505 2014 10 1211 00006</v>
          </cell>
          <cell r="B862">
            <v>97</v>
          </cell>
          <cell r="C862">
            <v>41965</v>
          </cell>
          <cell r="D862">
            <v>5.8823529411764705E-2</v>
          </cell>
          <cell r="E862">
            <v>0</v>
          </cell>
          <cell r="F862">
            <v>0.94117647058823528</v>
          </cell>
          <cell r="G862">
            <v>0</v>
          </cell>
        </row>
        <row r="863">
          <cell r="A863" t="str">
            <v>203 2015 10 1212 00009</v>
          </cell>
          <cell r="B863">
            <v>41</v>
          </cell>
          <cell r="C863">
            <v>42276.503194444442</v>
          </cell>
          <cell r="D863">
            <v>0.1419713052099309</v>
          </cell>
          <cell r="E863">
            <v>0</v>
          </cell>
          <cell r="F863">
            <v>0.85802869479006916</v>
          </cell>
          <cell r="G863">
            <v>0</v>
          </cell>
        </row>
        <row r="864">
          <cell r="A864" t="str">
            <v>203 2015 10 1212 00005</v>
          </cell>
          <cell r="B864">
            <v>42</v>
          </cell>
          <cell r="C864">
            <v>42276.637083333335</v>
          </cell>
          <cell r="D864">
            <v>5.9565902215354301E-2</v>
          </cell>
          <cell r="E864">
            <v>0</v>
          </cell>
          <cell r="F864">
            <v>0.83392263101496</v>
          </cell>
          <cell r="G864">
            <v>0.1065114667696857</v>
          </cell>
        </row>
        <row r="865">
          <cell r="A865" t="str">
            <v>203 2014 10 1212 00010</v>
          </cell>
          <cell r="B865">
            <v>97</v>
          </cell>
          <cell r="C865">
            <v>41898.601655092592</v>
          </cell>
          <cell r="D865">
            <v>7.1108383038868087E-2</v>
          </cell>
          <cell r="E865">
            <v>0</v>
          </cell>
          <cell r="F865">
            <v>0.92889161696113187</v>
          </cell>
          <cell r="G865">
            <v>0</v>
          </cell>
        </row>
        <row r="866">
          <cell r="A866" t="str">
            <v>203 2014 10 1212 00002</v>
          </cell>
          <cell r="B866">
            <v>98</v>
          </cell>
          <cell r="C866">
            <v>41910.621296296296</v>
          </cell>
          <cell r="D866">
            <v>6.9160007392485526E-2</v>
          </cell>
          <cell r="E866">
            <v>0</v>
          </cell>
          <cell r="F866">
            <v>0.93083999260751449</v>
          </cell>
          <cell r="G866">
            <v>0</v>
          </cell>
        </row>
        <row r="867">
          <cell r="A867" t="str">
            <v>503 2014 10 1212 00003</v>
          </cell>
          <cell r="B867">
            <v>3</v>
          </cell>
          <cell r="C867">
            <v>42109.625</v>
          </cell>
          <cell r="D867">
            <v>0.1539408866995074</v>
          </cell>
          <cell r="E867">
            <v>0</v>
          </cell>
          <cell r="F867">
            <v>0.84605911330049266</v>
          </cell>
          <cell r="G867">
            <v>0</v>
          </cell>
        </row>
        <row r="868">
          <cell r="A868" t="str">
            <v>503 2015 10 1212 00003</v>
          </cell>
          <cell r="B868">
            <v>8</v>
          </cell>
          <cell r="C868">
            <v>42205.916666666664</v>
          </cell>
          <cell r="D868">
            <v>0.2001231527093596</v>
          </cell>
          <cell r="E868">
            <v>0</v>
          </cell>
          <cell r="F868">
            <v>0.79987684729064035</v>
          </cell>
          <cell r="G868">
            <v>0</v>
          </cell>
        </row>
        <row r="869">
          <cell r="A869" t="str">
            <v>503 2015 10 1212 00003</v>
          </cell>
          <cell r="B869">
            <v>16</v>
          </cell>
          <cell r="C869">
            <v>42338.375</v>
          </cell>
          <cell r="D869">
            <v>0.2001231527093596</v>
          </cell>
          <cell r="E869">
            <v>0</v>
          </cell>
          <cell r="F869">
            <v>0.79987684729064035</v>
          </cell>
          <cell r="G869">
            <v>0</v>
          </cell>
        </row>
        <row r="870">
          <cell r="A870" t="str">
            <v>210 2015 10 1212 00004</v>
          </cell>
          <cell r="B870">
            <v>27</v>
          </cell>
          <cell r="C870">
            <v>42302.083333333336</v>
          </cell>
          <cell r="D870">
            <v>9.3290220796516332E-2</v>
          </cell>
          <cell r="E870">
            <v>0</v>
          </cell>
          <cell r="F870">
            <v>0.90670977920348361</v>
          </cell>
          <cell r="G870">
            <v>0</v>
          </cell>
        </row>
        <row r="871">
          <cell r="A871" t="str">
            <v>210 2015 10 1212 00008</v>
          </cell>
          <cell r="B871">
            <v>10</v>
          </cell>
          <cell r="C871">
            <v>42136.455625000002</v>
          </cell>
          <cell r="D871">
            <v>0.11717679910345501</v>
          </cell>
          <cell r="E871">
            <v>0</v>
          </cell>
          <cell r="F871">
            <v>0.88282320089654498</v>
          </cell>
          <cell r="G871">
            <v>0</v>
          </cell>
        </row>
        <row r="872">
          <cell r="A872" t="str">
            <v>210 2015 10 1212 00014</v>
          </cell>
          <cell r="B872">
            <v>28</v>
          </cell>
          <cell r="C872">
            <v>42047.482071759259</v>
          </cell>
          <cell r="D872">
            <v>0.94141294848821266</v>
          </cell>
          <cell r="E872">
            <v>0</v>
          </cell>
          <cell r="F872">
            <v>5.8587051511787287E-2</v>
          </cell>
          <cell r="G872">
            <v>0</v>
          </cell>
        </row>
        <row r="873">
          <cell r="A873" t="str">
            <v>210 2015 10 1212 00014</v>
          </cell>
          <cell r="B873">
            <v>29</v>
          </cell>
          <cell r="C873">
            <v>42085.508194444446</v>
          </cell>
          <cell r="D873">
            <v>0.94141294848821266</v>
          </cell>
          <cell r="E873">
            <v>0</v>
          </cell>
          <cell r="F873">
            <v>5.8587051511787287E-2</v>
          </cell>
          <cell r="G873">
            <v>0</v>
          </cell>
        </row>
        <row r="874">
          <cell r="A874" t="str">
            <v>210 2014 10 1212 00004</v>
          </cell>
          <cell r="B874">
            <v>2</v>
          </cell>
          <cell r="C874">
            <v>41910</v>
          </cell>
          <cell r="D874">
            <v>8.0742834073475975E-2</v>
          </cell>
          <cell r="E874">
            <v>0</v>
          </cell>
          <cell r="F874">
            <v>0.91925716592652407</v>
          </cell>
          <cell r="G874">
            <v>0</v>
          </cell>
        </row>
        <row r="875">
          <cell r="A875" t="str">
            <v>505 2014 10 1211 00012</v>
          </cell>
          <cell r="B875">
            <v>98</v>
          </cell>
          <cell r="C875">
            <v>41972</v>
          </cell>
          <cell r="D875">
            <v>1</v>
          </cell>
          <cell r="E875">
            <v>0</v>
          </cell>
          <cell r="F875">
            <v>0</v>
          </cell>
          <cell r="G875">
            <v>0</v>
          </cell>
        </row>
        <row r="876">
          <cell r="A876" t="str">
            <v>505 2014 10 1211 00006</v>
          </cell>
          <cell r="B876">
            <v>99</v>
          </cell>
          <cell r="C876">
            <v>41972</v>
          </cell>
          <cell r="D876">
            <v>5.8823529411764705E-2</v>
          </cell>
          <cell r="E876">
            <v>0</v>
          </cell>
          <cell r="F876">
            <v>0.94117647058823528</v>
          </cell>
          <cell r="G876">
            <v>0</v>
          </cell>
        </row>
        <row r="877">
          <cell r="A877" t="str">
            <v>505 2014 10 1211 00023</v>
          </cell>
          <cell r="B877">
            <v>100</v>
          </cell>
          <cell r="C877">
            <v>41971</v>
          </cell>
          <cell r="D877">
            <v>0.32341549364147415</v>
          </cell>
          <cell r="E877">
            <v>0</v>
          </cell>
          <cell r="F877">
            <v>0.67658450635852585</v>
          </cell>
          <cell r="G877">
            <v>0</v>
          </cell>
        </row>
        <row r="878">
          <cell r="A878" t="str">
            <v>505 2013 11 1211 00001</v>
          </cell>
          <cell r="B878">
            <v>65</v>
          </cell>
          <cell r="C878">
            <v>41591</v>
          </cell>
          <cell r="D878">
            <v>0.31290076486414181</v>
          </cell>
          <cell r="E878">
            <v>0</v>
          </cell>
          <cell r="F878">
            <v>0.68709923513585824</v>
          </cell>
          <cell r="G878">
            <v>0</v>
          </cell>
        </row>
        <row r="879">
          <cell r="A879" t="str">
            <v>505 2014 10 1211 00022</v>
          </cell>
          <cell r="B879">
            <v>65</v>
          </cell>
          <cell r="C879">
            <v>41830.597291666665</v>
          </cell>
          <cell r="D879">
            <v>0.32341549364147415</v>
          </cell>
          <cell r="E879">
            <v>0</v>
          </cell>
          <cell r="F879">
            <v>0.67658450635852585</v>
          </cell>
          <cell r="G879">
            <v>0</v>
          </cell>
        </row>
        <row r="880">
          <cell r="A880" t="str">
            <v>505 2014 10 1211 00006</v>
          </cell>
          <cell r="B880">
            <v>71</v>
          </cell>
          <cell r="C880">
            <v>41877.529629629629</v>
          </cell>
          <cell r="D880">
            <v>5.8823529411764705E-2</v>
          </cell>
          <cell r="E880">
            <v>0</v>
          </cell>
          <cell r="F880">
            <v>0.94117647058823528</v>
          </cell>
          <cell r="G880">
            <v>0</v>
          </cell>
        </row>
        <row r="881">
          <cell r="A881" t="str">
            <v>505 2013 10 1211 00007</v>
          </cell>
          <cell r="B881">
            <v>76</v>
          </cell>
          <cell r="C881">
            <v>41626</v>
          </cell>
          <cell r="D881">
            <v>0.33944331296673458</v>
          </cell>
          <cell r="E881">
            <v>0</v>
          </cell>
          <cell r="F881">
            <v>0.66055668703326542</v>
          </cell>
          <cell r="G881">
            <v>0</v>
          </cell>
        </row>
        <row r="882">
          <cell r="A882" t="str">
            <v>505 2014 10 1211 00021</v>
          </cell>
          <cell r="B882">
            <v>76</v>
          </cell>
          <cell r="C882">
            <v>41900.458333333336</v>
          </cell>
          <cell r="D882">
            <v>0.32018465012912267</v>
          </cell>
          <cell r="E882">
            <v>0</v>
          </cell>
          <cell r="F882">
            <v>0.67981534987087733</v>
          </cell>
          <cell r="G882">
            <v>0</v>
          </cell>
        </row>
        <row r="883">
          <cell r="A883" t="str">
            <v>505 2014 10 1211 00006</v>
          </cell>
          <cell r="B883">
            <v>77</v>
          </cell>
          <cell r="C883">
            <v>41898</v>
          </cell>
          <cell r="D883">
            <v>5.8823529411764705E-2</v>
          </cell>
          <cell r="E883">
            <v>0</v>
          </cell>
          <cell r="F883">
            <v>0.94117647058823528</v>
          </cell>
          <cell r="G883">
            <v>0</v>
          </cell>
        </row>
        <row r="884">
          <cell r="A884" t="str">
            <v>505 2014 10 1211 00009</v>
          </cell>
          <cell r="B884">
            <v>78</v>
          </cell>
          <cell r="C884">
            <v>41911</v>
          </cell>
          <cell r="D884">
            <v>1</v>
          </cell>
          <cell r="E884">
            <v>0</v>
          </cell>
          <cell r="F884">
            <v>0</v>
          </cell>
          <cell r="G884">
            <v>0</v>
          </cell>
        </row>
        <row r="885">
          <cell r="A885" t="str">
            <v>505 2014 10 1211 00006</v>
          </cell>
          <cell r="B885">
            <v>103</v>
          </cell>
          <cell r="C885">
            <v>41975</v>
          </cell>
          <cell r="D885">
            <v>5.8823529411764705E-2</v>
          </cell>
          <cell r="E885">
            <v>0</v>
          </cell>
          <cell r="F885">
            <v>0.94117647058823528</v>
          </cell>
          <cell r="G885">
            <v>0</v>
          </cell>
        </row>
        <row r="886">
          <cell r="A886" t="str">
            <v>505 2014 10 1211 00020</v>
          </cell>
          <cell r="B886">
            <v>104</v>
          </cell>
          <cell r="C886">
            <v>41980</v>
          </cell>
          <cell r="D886">
            <v>0.28486827155001443</v>
          </cell>
          <cell r="E886">
            <v>0</v>
          </cell>
          <cell r="F886">
            <v>0.71513172844998563</v>
          </cell>
          <cell r="G886">
            <v>0</v>
          </cell>
        </row>
        <row r="887">
          <cell r="A887" t="str">
            <v>505 2014 10 1211 00036</v>
          </cell>
          <cell r="B887">
            <v>105</v>
          </cell>
          <cell r="C887">
            <v>41980</v>
          </cell>
          <cell r="D887">
            <v>1</v>
          </cell>
          <cell r="E887">
            <v>0</v>
          </cell>
          <cell r="F887">
            <v>0</v>
          </cell>
          <cell r="G887">
            <v>0</v>
          </cell>
        </row>
        <row r="888">
          <cell r="A888" t="str">
            <v>505 2014 10 1211 00019</v>
          </cell>
          <cell r="B888">
            <v>106</v>
          </cell>
          <cell r="C888">
            <v>41982</v>
          </cell>
          <cell r="D888">
            <v>0.77524408715132775</v>
          </cell>
          <cell r="E888">
            <v>0</v>
          </cell>
          <cell r="F888">
            <v>0.22475591284867225</v>
          </cell>
          <cell r="G888">
            <v>0</v>
          </cell>
        </row>
        <row r="889">
          <cell r="A889" t="str">
            <v>505 2014 10 1211 00006</v>
          </cell>
          <cell r="B889">
            <v>107</v>
          </cell>
          <cell r="C889">
            <v>41983</v>
          </cell>
          <cell r="D889">
            <v>5.8823529411764705E-2</v>
          </cell>
          <cell r="E889">
            <v>0</v>
          </cell>
          <cell r="F889">
            <v>0.94117647058823528</v>
          </cell>
          <cell r="G889">
            <v>0</v>
          </cell>
        </row>
        <row r="890">
          <cell r="A890" t="str">
            <v>505 2014 10 1211 00012</v>
          </cell>
          <cell r="B890">
            <v>108</v>
          </cell>
          <cell r="C890">
            <v>41986</v>
          </cell>
          <cell r="D890">
            <v>1</v>
          </cell>
          <cell r="E890">
            <v>0</v>
          </cell>
          <cell r="F890">
            <v>0</v>
          </cell>
          <cell r="G890">
            <v>0</v>
          </cell>
        </row>
        <row r="891">
          <cell r="A891" t="str">
            <v>503 2014 10 1211 00002</v>
          </cell>
          <cell r="B891">
            <v>60</v>
          </cell>
          <cell r="C891">
            <v>41990.44872685185</v>
          </cell>
          <cell r="D891">
            <v>0.23427661275443901</v>
          </cell>
          <cell r="E891">
            <v>0</v>
          </cell>
          <cell r="F891">
            <v>0.76572338724556099</v>
          </cell>
          <cell r="G891">
            <v>0</v>
          </cell>
        </row>
        <row r="892">
          <cell r="A892" t="str">
            <v>505 2014 10 1211 00022</v>
          </cell>
          <cell r="B892">
            <v>32</v>
          </cell>
          <cell r="C892">
            <v>41737</v>
          </cell>
          <cell r="D892">
            <v>0.32341549364147415</v>
          </cell>
          <cell r="E892">
            <v>0</v>
          </cell>
          <cell r="F892">
            <v>0.67658450635852585</v>
          </cell>
          <cell r="G892">
            <v>0</v>
          </cell>
        </row>
        <row r="893">
          <cell r="A893" t="str">
            <v>505 2014 10 1211 00006</v>
          </cell>
          <cell r="B893">
            <v>33</v>
          </cell>
          <cell r="C893">
            <v>41737</v>
          </cell>
          <cell r="D893">
            <v>5.8823529411764705E-2</v>
          </cell>
          <cell r="E893">
            <v>0</v>
          </cell>
          <cell r="F893">
            <v>0.94117647058823528</v>
          </cell>
          <cell r="G893">
            <v>0</v>
          </cell>
        </row>
        <row r="894">
          <cell r="A894" t="str">
            <v>505 2014 10 1211 00006</v>
          </cell>
          <cell r="B894">
            <v>56</v>
          </cell>
          <cell r="C894">
            <v>41802</v>
          </cell>
          <cell r="D894">
            <v>5.8823529411764705E-2</v>
          </cell>
          <cell r="E894">
            <v>0</v>
          </cell>
          <cell r="F894">
            <v>0.94117647058823528</v>
          </cell>
          <cell r="G894">
            <v>0</v>
          </cell>
        </row>
        <row r="895">
          <cell r="A895" t="str">
            <v>505 2014 10 1211 00020</v>
          </cell>
          <cell r="B895">
            <v>62</v>
          </cell>
          <cell r="C895">
            <v>41815.673125000001</v>
          </cell>
          <cell r="D895">
            <v>0.28486827155001443</v>
          </cell>
          <cell r="E895">
            <v>0</v>
          </cell>
          <cell r="F895">
            <v>0.71513172844998563</v>
          </cell>
          <cell r="G895">
            <v>0</v>
          </cell>
        </row>
        <row r="896">
          <cell r="A896" t="str">
            <v>505 2014 10 1211 00006</v>
          </cell>
          <cell r="B896">
            <v>67</v>
          </cell>
          <cell r="C896">
            <v>41837</v>
          </cell>
          <cell r="D896">
            <v>5.8823529411764705E-2</v>
          </cell>
          <cell r="E896">
            <v>0</v>
          </cell>
          <cell r="F896">
            <v>0.94117647058823528</v>
          </cell>
          <cell r="G896">
            <v>0</v>
          </cell>
        </row>
        <row r="897">
          <cell r="A897" t="str">
            <v>505 2014 10 1211 00006</v>
          </cell>
          <cell r="B897">
            <v>68</v>
          </cell>
          <cell r="C897">
            <v>41846.425856481481</v>
          </cell>
          <cell r="D897">
            <v>5.8823529411764705E-2</v>
          </cell>
          <cell r="E897">
            <v>0</v>
          </cell>
          <cell r="F897">
            <v>0.94117647058823528</v>
          </cell>
          <cell r="G897">
            <v>0</v>
          </cell>
        </row>
        <row r="898">
          <cell r="A898" t="str">
            <v>505 2014 10 1211 00006</v>
          </cell>
          <cell r="B898">
            <v>69</v>
          </cell>
          <cell r="C898">
            <v>41853.429652777777</v>
          </cell>
          <cell r="D898">
            <v>5.8823529411764705E-2</v>
          </cell>
          <cell r="E898">
            <v>0</v>
          </cell>
          <cell r="F898">
            <v>0.94117647058823528</v>
          </cell>
          <cell r="G898">
            <v>0</v>
          </cell>
        </row>
        <row r="899">
          <cell r="A899" t="str">
            <v>505 2014 10 1211 00023</v>
          </cell>
          <cell r="B899">
            <v>73</v>
          </cell>
          <cell r="C899">
            <v>41892</v>
          </cell>
          <cell r="D899">
            <v>0.32341549364147415</v>
          </cell>
          <cell r="E899">
            <v>0</v>
          </cell>
          <cell r="F899">
            <v>0.67658450635852585</v>
          </cell>
          <cell r="G899">
            <v>0</v>
          </cell>
        </row>
        <row r="900">
          <cell r="A900" t="str">
            <v>505 2014 10 1211 00011</v>
          </cell>
          <cell r="B900">
            <v>75</v>
          </cell>
          <cell r="C900">
            <v>41901.645752314813</v>
          </cell>
          <cell r="D900">
            <v>1</v>
          </cell>
          <cell r="E900">
            <v>0</v>
          </cell>
          <cell r="F900">
            <v>0</v>
          </cell>
          <cell r="G900">
            <v>0</v>
          </cell>
        </row>
        <row r="901">
          <cell r="A901" t="str">
            <v>505 2014 10 1211 00020</v>
          </cell>
          <cell r="B901">
            <v>79</v>
          </cell>
          <cell r="C901">
            <v>41924</v>
          </cell>
          <cell r="D901">
            <v>0.28486827155001443</v>
          </cell>
          <cell r="E901">
            <v>0</v>
          </cell>
          <cell r="F901">
            <v>0.71513172844998563</v>
          </cell>
          <cell r="G901">
            <v>0</v>
          </cell>
        </row>
        <row r="902">
          <cell r="A902" t="str">
            <v>505 2014 10 1211 00012</v>
          </cell>
          <cell r="B902">
            <v>87</v>
          </cell>
          <cell r="C902">
            <v>41947</v>
          </cell>
          <cell r="D902">
            <v>1</v>
          </cell>
          <cell r="E902">
            <v>0</v>
          </cell>
          <cell r="F902">
            <v>0</v>
          </cell>
          <cell r="G902">
            <v>0</v>
          </cell>
        </row>
        <row r="903">
          <cell r="A903" t="str">
            <v>505 2014 10 1211 00020</v>
          </cell>
          <cell r="B903">
            <v>88</v>
          </cell>
          <cell r="C903">
            <v>41947</v>
          </cell>
          <cell r="D903">
            <v>0.28486827155001443</v>
          </cell>
          <cell r="E903">
            <v>0</v>
          </cell>
          <cell r="F903">
            <v>0.71513172844998563</v>
          </cell>
          <cell r="G903">
            <v>0</v>
          </cell>
        </row>
        <row r="904">
          <cell r="A904" t="str">
            <v>204 2012 10 1211 00003</v>
          </cell>
          <cell r="B904">
            <v>14</v>
          </cell>
          <cell r="C904">
            <v>41149.462650462963</v>
          </cell>
          <cell r="D904">
            <v>1.500104856395851E-2</v>
          </cell>
          <cell r="E904">
            <v>0</v>
          </cell>
          <cell r="F904">
            <v>0.19201342161866891</v>
          </cell>
          <cell r="G904">
            <v>0.79298552981737247</v>
          </cell>
        </row>
        <row r="905">
          <cell r="A905" t="str">
            <v>204 2013 10 1211 00001</v>
          </cell>
          <cell r="B905">
            <v>14</v>
          </cell>
          <cell r="C905">
            <v>41410.369872685187</v>
          </cell>
          <cell r="D905">
            <v>5.8823529411764705E-2</v>
          </cell>
          <cell r="E905">
            <v>0</v>
          </cell>
          <cell r="F905">
            <v>0.94117647058823495</v>
          </cell>
          <cell r="G905">
            <v>0</v>
          </cell>
        </row>
        <row r="906">
          <cell r="A906" t="str">
            <v>503 2015 10 1211 00009</v>
          </cell>
          <cell r="B906">
            <v>8</v>
          </cell>
          <cell r="C906">
            <v>42054.729618055557</v>
          </cell>
          <cell r="D906">
            <v>0.23427661275443901</v>
          </cell>
          <cell r="E906">
            <v>0</v>
          </cell>
          <cell r="F906">
            <v>0.76572338724556099</v>
          </cell>
          <cell r="G906">
            <v>0</v>
          </cell>
        </row>
        <row r="907">
          <cell r="A907" t="str">
            <v>503 2015 10 1211 00021</v>
          </cell>
          <cell r="B907">
            <v>16</v>
          </cell>
          <cell r="C907">
            <v>42091.979317129626</v>
          </cell>
          <cell r="D907">
            <v>0.42735042735042733</v>
          </cell>
          <cell r="E907">
            <v>0</v>
          </cell>
          <cell r="F907">
            <v>0.57264957264957261</v>
          </cell>
          <cell r="G907">
            <v>0</v>
          </cell>
        </row>
        <row r="908">
          <cell r="A908" t="str">
            <v>503 2015 10 1211 00022</v>
          </cell>
          <cell r="B908">
            <v>17</v>
          </cell>
          <cell r="C908">
            <v>42093.791666666664</v>
          </cell>
          <cell r="D908">
            <v>0.93283582089552242</v>
          </cell>
          <cell r="E908">
            <v>0</v>
          </cell>
          <cell r="F908">
            <v>6.7164179104477612E-2</v>
          </cell>
          <cell r="G908">
            <v>0</v>
          </cell>
        </row>
        <row r="909">
          <cell r="A909" t="str">
            <v>503 2015 10 1211 00021</v>
          </cell>
          <cell r="B909">
            <v>18</v>
          </cell>
          <cell r="C909">
            <v>42092.844236111108</v>
          </cell>
          <cell r="D909">
            <v>0.42735042735042733</v>
          </cell>
          <cell r="E909">
            <v>0</v>
          </cell>
          <cell r="F909">
            <v>0.57264957264957261</v>
          </cell>
          <cell r="G909">
            <v>0</v>
          </cell>
        </row>
        <row r="910">
          <cell r="A910" t="str">
            <v>503 2014 10 1211 00009</v>
          </cell>
          <cell r="B910">
            <v>34</v>
          </cell>
          <cell r="C910">
            <v>42222.25</v>
          </cell>
          <cell r="D910">
            <v>0.1539408866995074</v>
          </cell>
          <cell r="E910">
            <v>0</v>
          </cell>
          <cell r="F910">
            <v>0.84605911330049266</v>
          </cell>
          <cell r="G910">
            <v>0</v>
          </cell>
        </row>
        <row r="911">
          <cell r="A911" t="str">
            <v>210 2015 10 1212 00006</v>
          </cell>
          <cell r="B911">
            <v>2</v>
          </cell>
          <cell r="C911">
            <v>42178.63480324074</v>
          </cell>
          <cell r="D911">
            <v>6.4338495692352032E-2</v>
          </cell>
          <cell r="E911">
            <v>0</v>
          </cell>
          <cell r="F911">
            <v>0.93566150430764794</v>
          </cell>
          <cell r="G911">
            <v>0</v>
          </cell>
        </row>
        <row r="912">
          <cell r="A912" t="str">
            <v>210 2015 10 1212 00006</v>
          </cell>
          <cell r="B912">
            <v>6</v>
          </cell>
          <cell r="C912">
            <v>42191.461886574078</v>
          </cell>
          <cell r="D912">
            <v>6.4338495692352032E-2</v>
          </cell>
          <cell r="E912">
            <v>0</v>
          </cell>
          <cell r="F912">
            <v>0.93566150430764794</v>
          </cell>
          <cell r="G912">
            <v>0</v>
          </cell>
        </row>
        <row r="913">
          <cell r="A913" t="str">
            <v>504 2015 10 1212 00003</v>
          </cell>
          <cell r="B913">
            <v>1</v>
          </cell>
          <cell r="C913">
            <v>42186.604166666664</v>
          </cell>
          <cell r="D913">
            <v>5.4945054945054951E-2</v>
          </cell>
          <cell r="E913">
            <v>0</v>
          </cell>
          <cell r="F913">
            <v>0.94505494505494514</v>
          </cell>
          <cell r="G913">
            <v>0</v>
          </cell>
        </row>
        <row r="914">
          <cell r="A914" t="str">
            <v>504 2015 10 1212 00001</v>
          </cell>
          <cell r="B914">
            <v>2</v>
          </cell>
          <cell r="C914">
            <v>42234.322916666664</v>
          </cell>
          <cell r="D914">
            <v>0.1457725947521866</v>
          </cell>
          <cell r="E914">
            <v>0</v>
          </cell>
          <cell r="F914">
            <v>0.85422740524781338</v>
          </cell>
          <cell r="G914">
            <v>0</v>
          </cell>
        </row>
        <row r="915">
          <cell r="A915" t="str">
            <v>504 2013 10 1212 00004</v>
          </cell>
          <cell r="B915">
            <v>3</v>
          </cell>
          <cell r="C915">
            <v>41518.604270833333</v>
          </cell>
          <cell r="D915">
            <v>9.0298477409122488E-2</v>
          </cell>
          <cell r="E915">
            <v>0</v>
          </cell>
          <cell r="F915">
            <v>0.90970152259087755</v>
          </cell>
          <cell r="G915">
            <v>0</v>
          </cell>
        </row>
        <row r="916">
          <cell r="A916" t="str">
            <v>207 2014 10 1212 00008</v>
          </cell>
          <cell r="B916">
            <v>11</v>
          </cell>
          <cell r="C916">
            <v>41984.587812500002</v>
          </cell>
          <cell r="D916">
            <v>1</v>
          </cell>
          <cell r="E916">
            <v>0</v>
          </cell>
          <cell r="F916">
            <v>0</v>
          </cell>
          <cell r="G916">
            <v>0</v>
          </cell>
        </row>
        <row r="917">
          <cell r="A917" t="str">
            <v>207 2013 10 1212 00008</v>
          </cell>
          <cell r="B917">
            <v>13</v>
          </cell>
          <cell r="C917">
            <v>41918.583333333336</v>
          </cell>
          <cell r="D917">
            <v>1</v>
          </cell>
          <cell r="E917">
            <v>0</v>
          </cell>
          <cell r="F917">
            <v>0</v>
          </cell>
          <cell r="G917">
            <v>0</v>
          </cell>
        </row>
        <row r="918">
          <cell r="A918" t="str">
            <v>210 2015 10 1212 00008</v>
          </cell>
          <cell r="B918">
            <v>15</v>
          </cell>
          <cell r="C918">
            <v>42191.608831018515</v>
          </cell>
          <cell r="D918">
            <v>0.11717679910345501</v>
          </cell>
          <cell r="E918">
            <v>0</v>
          </cell>
          <cell r="F918">
            <v>0.88282320089654498</v>
          </cell>
          <cell r="G918">
            <v>0</v>
          </cell>
        </row>
        <row r="919">
          <cell r="A919" t="str">
            <v>210 2014 10 1212 00004</v>
          </cell>
          <cell r="B919">
            <v>3</v>
          </cell>
          <cell r="C919">
            <v>41910</v>
          </cell>
          <cell r="D919">
            <v>8.0742834073475975E-2</v>
          </cell>
          <cell r="E919">
            <v>0</v>
          </cell>
          <cell r="F919">
            <v>0.91925716592652407</v>
          </cell>
          <cell r="G919">
            <v>0</v>
          </cell>
        </row>
        <row r="920">
          <cell r="A920" t="str">
            <v>210 2015 10 1212 00004</v>
          </cell>
          <cell r="B920">
            <v>3</v>
          </cell>
          <cell r="C920">
            <v>42177.503576388888</v>
          </cell>
          <cell r="D920">
            <v>9.3290220796516332E-2</v>
          </cell>
          <cell r="E920">
            <v>0</v>
          </cell>
          <cell r="F920">
            <v>0.90670977920348361</v>
          </cell>
          <cell r="G920">
            <v>0</v>
          </cell>
        </row>
        <row r="921">
          <cell r="A921" t="str">
            <v>210 2014 10 1212 00004</v>
          </cell>
          <cell r="B921">
            <v>4</v>
          </cell>
          <cell r="C921">
            <v>41962</v>
          </cell>
          <cell r="D921">
            <v>8.0742834073475975E-2</v>
          </cell>
          <cell r="E921">
            <v>0</v>
          </cell>
          <cell r="F921">
            <v>0.91925716592652407</v>
          </cell>
          <cell r="G921">
            <v>0</v>
          </cell>
        </row>
        <row r="922">
          <cell r="A922" t="str">
            <v>210 2015 10 1212 00004</v>
          </cell>
          <cell r="B922">
            <v>4</v>
          </cell>
          <cell r="C922">
            <v>42178.50509259259</v>
          </cell>
          <cell r="D922">
            <v>9.3290220796516332E-2</v>
          </cell>
          <cell r="E922">
            <v>0</v>
          </cell>
          <cell r="F922">
            <v>0.90670977920348361</v>
          </cell>
          <cell r="G922">
            <v>0</v>
          </cell>
        </row>
        <row r="923">
          <cell r="A923" t="str">
            <v>503 2014 10 1211 00009</v>
          </cell>
          <cell r="B923">
            <v>35</v>
          </cell>
          <cell r="C923">
            <v>42221.437604166669</v>
          </cell>
          <cell r="D923">
            <v>0.1539408866995074</v>
          </cell>
          <cell r="E923">
            <v>0</v>
          </cell>
          <cell r="F923">
            <v>0.84605911330049266</v>
          </cell>
          <cell r="G923">
            <v>0</v>
          </cell>
        </row>
        <row r="924">
          <cell r="A924" t="str">
            <v>503 2015 10 1211 00012</v>
          </cell>
          <cell r="B924">
            <v>36</v>
          </cell>
          <cell r="C924">
            <v>42244.585370370369</v>
          </cell>
          <cell r="D924">
            <v>1</v>
          </cell>
          <cell r="E924">
            <v>0</v>
          </cell>
          <cell r="F924">
            <v>0</v>
          </cell>
          <cell r="G924">
            <v>0</v>
          </cell>
        </row>
        <row r="925">
          <cell r="A925" t="str">
            <v>503 2014 10 1211 00006</v>
          </cell>
          <cell r="B925">
            <v>58</v>
          </cell>
          <cell r="C925">
            <v>41995.699907407405</v>
          </cell>
          <cell r="D925">
            <v>0.19722841456988308</v>
          </cell>
          <cell r="E925">
            <v>0</v>
          </cell>
          <cell r="F925">
            <v>0.80277158543011695</v>
          </cell>
          <cell r="G925">
            <v>0</v>
          </cell>
        </row>
        <row r="926">
          <cell r="A926" t="str">
            <v>503 2015 10 1211 00018</v>
          </cell>
          <cell r="B926">
            <v>58</v>
          </cell>
          <cell r="C926">
            <v>42359.45349537037</v>
          </cell>
          <cell r="D926">
            <v>0.51546391752577314</v>
          </cell>
          <cell r="E926">
            <v>0</v>
          </cell>
          <cell r="F926">
            <v>0.4845360824742268</v>
          </cell>
          <cell r="G926">
            <v>0</v>
          </cell>
        </row>
        <row r="927">
          <cell r="A927" t="str">
            <v>503 2014 10 1211 00005</v>
          </cell>
          <cell r="B927">
            <v>59</v>
          </cell>
          <cell r="C927">
            <v>41997.625092592592</v>
          </cell>
          <cell r="D927">
            <v>0.21973202882775583</v>
          </cell>
          <cell r="E927">
            <v>0</v>
          </cell>
          <cell r="F927">
            <v>0.78026797117224422</v>
          </cell>
          <cell r="G927">
            <v>0</v>
          </cell>
        </row>
        <row r="928">
          <cell r="A928" t="str">
            <v>503 2015 10 1211 00011</v>
          </cell>
          <cell r="B928">
            <v>59</v>
          </cell>
          <cell r="C928">
            <v>42306.365532407406</v>
          </cell>
          <cell r="D928">
            <v>0.23427661275443901</v>
          </cell>
          <cell r="E928">
            <v>0</v>
          </cell>
          <cell r="F928">
            <v>0.76572338724556099</v>
          </cell>
          <cell r="G928">
            <v>0</v>
          </cell>
        </row>
        <row r="929">
          <cell r="A929" t="str">
            <v>203 2012 10 1211 00011</v>
          </cell>
          <cell r="B929">
            <v>71</v>
          </cell>
          <cell r="C929">
            <v>41274.677523148152</v>
          </cell>
          <cell r="D929">
            <v>5.8823999999999994E-2</v>
          </cell>
          <cell r="E929">
            <v>0</v>
          </cell>
          <cell r="F929">
            <v>0.94117600000000001</v>
          </cell>
          <cell r="G929">
            <v>0</v>
          </cell>
        </row>
        <row r="930">
          <cell r="A930" t="str">
            <v>203 2014 10 1211 00006</v>
          </cell>
          <cell r="B930">
            <v>102</v>
          </cell>
          <cell r="C930">
            <v>41877.582627314812</v>
          </cell>
          <cell r="D930">
            <v>0.28239389219784183</v>
          </cell>
          <cell r="E930">
            <v>0</v>
          </cell>
          <cell r="F930">
            <v>0.71760610780215817</v>
          </cell>
          <cell r="G930">
            <v>0</v>
          </cell>
        </row>
        <row r="931">
          <cell r="A931" t="str">
            <v>203 2014 10 1211 00005</v>
          </cell>
          <cell r="B931">
            <v>140</v>
          </cell>
          <cell r="C931">
            <v>41995.428518518522</v>
          </cell>
          <cell r="D931">
            <v>5.4945054945054951E-2</v>
          </cell>
          <cell r="E931">
            <v>0</v>
          </cell>
          <cell r="F931">
            <v>0.94505494505494503</v>
          </cell>
          <cell r="G931">
            <v>0</v>
          </cell>
        </row>
        <row r="932">
          <cell r="A932" t="str">
            <v>203 2014 10 1211 00005</v>
          </cell>
          <cell r="B932">
            <v>141</v>
          </cell>
          <cell r="C932">
            <v>41996.439791666664</v>
          </cell>
          <cell r="D932">
            <v>5.4945054945054951E-2</v>
          </cell>
          <cell r="E932">
            <v>0</v>
          </cell>
          <cell r="F932">
            <v>0.94505494505494503</v>
          </cell>
          <cell r="G932">
            <v>0</v>
          </cell>
        </row>
        <row r="933">
          <cell r="A933" t="str">
            <v>203 2014 10 1211 00005</v>
          </cell>
          <cell r="B933">
            <v>142</v>
          </cell>
          <cell r="C933">
            <v>41998.443009259259</v>
          </cell>
          <cell r="D933">
            <v>5.4945054945054951E-2</v>
          </cell>
          <cell r="E933">
            <v>0</v>
          </cell>
          <cell r="F933">
            <v>0.94505494505494503</v>
          </cell>
          <cell r="G933">
            <v>0</v>
          </cell>
        </row>
        <row r="934">
          <cell r="A934" t="str">
            <v>204 2012 10 1211 00015</v>
          </cell>
          <cell r="B934">
            <v>6</v>
          </cell>
          <cell r="C934">
            <v>41347.610590277778</v>
          </cell>
          <cell r="D934">
            <v>2.5644042960282325E-2</v>
          </cell>
          <cell r="E934">
            <v>0</v>
          </cell>
          <cell r="F934">
            <v>0.3143559570397228</v>
          </cell>
          <cell r="G934">
            <v>0.65999999999999481</v>
          </cell>
        </row>
        <row r="935">
          <cell r="A935" t="str">
            <v>210 2014 10 1212 00004</v>
          </cell>
          <cell r="B935">
            <v>5</v>
          </cell>
          <cell r="C935">
            <v>41991.4375</v>
          </cell>
          <cell r="D935">
            <v>8.0742834073475975E-2</v>
          </cell>
          <cell r="E935">
            <v>0</v>
          </cell>
          <cell r="F935">
            <v>0.91925716592652407</v>
          </cell>
          <cell r="G935">
            <v>0</v>
          </cell>
        </row>
        <row r="936">
          <cell r="A936" t="str">
            <v>210 2015 10 1212 00008</v>
          </cell>
          <cell r="B936">
            <v>5</v>
          </cell>
          <cell r="C936">
            <v>42012.56690972222</v>
          </cell>
          <cell r="D936">
            <v>0.11717679910345501</v>
          </cell>
          <cell r="E936">
            <v>0</v>
          </cell>
          <cell r="F936">
            <v>0.88282320089654498</v>
          </cell>
          <cell r="G936">
            <v>0</v>
          </cell>
        </row>
        <row r="937">
          <cell r="A937" t="str">
            <v>210 2015 10 1212 00008</v>
          </cell>
          <cell r="B937">
            <v>16</v>
          </cell>
          <cell r="C937">
            <v>42212.616435185184</v>
          </cell>
          <cell r="D937">
            <v>0.11717679910345501</v>
          </cell>
          <cell r="E937">
            <v>0</v>
          </cell>
          <cell r="F937">
            <v>0.88282320089654498</v>
          </cell>
          <cell r="G937">
            <v>0</v>
          </cell>
        </row>
        <row r="938">
          <cell r="A938" t="str">
            <v>210 2015 10 1212 00008</v>
          </cell>
          <cell r="B938">
            <v>17</v>
          </cell>
          <cell r="C938">
            <v>42214.706006944441</v>
          </cell>
          <cell r="D938">
            <v>0.11717679910345501</v>
          </cell>
          <cell r="E938">
            <v>0</v>
          </cell>
          <cell r="F938">
            <v>0.88282320089654498</v>
          </cell>
          <cell r="G938">
            <v>0</v>
          </cell>
        </row>
        <row r="939">
          <cell r="A939" t="str">
            <v>210 2015 10 1212 00001</v>
          </cell>
          <cell r="B939">
            <v>18</v>
          </cell>
          <cell r="C939">
            <v>42253.660763888889</v>
          </cell>
          <cell r="D939">
            <v>0.28635841520845817</v>
          </cell>
          <cell r="E939">
            <v>0</v>
          </cell>
          <cell r="F939">
            <v>0.71364158479154183</v>
          </cell>
          <cell r="G939">
            <v>0</v>
          </cell>
        </row>
        <row r="940">
          <cell r="A940" t="str">
            <v>210 2015 10 1212 00004</v>
          </cell>
          <cell r="B940">
            <v>7</v>
          </cell>
          <cell r="C940">
            <v>42203.665451388886</v>
          </cell>
          <cell r="D940">
            <v>9.3290220796516332E-2</v>
          </cell>
          <cell r="E940">
            <v>0</v>
          </cell>
          <cell r="F940">
            <v>0.90670977920348361</v>
          </cell>
          <cell r="G940">
            <v>0</v>
          </cell>
        </row>
        <row r="941">
          <cell r="A941" t="str">
            <v>210 2015 10 1212 00008</v>
          </cell>
          <cell r="B941">
            <v>8</v>
          </cell>
          <cell r="C941">
            <v>42022.375081018516</v>
          </cell>
          <cell r="D941">
            <v>0.11717679910345501</v>
          </cell>
          <cell r="E941">
            <v>0</v>
          </cell>
          <cell r="F941">
            <v>0.88282320089654498</v>
          </cell>
          <cell r="G941">
            <v>0</v>
          </cell>
        </row>
        <row r="942">
          <cell r="A942" t="str">
            <v>210 2015 10 1212 00008</v>
          </cell>
          <cell r="B942">
            <v>9</v>
          </cell>
          <cell r="C942">
            <v>42120.391006944446</v>
          </cell>
          <cell r="D942">
            <v>0.11717679910345501</v>
          </cell>
          <cell r="E942">
            <v>0</v>
          </cell>
          <cell r="F942">
            <v>0.88282320089654498</v>
          </cell>
          <cell r="G942">
            <v>0</v>
          </cell>
        </row>
        <row r="943">
          <cell r="A943" t="str">
            <v>301 2014 10 1212 00012</v>
          </cell>
          <cell r="B943">
            <v>3</v>
          </cell>
          <cell r="C943">
            <v>42106.393958333334</v>
          </cell>
          <cell r="D943">
            <v>1</v>
          </cell>
          <cell r="E943">
            <v>0</v>
          </cell>
          <cell r="F943">
            <v>0</v>
          </cell>
          <cell r="G943">
            <v>0</v>
          </cell>
        </row>
        <row r="944">
          <cell r="A944" t="str">
            <v>301 2012 10 1212 00017</v>
          </cell>
          <cell r="B944">
            <v>6</v>
          </cell>
          <cell r="C944">
            <v>41294.761203703703</v>
          </cell>
          <cell r="D944">
            <v>0.43918989302066774</v>
          </cell>
          <cell r="E944">
            <v>0</v>
          </cell>
          <cell r="F944">
            <v>0.56081010697933231</v>
          </cell>
          <cell r="G944">
            <v>0</v>
          </cell>
        </row>
        <row r="945">
          <cell r="A945" t="str">
            <v>301 2015 10 1212 00006</v>
          </cell>
          <cell r="B945">
            <v>6</v>
          </cell>
          <cell r="C945">
            <v>42186.544907407406</v>
          </cell>
          <cell r="D945">
            <v>0.25219026513921639</v>
          </cell>
          <cell r="E945">
            <v>0</v>
          </cell>
          <cell r="F945">
            <v>0.74780973486078361</v>
          </cell>
          <cell r="G945">
            <v>0</v>
          </cell>
        </row>
        <row r="946">
          <cell r="A946" t="str">
            <v>301 2013 10 1212 00008</v>
          </cell>
          <cell r="B946">
            <v>7</v>
          </cell>
          <cell r="C946">
            <v>41662.658877314818</v>
          </cell>
          <cell r="D946">
            <v>0.19230769230769232</v>
          </cell>
          <cell r="E946">
            <v>0</v>
          </cell>
          <cell r="F946">
            <v>0.80769230769230771</v>
          </cell>
          <cell r="G946">
            <v>0</v>
          </cell>
        </row>
        <row r="947">
          <cell r="A947" t="str">
            <v>301 2014 10 1212 00008</v>
          </cell>
          <cell r="B947">
            <v>7</v>
          </cell>
          <cell r="C947">
            <v>42217.680821759262</v>
          </cell>
          <cell r="D947">
            <v>4.693967495000851E-2</v>
          </cell>
          <cell r="E947">
            <v>0</v>
          </cell>
          <cell r="F947">
            <v>0.80736240914014634</v>
          </cell>
          <cell r="G947">
            <v>0.14569791590984515</v>
          </cell>
        </row>
        <row r="948">
          <cell r="A948" t="str">
            <v>301 2013 10 1212 00008</v>
          </cell>
          <cell r="B948">
            <v>10</v>
          </cell>
          <cell r="C948">
            <v>41662.444502314815</v>
          </cell>
          <cell r="D948">
            <v>0.19230769230769232</v>
          </cell>
          <cell r="E948">
            <v>0</v>
          </cell>
          <cell r="F948">
            <v>0.80769230769230771</v>
          </cell>
          <cell r="G948">
            <v>0</v>
          </cell>
        </row>
        <row r="949">
          <cell r="A949" t="str">
            <v>301 2015 10 1212 00008</v>
          </cell>
          <cell r="B949">
            <v>10</v>
          </cell>
          <cell r="C949">
            <v>42258.697962962964</v>
          </cell>
          <cell r="D949">
            <v>4.7363988447413546E-2</v>
          </cell>
          <cell r="E949">
            <v>0</v>
          </cell>
          <cell r="F949">
            <v>0.62666200099654845</v>
          </cell>
          <cell r="G949">
            <v>0.32597401055603803</v>
          </cell>
        </row>
        <row r="950">
          <cell r="A950" t="str">
            <v>210 2015 10 1212 00008</v>
          </cell>
          <cell r="B950">
            <v>11</v>
          </cell>
          <cell r="C950">
            <v>42016.572777777779</v>
          </cell>
          <cell r="D950">
            <v>0.11717679910345501</v>
          </cell>
          <cell r="E950">
            <v>0</v>
          </cell>
          <cell r="F950">
            <v>0.88282320089654498</v>
          </cell>
          <cell r="G950">
            <v>0</v>
          </cell>
        </row>
        <row r="951">
          <cell r="A951" t="str">
            <v>301 2015 10 1212 00001</v>
          </cell>
          <cell r="B951">
            <v>1</v>
          </cell>
          <cell r="C951">
            <v>42035.500416666669</v>
          </cell>
          <cell r="D951">
            <v>7.027027027027026E-2</v>
          </cell>
          <cell r="E951">
            <v>0</v>
          </cell>
          <cell r="F951">
            <v>0.92972972972972978</v>
          </cell>
          <cell r="G951">
            <v>0</v>
          </cell>
        </row>
        <row r="952">
          <cell r="A952" t="str">
            <v>301 2013 10 1212 00012</v>
          </cell>
          <cell r="B952">
            <v>8</v>
          </cell>
          <cell r="C952">
            <v>41662.608749999999</v>
          </cell>
          <cell r="D952">
            <v>0.25219026513921639</v>
          </cell>
          <cell r="E952">
            <v>0</v>
          </cell>
          <cell r="F952">
            <v>0.74780973486078361</v>
          </cell>
          <cell r="G952">
            <v>0</v>
          </cell>
        </row>
        <row r="953">
          <cell r="A953" t="str">
            <v>301 2014 10 1212 00008</v>
          </cell>
          <cell r="B953">
            <v>8</v>
          </cell>
          <cell r="C953">
            <v>42211.619143518517</v>
          </cell>
          <cell r="D953">
            <v>4.693967495000851E-2</v>
          </cell>
          <cell r="E953">
            <v>0</v>
          </cell>
          <cell r="F953">
            <v>0.80736240914014634</v>
          </cell>
          <cell r="G953">
            <v>0.14569791590984515</v>
          </cell>
        </row>
        <row r="954">
          <cell r="A954" t="str">
            <v>301 2013 10 1212 00008</v>
          </cell>
          <cell r="B954">
            <v>11</v>
          </cell>
          <cell r="C954">
            <v>41667.549618055556</v>
          </cell>
          <cell r="D954">
            <v>0.19230769230769232</v>
          </cell>
          <cell r="E954">
            <v>0</v>
          </cell>
          <cell r="F954">
            <v>0.80769230769230771</v>
          </cell>
          <cell r="G954">
            <v>0</v>
          </cell>
        </row>
        <row r="955">
          <cell r="A955" t="str">
            <v>301 2015 10 1212 00008</v>
          </cell>
          <cell r="B955">
            <v>11</v>
          </cell>
          <cell r="C955">
            <v>42267.694444444445</v>
          </cell>
          <cell r="D955">
            <v>4.7363988447413546E-2</v>
          </cell>
          <cell r="E955">
            <v>0</v>
          </cell>
          <cell r="F955">
            <v>0.62666200099654845</v>
          </cell>
          <cell r="G955">
            <v>0.32597401055603803</v>
          </cell>
        </row>
        <row r="956">
          <cell r="A956" t="str">
            <v>205 2014 10 1212 00004</v>
          </cell>
          <cell r="B956">
            <v>21</v>
          </cell>
          <cell r="C956">
            <v>42002.636701388888</v>
          </cell>
          <cell r="D956">
            <v>1</v>
          </cell>
          <cell r="E956">
            <v>0</v>
          </cell>
          <cell r="F956">
            <v>0</v>
          </cell>
          <cell r="G956">
            <v>0</v>
          </cell>
        </row>
        <row r="957">
          <cell r="A957" t="str">
            <v>206 2013 10 1212 00011</v>
          </cell>
          <cell r="B957">
            <v>6</v>
          </cell>
          <cell r="C957">
            <v>41506.806250000001</v>
          </cell>
          <cell r="D957">
            <v>0.20957818373329049</v>
          </cell>
          <cell r="E957">
            <v>0</v>
          </cell>
          <cell r="F957">
            <v>0.79042181626670949</v>
          </cell>
          <cell r="G957">
            <v>0</v>
          </cell>
        </row>
        <row r="958">
          <cell r="A958" t="str">
            <v>206 2014 10 1212 00008</v>
          </cell>
          <cell r="B958">
            <v>6</v>
          </cell>
          <cell r="C958">
            <v>41930.602037037039</v>
          </cell>
          <cell r="D958">
            <v>6.3619837007199087E-2</v>
          </cell>
          <cell r="E958">
            <v>0</v>
          </cell>
          <cell r="F958">
            <v>0.89067771810078722</v>
          </cell>
          <cell r="G958">
            <v>4.5702444892013694E-2</v>
          </cell>
        </row>
        <row r="959">
          <cell r="A959" t="str">
            <v>505 2013 10 1212 00001</v>
          </cell>
          <cell r="B959">
            <v>2</v>
          </cell>
          <cell r="C959">
            <v>41640.686527777776</v>
          </cell>
          <cell r="D959">
            <v>1</v>
          </cell>
          <cell r="E959">
            <v>0</v>
          </cell>
          <cell r="F959">
            <v>0</v>
          </cell>
          <cell r="G959">
            <v>0</v>
          </cell>
        </row>
        <row r="960">
          <cell r="A960" t="str">
            <v>204 2014 12 1211 00044</v>
          </cell>
          <cell r="B960">
            <v>6</v>
          </cell>
          <cell r="C960">
            <v>41828.521898148145</v>
          </cell>
          <cell r="D960">
            <v>8.4459459459459499E-3</v>
          </cell>
          <cell r="E960">
            <v>0</v>
          </cell>
          <cell r="F960">
            <v>7.0101351351351246E-2</v>
          </cell>
          <cell r="G960">
            <v>0.92145270270270285</v>
          </cell>
        </row>
        <row r="961">
          <cell r="A961" t="str">
            <v>204 2015 10 1211 00009</v>
          </cell>
          <cell r="B961">
            <v>6</v>
          </cell>
          <cell r="C961">
            <v>42206</v>
          </cell>
          <cell r="D961">
            <v>0.03</v>
          </cell>
          <cell r="E961">
            <v>0</v>
          </cell>
          <cell r="F961">
            <v>0</v>
          </cell>
          <cell r="G961">
            <v>0.97</v>
          </cell>
        </row>
        <row r="962">
          <cell r="A962" t="str">
            <v>204 2014 10 1211 00008</v>
          </cell>
          <cell r="B962">
            <v>13</v>
          </cell>
          <cell r="C962">
            <v>41983.42465277778</v>
          </cell>
          <cell r="D962">
            <v>7.8300407941723806E-3</v>
          </cell>
          <cell r="E962">
            <v>0</v>
          </cell>
          <cell r="F962">
            <v>0.130169959205828</v>
          </cell>
          <cell r="G962">
            <v>0.86199999999999966</v>
          </cell>
        </row>
        <row r="963">
          <cell r="A963" t="str">
            <v>204 2015 10 1211 00009</v>
          </cell>
          <cell r="B963">
            <v>13</v>
          </cell>
          <cell r="C963">
            <v>42255.504293981481</v>
          </cell>
          <cell r="D963">
            <v>0.03</v>
          </cell>
          <cell r="E963">
            <v>0</v>
          </cell>
          <cell r="F963">
            <v>0</v>
          </cell>
          <cell r="G963">
            <v>0.97</v>
          </cell>
        </row>
        <row r="964">
          <cell r="A964" t="str">
            <v>204 2012 10 1211 00014</v>
          </cell>
          <cell r="B964">
            <v>30</v>
          </cell>
          <cell r="C964">
            <v>41247.464155092595</v>
          </cell>
          <cell r="D964">
            <v>5.8823999999999994E-2</v>
          </cell>
          <cell r="E964">
            <v>0</v>
          </cell>
          <cell r="F964">
            <v>0.94117600000000001</v>
          </cell>
          <cell r="G964">
            <v>0</v>
          </cell>
        </row>
        <row r="965">
          <cell r="A965" t="str">
            <v>402 2015 10 1211 00001</v>
          </cell>
          <cell r="B965">
            <v>2</v>
          </cell>
          <cell r="C965">
            <v>42015.430949074071</v>
          </cell>
          <cell r="D965">
            <v>5.7916889789385091E-2</v>
          </cell>
          <cell r="E965">
            <v>0</v>
          </cell>
          <cell r="F965">
            <v>0.94208311021061486</v>
          </cell>
          <cell r="G965">
            <v>0</v>
          </cell>
        </row>
        <row r="966">
          <cell r="A966" t="str">
            <v>501 2015 10 1211 00038</v>
          </cell>
          <cell r="B966">
            <v>28</v>
          </cell>
          <cell r="C966">
            <v>42319.472581018519</v>
          </cell>
          <cell r="D966">
            <v>1</v>
          </cell>
          <cell r="E966">
            <v>0</v>
          </cell>
          <cell r="F966">
            <v>0</v>
          </cell>
          <cell r="G966">
            <v>0</v>
          </cell>
        </row>
        <row r="967">
          <cell r="A967" t="str">
            <v>401 2015 10 1211 00006</v>
          </cell>
          <cell r="B967">
            <v>5</v>
          </cell>
          <cell r="C967">
            <v>42089.000578703701</v>
          </cell>
          <cell r="D967">
            <v>1</v>
          </cell>
          <cell r="E967">
            <v>0</v>
          </cell>
          <cell r="F967">
            <v>0</v>
          </cell>
          <cell r="G967">
            <v>0</v>
          </cell>
        </row>
        <row r="968">
          <cell r="A968" t="str">
            <v>401 2014 10 1211 00020</v>
          </cell>
          <cell r="B968">
            <v>6</v>
          </cell>
          <cell r="C968">
            <v>42089.416666666664</v>
          </cell>
          <cell r="D968">
            <v>1</v>
          </cell>
          <cell r="E968">
            <v>0</v>
          </cell>
          <cell r="F968">
            <v>0</v>
          </cell>
          <cell r="G968">
            <v>0</v>
          </cell>
        </row>
        <row r="969">
          <cell r="A969" t="str">
            <v>401 2015 10 1211 00014</v>
          </cell>
          <cell r="B969">
            <v>9</v>
          </cell>
          <cell r="C969">
            <v>42010</v>
          </cell>
          <cell r="D969">
            <v>5.5605401157066255E-2</v>
          </cell>
          <cell r="E969">
            <v>0</v>
          </cell>
          <cell r="F969">
            <v>0.94439459884293375</v>
          </cell>
          <cell r="G969">
            <v>0</v>
          </cell>
        </row>
        <row r="970">
          <cell r="A970" t="str">
            <v>402 2015 10 1211 00001</v>
          </cell>
          <cell r="B970">
            <v>4</v>
          </cell>
          <cell r="C970">
            <v>42352.662118055552</v>
          </cell>
          <cell r="D970">
            <v>5.7916889789385091E-2</v>
          </cell>
          <cell r="E970">
            <v>0</v>
          </cell>
          <cell r="F970">
            <v>0.94208311021061486</v>
          </cell>
          <cell r="G970">
            <v>0</v>
          </cell>
        </row>
        <row r="971">
          <cell r="A971" t="str">
            <v>501 2014 10 1211 00036</v>
          </cell>
          <cell r="B971">
            <v>9</v>
          </cell>
          <cell r="C971">
            <v>42149.362025462964</v>
          </cell>
          <cell r="D971">
            <v>0.7142857142857143</v>
          </cell>
          <cell r="E971">
            <v>0</v>
          </cell>
          <cell r="F971">
            <v>0.2857142857142857</v>
          </cell>
          <cell r="G971">
            <v>0</v>
          </cell>
        </row>
        <row r="972">
          <cell r="A972" t="str">
            <v>501 2015 10 1211 00021</v>
          </cell>
          <cell r="B972">
            <v>11</v>
          </cell>
          <cell r="C972">
            <v>42131.560787037037</v>
          </cell>
          <cell r="D972">
            <v>1</v>
          </cell>
          <cell r="E972">
            <v>0</v>
          </cell>
          <cell r="F972">
            <v>0</v>
          </cell>
          <cell r="G972">
            <v>0</v>
          </cell>
        </row>
        <row r="973">
          <cell r="A973" t="str">
            <v>505 2015 10 1212 00003</v>
          </cell>
          <cell r="B973">
            <v>2</v>
          </cell>
          <cell r="C973">
            <v>42211.505393518521</v>
          </cell>
          <cell r="D973">
            <v>0.71578119925836925</v>
          </cell>
          <cell r="E973">
            <v>0</v>
          </cell>
          <cell r="F973">
            <v>0.28421880074163081</v>
          </cell>
          <cell r="G973">
            <v>0</v>
          </cell>
        </row>
        <row r="974">
          <cell r="A974" t="str">
            <v>505 2014 10 1212 00002</v>
          </cell>
          <cell r="B974">
            <v>4</v>
          </cell>
          <cell r="C974">
            <v>41807.833333333336</v>
          </cell>
          <cell r="D974">
            <v>1</v>
          </cell>
          <cell r="E974">
            <v>0</v>
          </cell>
          <cell r="F974">
            <v>0</v>
          </cell>
          <cell r="G974">
            <v>0</v>
          </cell>
        </row>
        <row r="975">
          <cell r="A975" t="str">
            <v>505 2014 10 1212 00002</v>
          </cell>
          <cell r="B975">
            <v>9</v>
          </cell>
          <cell r="C975">
            <v>41849.445081018515</v>
          </cell>
          <cell r="D975">
            <v>1</v>
          </cell>
          <cell r="E975">
            <v>0</v>
          </cell>
          <cell r="F975">
            <v>0</v>
          </cell>
          <cell r="G975">
            <v>0</v>
          </cell>
        </row>
        <row r="976">
          <cell r="A976" t="str">
            <v>505 2014 10 1212 00002</v>
          </cell>
          <cell r="B976">
            <v>10</v>
          </cell>
          <cell r="C976">
            <v>41861.875</v>
          </cell>
          <cell r="D976">
            <v>1</v>
          </cell>
          <cell r="E976">
            <v>0</v>
          </cell>
          <cell r="F976">
            <v>0</v>
          </cell>
          <cell r="G976">
            <v>0</v>
          </cell>
        </row>
        <row r="977">
          <cell r="A977" t="str">
            <v>207 2012 10 1212 00003</v>
          </cell>
          <cell r="B977">
            <v>2</v>
          </cell>
          <cell r="C977">
            <v>41334</v>
          </cell>
          <cell r="D977">
            <v>0.28104822252156691</v>
          </cell>
          <cell r="E977">
            <v>0</v>
          </cell>
          <cell r="F977">
            <v>0.71895177747843309</v>
          </cell>
          <cell r="G977">
            <v>0</v>
          </cell>
        </row>
        <row r="978">
          <cell r="A978" t="str">
            <v>207 2015 10 1212 00008</v>
          </cell>
          <cell r="B978">
            <v>5</v>
          </cell>
          <cell r="C978">
            <v>42162</v>
          </cell>
          <cell r="D978">
            <v>0.13824546342376645</v>
          </cell>
          <cell r="E978">
            <v>0</v>
          </cell>
          <cell r="F978">
            <v>0.86175453657623358</v>
          </cell>
          <cell r="G978">
            <v>0</v>
          </cell>
        </row>
        <row r="979">
          <cell r="A979" t="str">
            <v>207 2015 10 1212 00005</v>
          </cell>
          <cell r="B979">
            <v>8</v>
          </cell>
          <cell r="C979">
            <v>42250</v>
          </cell>
          <cell r="D979">
            <v>1</v>
          </cell>
          <cell r="E979">
            <v>0</v>
          </cell>
          <cell r="F979">
            <v>0</v>
          </cell>
          <cell r="G979">
            <v>0</v>
          </cell>
        </row>
        <row r="980">
          <cell r="A980" t="str">
            <v>301 2014 10 1212 00006</v>
          </cell>
          <cell r="B980">
            <v>23</v>
          </cell>
          <cell r="C980">
            <v>41763.415127314816</v>
          </cell>
          <cell r="D980">
            <v>0.28141146517496196</v>
          </cell>
          <cell r="E980">
            <v>0</v>
          </cell>
          <cell r="F980">
            <v>0.71858853482503804</v>
          </cell>
          <cell r="G980">
            <v>0</v>
          </cell>
        </row>
        <row r="981">
          <cell r="A981" t="str">
            <v>205 2015 10 1212 00014</v>
          </cell>
          <cell r="B981">
            <v>10</v>
          </cell>
          <cell r="C981">
            <v>42320.453634259262</v>
          </cell>
          <cell r="D981">
            <v>5.6143089954740467E-2</v>
          </cell>
          <cell r="E981">
            <v>0</v>
          </cell>
          <cell r="F981">
            <v>0.94385691004525951</v>
          </cell>
          <cell r="G981">
            <v>0</v>
          </cell>
        </row>
        <row r="982">
          <cell r="A982" t="str">
            <v>205 2013 10 1212 00015</v>
          </cell>
          <cell r="B982">
            <v>11</v>
          </cell>
          <cell r="C982">
            <v>41566.686030092591</v>
          </cell>
          <cell r="D982">
            <v>7.2463768115942032E-2</v>
          </cell>
          <cell r="E982">
            <v>0</v>
          </cell>
          <cell r="F982">
            <v>0.92753623188405798</v>
          </cell>
          <cell r="G982">
            <v>0</v>
          </cell>
        </row>
        <row r="983">
          <cell r="A983" t="str">
            <v>205 2013 10 1212 00003</v>
          </cell>
          <cell r="B983">
            <v>17</v>
          </cell>
          <cell r="C983">
            <v>41627.654849537037</v>
          </cell>
          <cell r="D983">
            <v>4.2089107809661699E-2</v>
          </cell>
          <cell r="E983">
            <v>0</v>
          </cell>
          <cell r="F983">
            <v>0.53874057996366898</v>
          </cell>
          <cell r="G983">
            <v>0.41917031222666934</v>
          </cell>
        </row>
        <row r="984">
          <cell r="A984" t="str">
            <v>205 2014 10 1212 00020</v>
          </cell>
          <cell r="B984">
            <v>17</v>
          </cell>
          <cell r="C984">
            <v>41897.459953703707</v>
          </cell>
          <cell r="D984">
            <v>7.7510167556295445E-2</v>
          </cell>
          <cell r="E984">
            <v>0</v>
          </cell>
          <cell r="F984">
            <v>0.92248983244370453</v>
          </cell>
          <cell r="G984">
            <v>0</v>
          </cell>
        </row>
        <row r="985">
          <cell r="A985" t="str">
            <v>501 2015 10 1211 00002</v>
          </cell>
          <cell r="B985">
            <v>14</v>
          </cell>
          <cell r="C985">
            <v>42203.463055555556</v>
          </cell>
          <cell r="D985">
            <v>0.43221604629578103</v>
          </cell>
          <cell r="E985">
            <v>0</v>
          </cell>
          <cell r="F985">
            <v>0.56778395370421897</v>
          </cell>
          <cell r="G985">
            <v>0</v>
          </cell>
        </row>
        <row r="986">
          <cell r="A986" t="str">
            <v>501 2015 16 1211 00010</v>
          </cell>
          <cell r="B986">
            <v>17</v>
          </cell>
          <cell r="C986">
            <v>42240.79215277778</v>
          </cell>
          <cell r="D986">
            <v>0.58340129958473497</v>
          </cell>
          <cell r="E986">
            <v>0</v>
          </cell>
          <cell r="F986">
            <v>0.41659870041526503</v>
          </cell>
          <cell r="G986">
            <v>0</v>
          </cell>
        </row>
        <row r="987">
          <cell r="A987" t="str">
            <v>501 2014 10 1211 00036</v>
          </cell>
          <cell r="B987">
            <v>19</v>
          </cell>
          <cell r="C987">
            <v>41918.45040509259</v>
          </cell>
          <cell r="D987">
            <v>0.7142857142857143</v>
          </cell>
          <cell r="E987">
            <v>0</v>
          </cell>
          <cell r="F987">
            <v>0.2857142857142857</v>
          </cell>
          <cell r="G987">
            <v>0</v>
          </cell>
        </row>
        <row r="988">
          <cell r="A988" t="str">
            <v>501 2015 10 1211 00027</v>
          </cell>
          <cell r="B988">
            <v>19</v>
          </cell>
          <cell r="C988">
            <v>42256.996944444443</v>
          </cell>
          <cell r="D988">
            <v>0.47769530388770487</v>
          </cell>
          <cell r="E988">
            <v>0</v>
          </cell>
          <cell r="F988">
            <v>0.52230469611229513</v>
          </cell>
          <cell r="G988">
            <v>0</v>
          </cell>
        </row>
        <row r="989">
          <cell r="A989" t="str">
            <v>501 2015 10 1211 00032</v>
          </cell>
          <cell r="B989">
            <v>20</v>
          </cell>
          <cell r="C989">
            <v>42255.999085648145</v>
          </cell>
          <cell r="D989">
            <v>0.7142857142857143</v>
          </cell>
          <cell r="E989">
            <v>0</v>
          </cell>
          <cell r="F989">
            <v>0.2857142857142857</v>
          </cell>
          <cell r="G989">
            <v>0</v>
          </cell>
        </row>
        <row r="990">
          <cell r="A990" t="str">
            <v>501 2014 10 1211 00029</v>
          </cell>
          <cell r="B990">
            <v>18</v>
          </cell>
          <cell r="C990">
            <v>41898.39671296296</v>
          </cell>
          <cell r="D990">
            <v>1</v>
          </cell>
          <cell r="E990">
            <v>0</v>
          </cell>
          <cell r="F990">
            <v>0</v>
          </cell>
          <cell r="G990">
            <v>0</v>
          </cell>
        </row>
        <row r="991">
          <cell r="A991" t="str">
            <v>501 2015 10 1211 00032</v>
          </cell>
          <cell r="B991">
            <v>18</v>
          </cell>
          <cell r="C991">
            <v>42254.999641203707</v>
          </cell>
          <cell r="D991">
            <v>0.7142857142857143</v>
          </cell>
          <cell r="E991">
            <v>0</v>
          </cell>
          <cell r="F991">
            <v>0.2857142857142857</v>
          </cell>
          <cell r="G991">
            <v>0</v>
          </cell>
        </row>
        <row r="992">
          <cell r="A992" t="str">
            <v>501 2012 10 1211 00020</v>
          </cell>
          <cell r="B992">
            <v>19</v>
          </cell>
          <cell r="C992">
            <v>41107.665462962963</v>
          </cell>
          <cell r="D992">
            <v>0.30338254626601835</v>
          </cell>
          <cell r="E992">
            <v>0</v>
          </cell>
          <cell r="F992">
            <v>0.69661745373398165</v>
          </cell>
          <cell r="G992">
            <v>0</v>
          </cell>
        </row>
        <row r="993">
          <cell r="A993" t="str">
            <v>401 2014 10 1211 00020</v>
          </cell>
          <cell r="B993">
            <v>7</v>
          </cell>
          <cell r="C993">
            <v>42087.416666666664</v>
          </cell>
          <cell r="D993">
            <v>1</v>
          </cell>
          <cell r="E993">
            <v>0</v>
          </cell>
          <cell r="F993">
            <v>0</v>
          </cell>
          <cell r="G993">
            <v>0</v>
          </cell>
        </row>
        <row r="994">
          <cell r="A994" t="str">
            <v>401 2015 10 1211 00005</v>
          </cell>
          <cell r="B994">
            <v>8</v>
          </cell>
          <cell r="C994">
            <v>42095.510416666664</v>
          </cell>
          <cell r="D994">
            <v>6.3956284600349966E-2</v>
          </cell>
          <cell r="E994">
            <v>0</v>
          </cell>
          <cell r="F994">
            <v>0.93604371539965003</v>
          </cell>
          <cell r="G994">
            <v>0</v>
          </cell>
        </row>
        <row r="995">
          <cell r="A995" t="str">
            <v>401 2013 10 1211 00010</v>
          </cell>
          <cell r="B995">
            <v>10</v>
          </cell>
          <cell r="C995">
            <v>41385.541666666664</v>
          </cell>
          <cell r="D995">
            <v>5.8823529411764705E-2</v>
          </cell>
          <cell r="E995">
            <v>0</v>
          </cell>
          <cell r="F995">
            <v>0.94117647058823528</v>
          </cell>
          <cell r="G995">
            <v>0</v>
          </cell>
        </row>
        <row r="996">
          <cell r="A996" t="str">
            <v>401 2015 10 1211 00008</v>
          </cell>
          <cell r="B996">
            <v>10</v>
          </cell>
          <cell r="C996">
            <v>42125.395833333336</v>
          </cell>
          <cell r="D996">
            <v>1</v>
          </cell>
          <cell r="E996">
            <v>0</v>
          </cell>
          <cell r="F996">
            <v>0</v>
          </cell>
          <cell r="G996">
            <v>0</v>
          </cell>
        </row>
        <row r="997">
          <cell r="A997" t="str">
            <v>401 2015 10 1211 00006</v>
          </cell>
          <cell r="B997">
            <v>13</v>
          </cell>
          <cell r="C997">
            <v>42128.354166666664</v>
          </cell>
          <cell r="D997">
            <v>1</v>
          </cell>
          <cell r="E997">
            <v>0</v>
          </cell>
          <cell r="F997">
            <v>0</v>
          </cell>
          <cell r="G997">
            <v>0</v>
          </cell>
        </row>
        <row r="998">
          <cell r="A998" t="str">
            <v>400 2006 10 1211 00007</v>
          </cell>
          <cell r="B998">
            <v>14</v>
          </cell>
          <cell r="C998">
            <v>39251</v>
          </cell>
          <cell r="D998">
            <v>1</v>
          </cell>
          <cell r="E998">
            <v>0</v>
          </cell>
          <cell r="F998">
            <v>0</v>
          </cell>
          <cell r="G998">
            <v>0</v>
          </cell>
        </row>
        <row r="999">
          <cell r="A999" t="str">
            <v>401 2015 10 1211 00019</v>
          </cell>
          <cell r="B999">
            <v>19</v>
          </cell>
          <cell r="C999">
            <v>42267.083333333336</v>
          </cell>
          <cell r="D999">
            <v>8.6430000000000007E-2</v>
          </cell>
          <cell r="E999">
            <v>0</v>
          </cell>
          <cell r="F999">
            <v>0</v>
          </cell>
          <cell r="G999">
            <v>0.91356999999999999</v>
          </cell>
        </row>
        <row r="1000">
          <cell r="A1000" t="str">
            <v>401 2014 10 1211 00014</v>
          </cell>
          <cell r="B1000">
            <v>20</v>
          </cell>
          <cell r="C1000">
            <v>41687</v>
          </cell>
          <cell r="D1000">
            <v>5.4945054945054951E-2</v>
          </cell>
          <cell r="E1000">
            <v>0</v>
          </cell>
          <cell r="F1000">
            <v>0.94505494505494503</v>
          </cell>
          <cell r="G1000">
            <v>0</v>
          </cell>
        </row>
        <row r="1001">
          <cell r="A1001" t="str">
            <v>501 2014 10 1211 00040</v>
          </cell>
          <cell r="B1001">
            <v>12</v>
          </cell>
          <cell r="C1001">
            <v>42193.565729166665</v>
          </cell>
          <cell r="D1001">
            <v>0.48108416367243162</v>
          </cell>
          <cell r="E1001">
            <v>0</v>
          </cell>
          <cell r="F1001">
            <v>0.51891583632756844</v>
          </cell>
          <cell r="G1001">
            <v>0</v>
          </cell>
        </row>
        <row r="1002">
          <cell r="A1002" t="str">
            <v>501 2013 10 1211 00032</v>
          </cell>
          <cell r="B1002">
            <v>13</v>
          </cell>
          <cell r="C1002">
            <v>41815.435543981483</v>
          </cell>
          <cell r="D1002">
            <v>0.41148837558664603</v>
          </cell>
          <cell r="E1002">
            <v>0</v>
          </cell>
          <cell r="F1002">
            <v>0.58851162441335392</v>
          </cell>
          <cell r="G1002">
            <v>0</v>
          </cell>
        </row>
        <row r="1003">
          <cell r="A1003" t="str">
            <v>501 2014 10 1211 00040</v>
          </cell>
          <cell r="B1003">
            <v>13</v>
          </cell>
          <cell r="C1003">
            <v>42194.567615740743</v>
          </cell>
          <cell r="D1003">
            <v>0.48108416367243162</v>
          </cell>
          <cell r="E1003">
            <v>0</v>
          </cell>
          <cell r="F1003">
            <v>0.51891583632756844</v>
          </cell>
          <cell r="G1003">
            <v>0</v>
          </cell>
        </row>
        <row r="1004">
          <cell r="A1004" t="str">
            <v>501 2015 10 1211 00032</v>
          </cell>
          <cell r="B1004">
            <v>29</v>
          </cell>
          <cell r="C1004">
            <v>42358.44158564815</v>
          </cell>
          <cell r="D1004">
            <v>0.7142857142857143</v>
          </cell>
          <cell r="E1004">
            <v>0</v>
          </cell>
          <cell r="F1004">
            <v>0.2857142857142857</v>
          </cell>
          <cell r="G1004">
            <v>0</v>
          </cell>
        </row>
        <row r="1005">
          <cell r="A1005" t="str">
            <v>505 2014 10 1211 00006</v>
          </cell>
          <cell r="B1005">
            <v>89</v>
          </cell>
          <cell r="C1005">
            <v>41947</v>
          </cell>
          <cell r="D1005">
            <v>5.8823529411764705E-2</v>
          </cell>
          <cell r="E1005">
            <v>0</v>
          </cell>
          <cell r="F1005">
            <v>0.94117647058823528</v>
          </cell>
          <cell r="G1005">
            <v>0</v>
          </cell>
        </row>
        <row r="1006">
          <cell r="A1006" t="str">
            <v>505 2014 10 1211 00011</v>
          </cell>
          <cell r="B1006">
            <v>90</v>
          </cell>
          <cell r="C1006">
            <v>41957.564398148148</v>
          </cell>
          <cell r="D1006">
            <v>1</v>
          </cell>
          <cell r="E1006">
            <v>0</v>
          </cell>
          <cell r="F1006">
            <v>0</v>
          </cell>
          <cell r="G1006">
            <v>0</v>
          </cell>
        </row>
        <row r="1007">
          <cell r="A1007" t="str">
            <v>207 2010 10 1211 00001</v>
          </cell>
          <cell r="B1007">
            <v>1</v>
          </cell>
          <cell r="C1007">
            <v>40404</v>
          </cell>
          <cell r="D1007">
            <v>5.6740349906406799E-2</v>
          </cell>
          <cell r="E1007">
            <v>4.7162982504679665E-2</v>
          </cell>
          <cell r="F1007">
            <v>0.8960966675889136</v>
          </cell>
          <cell r="G1007">
            <v>0</v>
          </cell>
        </row>
        <row r="1008">
          <cell r="A1008" t="str">
            <v>401 2014 10 1211 00014</v>
          </cell>
          <cell r="B1008">
            <v>23</v>
          </cell>
          <cell r="C1008">
            <v>41759</v>
          </cell>
          <cell r="D1008">
            <v>5.4945054945054951E-2</v>
          </cell>
          <cell r="E1008">
            <v>0</v>
          </cell>
          <cell r="F1008">
            <v>0.94505494505494503</v>
          </cell>
          <cell r="G1008">
            <v>0</v>
          </cell>
        </row>
        <row r="1009">
          <cell r="A1009" t="str">
            <v>401 2013 10 1211 00010</v>
          </cell>
          <cell r="B1009">
            <v>41</v>
          </cell>
          <cell r="C1009">
            <v>41605.666666666664</v>
          </cell>
          <cell r="D1009">
            <v>5.8823529411764705E-2</v>
          </cell>
          <cell r="E1009">
            <v>0</v>
          </cell>
          <cell r="F1009">
            <v>0.94117647058823528</v>
          </cell>
          <cell r="G1009">
            <v>0</v>
          </cell>
        </row>
        <row r="1010">
          <cell r="A1010" t="str">
            <v>402 2015 10 1211 00001</v>
          </cell>
          <cell r="B1010">
            <v>3</v>
          </cell>
          <cell r="C1010">
            <v>42352.659502314818</v>
          </cell>
          <cell r="D1010">
            <v>5.7916889789385091E-2</v>
          </cell>
          <cell r="E1010">
            <v>0</v>
          </cell>
          <cell r="F1010">
            <v>0.94208311021061486</v>
          </cell>
          <cell r="G1010">
            <v>0</v>
          </cell>
        </row>
        <row r="1011">
          <cell r="A1011" t="str">
            <v>501 2015 10 1211 00002</v>
          </cell>
          <cell r="B1011">
            <v>2</v>
          </cell>
          <cell r="C1011">
            <v>42060.493379629632</v>
          </cell>
          <cell r="D1011">
            <v>0.43221604629578103</v>
          </cell>
          <cell r="E1011">
            <v>0</v>
          </cell>
          <cell r="F1011">
            <v>0.56778395370421897</v>
          </cell>
          <cell r="G1011">
            <v>0</v>
          </cell>
        </row>
        <row r="1012">
          <cell r="A1012" t="str">
            <v>501 2013 10 1211 00035</v>
          </cell>
          <cell r="B1012">
            <v>4</v>
          </cell>
          <cell r="C1012">
            <v>41685.333622685182</v>
          </cell>
          <cell r="D1012">
            <v>1</v>
          </cell>
          <cell r="E1012">
            <v>0</v>
          </cell>
          <cell r="F1012">
            <v>0</v>
          </cell>
          <cell r="G1012">
            <v>0</v>
          </cell>
        </row>
        <row r="1013">
          <cell r="A1013" t="str">
            <v>501 2014 10 1211 00022</v>
          </cell>
          <cell r="B1013">
            <v>4</v>
          </cell>
          <cell r="C1013">
            <v>42068.645821759259</v>
          </cell>
          <cell r="D1013">
            <v>1</v>
          </cell>
          <cell r="E1013">
            <v>0</v>
          </cell>
          <cell r="F1013">
            <v>0</v>
          </cell>
          <cell r="G1013">
            <v>0</v>
          </cell>
        </row>
        <row r="1014">
          <cell r="A1014" t="str">
            <v>501 2014 10 1211 00001</v>
          </cell>
          <cell r="B1014">
            <v>6</v>
          </cell>
          <cell r="C1014">
            <v>41693.608495370368</v>
          </cell>
          <cell r="D1014">
            <v>0.14082173130314662</v>
          </cell>
          <cell r="E1014">
            <v>0</v>
          </cell>
          <cell r="F1014">
            <v>0.85917826869685343</v>
          </cell>
          <cell r="G1014">
            <v>0</v>
          </cell>
        </row>
        <row r="1015">
          <cell r="A1015" t="str">
            <v>503 2014 10 1211 00009</v>
          </cell>
          <cell r="B1015">
            <v>27</v>
          </cell>
          <cell r="C1015">
            <v>42155.620405092595</v>
          </cell>
          <cell r="D1015">
            <v>0.1539408866995074</v>
          </cell>
          <cell r="E1015">
            <v>0</v>
          </cell>
          <cell r="F1015">
            <v>0.84605911330049266</v>
          </cell>
          <cell r="G1015">
            <v>0</v>
          </cell>
        </row>
        <row r="1016">
          <cell r="A1016" t="str">
            <v>503 2015 10 1211 00018</v>
          </cell>
          <cell r="B1016">
            <v>28</v>
          </cell>
          <cell r="C1016">
            <v>42163.656585648147</v>
          </cell>
          <cell r="D1016">
            <v>0.51546391752577314</v>
          </cell>
          <cell r="E1016">
            <v>0</v>
          </cell>
          <cell r="F1016">
            <v>0.4845360824742268</v>
          </cell>
          <cell r="G1016">
            <v>0</v>
          </cell>
        </row>
        <row r="1017">
          <cell r="A1017" t="str">
            <v>503 2015 10 1211 00003</v>
          </cell>
          <cell r="B1017">
            <v>44</v>
          </cell>
          <cell r="C1017">
            <v>42274.31826388889</v>
          </cell>
          <cell r="D1017">
            <v>0.38730604709506283</v>
          </cell>
          <cell r="E1017">
            <v>0</v>
          </cell>
          <cell r="F1017">
            <v>0.61269395290493711</v>
          </cell>
          <cell r="G1017">
            <v>0</v>
          </cell>
        </row>
        <row r="1018">
          <cell r="A1018" t="str">
            <v>503 2015 10 1211 00018</v>
          </cell>
          <cell r="B1018">
            <v>45</v>
          </cell>
          <cell r="C1018">
            <v>42289.546400462961</v>
          </cell>
          <cell r="D1018">
            <v>0.51546391752577314</v>
          </cell>
          <cell r="E1018">
            <v>0</v>
          </cell>
          <cell r="F1018">
            <v>0.4845360824742268</v>
          </cell>
          <cell r="G1018">
            <v>0</v>
          </cell>
        </row>
        <row r="1019">
          <cell r="A1019" t="str">
            <v>503 2014 10 1211 00002</v>
          </cell>
          <cell r="B1019">
            <v>46</v>
          </cell>
          <cell r="C1019">
            <v>41959.571747685186</v>
          </cell>
          <cell r="D1019">
            <v>0.23427661275443901</v>
          </cell>
          <cell r="E1019">
            <v>0</v>
          </cell>
          <cell r="F1019">
            <v>0.76572338724556099</v>
          </cell>
          <cell r="G1019">
            <v>0</v>
          </cell>
        </row>
        <row r="1020">
          <cell r="A1020" t="str">
            <v>503 2015 10 1211 00010</v>
          </cell>
          <cell r="B1020">
            <v>46</v>
          </cell>
          <cell r="C1020">
            <v>42295.439884259256</v>
          </cell>
          <cell r="D1020">
            <v>0.23433295795786754</v>
          </cell>
          <cell r="E1020">
            <v>0</v>
          </cell>
          <cell r="F1020">
            <v>0.76566704204213243</v>
          </cell>
          <cell r="G1020">
            <v>0</v>
          </cell>
        </row>
        <row r="1021">
          <cell r="A1021" t="str">
            <v>503 2015 10 1211 00009</v>
          </cell>
          <cell r="B1021">
            <v>43</v>
          </cell>
          <cell r="C1021">
            <v>42288.371006944442</v>
          </cell>
          <cell r="D1021">
            <v>0.23427661275443901</v>
          </cell>
          <cell r="E1021">
            <v>0</v>
          </cell>
          <cell r="F1021">
            <v>0.76572338724556099</v>
          </cell>
          <cell r="G1021">
            <v>0</v>
          </cell>
        </row>
        <row r="1022">
          <cell r="A1022" t="str">
            <v>504 2014 10 1211 00004</v>
          </cell>
          <cell r="B1022">
            <v>15</v>
          </cell>
          <cell r="C1022">
            <v>41881.403993055559</v>
          </cell>
          <cell r="D1022">
            <v>0.625</v>
          </cell>
          <cell r="E1022">
            <v>0</v>
          </cell>
          <cell r="F1022">
            <v>0.375</v>
          </cell>
          <cell r="G1022">
            <v>0</v>
          </cell>
        </row>
        <row r="1023">
          <cell r="A1023" t="str">
            <v>504 2012 10 1211 00007</v>
          </cell>
          <cell r="B1023">
            <v>16</v>
          </cell>
          <cell r="C1023">
            <v>41270.405439814815</v>
          </cell>
          <cell r="D1023">
            <v>1</v>
          </cell>
          <cell r="E1023">
            <v>0</v>
          </cell>
          <cell r="F1023">
            <v>0</v>
          </cell>
          <cell r="G1023">
            <v>0</v>
          </cell>
        </row>
        <row r="1024">
          <cell r="A1024" t="str">
            <v>504 2014 10 1211 00004</v>
          </cell>
          <cell r="B1024">
            <v>16</v>
          </cell>
          <cell r="C1024">
            <v>41904.375</v>
          </cell>
          <cell r="D1024">
            <v>0.625</v>
          </cell>
          <cell r="E1024">
            <v>0</v>
          </cell>
          <cell r="F1024">
            <v>0.375</v>
          </cell>
          <cell r="G1024">
            <v>0</v>
          </cell>
        </row>
        <row r="1025">
          <cell r="A1025" t="str">
            <v>504 2012 10 1211 00007</v>
          </cell>
          <cell r="B1025">
            <v>17</v>
          </cell>
          <cell r="C1025">
            <v>41274.474548611113</v>
          </cell>
          <cell r="D1025">
            <v>1</v>
          </cell>
          <cell r="E1025">
            <v>0</v>
          </cell>
          <cell r="F1025">
            <v>0</v>
          </cell>
          <cell r="G1025">
            <v>0</v>
          </cell>
        </row>
        <row r="1026">
          <cell r="A1026" t="str">
            <v>504 2014 10 1211 00004</v>
          </cell>
          <cell r="B1026">
            <v>19</v>
          </cell>
          <cell r="C1026">
            <v>41926.333333333336</v>
          </cell>
          <cell r="D1026">
            <v>0.625</v>
          </cell>
          <cell r="E1026">
            <v>0</v>
          </cell>
          <cell r="F1026">
            <v>0.375</v>
          </cell>
          <cell r="G1026">
            <v>0</v>
          </cell>
        </row>
        <row r="1027">
          <cell r="A1027" t="str">
            <v>504 2014 10 1211 00004</v>
          </cell>
          <cell r="B1027">
            <v>20</v>
          </cell>
          <cell r="C1027">
            <v>41925.583333333336</v>
          </cell>
          <cell r="D1027">
            <v>0.625</v>
          </cell>
          <cell r="E1027">
            <v>0</v>
          </cell>
          <cell r="F1027">
            <v>0.375</v>
          </cell>
          <cell r="G1027">
            <v>0</v>
          </cell>
        </row>
        <row r="1028">
          <cell r="A1028" t="str">
            <v>504 2014 10 1211 00004</v>
          </cell>
          <cell r="B1028">
            <v>21</v>
          </cell>
          <cell r="C1028">
            <v>41940.416666666664</v>
          </cell>
          <cell r="D1028">
            <v>0.625</v>
          </cell>
          <cell r="E1028">
            <v>0</v>
          </cell>
          <cell r="F1028">
            <v>0.375</v>
          </cell>
          <cell r="G1028">
            <v>0</v>
          </cell>
        </row>
        <row r="1029">
          <cell r="A1029" t="str">
            <v>504 2014 10 1211 00004</v>
          </cell>
          <cell r="B1029">
            <v>22</v>
          </cell>
          <cell r="C1029">
            <v>41948.416666666664</v>
          </cell>
          <cell r="D1029">
            <v>0.625</v>
          </cell>
          <cell r="E1029">
            <v>0</v>
          </cell>
          <cell r="F1029">
            <v>0.375</v>
          </cell>
          <cell r="G1029">
            <v>0</v>
          </cell>
        </row>
        <row r="1030">
          <cell r="A1030" t="str">
            <v>401 2015 10 1211 00004</v>
          </cell>
          <cell r="B1030">
            <v>21</v>
          </cell>
          <cell r="C1030">
            <v>42339.708333333336</v>
          </cell>
          <cell r="D1030">
            <v>0.19604458689008789</v>
          </cell>
          <cell r="E1030">
            <v>0</v>
          </cell>
          <cell r="F1030">
            <v>0.80395541310991214</v>
          </cell>
          <cell r="G1030">
            <v>0</v>
          </cell>
        </row>
        <row r="1031">
          <cell r="A1031" t="str">
            <v>401 2014 10 1211 00014</v>
          </cell>
          <cell r="B1031">
            <v>22</v>
          </cell>
          <cell r="C1031">
            <v>41731</v>
          </cell>
          <cell r="D1031">
            <v>5.4945054945054951E-2</v>
          </cell>
          <cell r="E1031">
            <v>0</v>
          </cell>
          <cell r="F1031">
            <v>0.94505494505494503</v>
          </cell>
          <cell r="G1031">
            <v>0</v>
          </cell>
        </row>
        <row r="1032">
          <cell r="A1032" t="str">
            <v>401 2014 10 1211 00019</v>
          </cell>
          <cell r="B1032">
            <v>37</v>
          </cell>
          <cell r="C1032">
            <v>41839.3125</v>
          </cell>
          <cell r="D1032">
            <v>0.1</v>
          </cell>
          <cell r="E1032">
            <v>0</v>
          </cell>
          <cell r="F1032">
            <v>0</v>
          </cell>
          <cell r="G1032">
            <v>0.9</v>
          </cell>
        </row>
        <row r="1033">
          <cell r="A1033" t="str">
            <v>401 2014 10 1211 00008</v>
          </cell>
          <cell r="B1033">
            <v>42</v>
          </cell>
          <cell r="C1033">
            <v>41886</v>
          </cell>
          <cell r="D1033">
            <v>5.4945054945054903E-2</v>
          </cell>
          <cell r="E1033">
            <v>0</v>
          </cell>
          <cell r="F1033">
            <v>0.94505494505494514</v>
          </cell>
          <cell r="G1033">
            <v>0</v>
          </cell>
        </row>
        <row r="1034">
          <cell r="A1034" t="str">
            <v>206 2014 10 1212 00002</v>
          </cell>
          <cell r="B1034">
            <v>3</v>
          </cell>
          <cell r="C1034">
            <v>41642.530555555553</v>
          </cell>
          <cell r="D1034">
            <v>0.15046988736426112</v>
          </cell>
          <cell r="E1034">
            <v>0</v>
          </cell>
          <cell r="F1034">
            <v>0.84953011263573885</v>
          </cell>
          <cell r="G1034">
            <v>0</v>
          </cell>
        </row>
        <row r="1035">
          <cell r="A1035" t="str">
            <v>206 2015 10 1212 00003</v>
          </cell>
          <cell r="B1035">
            <v>3</v>
          </cell>
          <cell r="C1035">
            <v>42186.916666666664</v>
          </cell>
          <cell r="D1035">
            <v>0.20957813102568562</v>
          </cell>
          <cell r="E1035">
            <v>0</v>
          </cell>
          <cell r="F1035">
            <v>0.79042186897431432</v>
          </cell>
          <cell r="G1035">
            <v>0</v>
          </cell>
        </row>
        <row r="1036">
          <cell r="A1036" t="str">
            <v>206 2014 10 1212 00001</v>
          </cell>
          <cell r="B1036">
            <v>10</v>
          </cell>
          <cell r="C1036">
            <v>41979.579270833332</v>
          </cell>
          <cell r="D1036">
            <v>0.1457725947521866</v>
          </cell>
          <cell r="E1036">
            <v>0</v>
          </cell>
          <cell r="F1036">
            <v>0.85422740524781338</v>
          </cell>
          <cell r="G1036">
            <v>0</v>
          </cell>
        </row>
        <row r="1037">
          <cell r="A1037" t="str">
            <v>206 2014 10 1212 00008</v>
          </cell>
          <cell r="B1037">
            <v>11</v>
          </cell>
          <cell r="C1037">
            <v>41947.467766203707</v>
          </cell>
          <cell r="D1037">
            <v>6.3619837007199087E-2</v>
          </cell>
          <cell r="E1037">
            <v>0</v>
          </cell>
          <cell r="F1037">
            <v>0.89067771810078722</v>
          </cell>
          <cell r="G1037">
            <v>4.5702444892013694E-2</v>
          </cell>
        </row>
        <row r="1038">
          <cell r="A1038" t="str">
            <v>503 2014 10 1212 00003</v>
          </cell>
          <cell r="B1038">
            <v>2</v>
          </cell>
          <cell r="C1038">
            <v>42108.416666666664</v>
          </cell>
          <cell r="D1038">
            <v>0.1539408866995074</v>
          </cell>
          <cell r="E1038">
            <v>0</v>
          </cell>
          <cell r="F1038">
            <v>0.84605911330049266</v>
          </cell>
          <cell r="G1038">
            <v>0</v>
          </cell>
        </row>
        <row r="1039">
          <cell r="A1039" t="str">
            <v>504 2014 10 1212 00001</v>
          </cell>
          <cell r="B1039">
            <v>2</v>
          </cell>
          <cell r="C1039">
            <v>41885.6875</v>
          </cell>
          <cell r="D1039">
            <v>6.6666666666666666E-2</v>
          </cell>
          <cell r="E1039">
            <v>0</v>
          </cell>
          <cell r="F1039">
            <v>0.93333333333333335</v>
          </cell>
          <cell r="G1039">
            <v>0</v>
          </cell>
        </row>
        <row r="1040">
          <cell r="A1040" t="str">
            <v>504 2014 10 1212 00003</v>
          </cell>
          <cell r="B1040">
            <v>4</v>
          </cell>
          <cell r="C1040">
            <v>42339.375</v>
          </cell>
          <cell r="D1040">
            <v>1</v>
          </cell>
          <cell r="E1040">
            <v>0</v>
          </cell>
          <cell r="F1040">
            <v>0</v>
          </cell>
          <cell r="G1040">
            <v>0</v>
          </cell>
        </row>
        <row r="1041">
          <cell r="A1041" t="str">
            <v>210 2014 10 1212 00004</v>
          </cell>
          <cell r="B1041">
            <v>1</v>
          </cell>
          <cell r="C1041">
            <v>41893</v>
          </cell>
          <cell r="D1041">
            <v>8.0742834073475975E-2</v>
          </cell>
          <cell r="E1041">
            <v>0</v>
          </cell>
          <cell r="F1041">
            <v>0.91925716592652407</v>
          </cell>
          <cell r="G1041">
            <v>0</v>
          </cell>
        </row>
        <row r="1042">
          <cell r="A1042" t="str">
            <v>210 2015 10 1212 00001</v>
          </cell>
          <cell r="B1042">
            <v>1</v>
          </cell>
          <cell r="C1042">
            <v>42142.417094907411</v>
          </cell>
          <cell r="D1042">
            <v>0.28635841520845817</v>
          </cell>
          <cell r="E1042">
            <v>0</v>
          </cell>
          <cell r="F1042">
            <v>0.71364158479154183</v>
          </cell>
          <cell r="G1042">
            <v>0</v>
          </cell>
        </row>
        <row r="1043">
          <cell r="A1043" t="str">
            <v>210 2015 10 1212 00008</v>
          </cell>
          <cell r="B1043">
            <v>12</v>
          </cell>
          <cell r="C1043">
            <v>42029.575162037036</v>
          </cell>
          <cell r="D1043">
            <v>0.11717679910345501</v>
          </cell>
          <cell r="E1043">
            <v>0</v>
          </cell>
          <cell r="F1043">
            <v>0.88282320089654498</v>
          </cell>
          <cell r="G1043">
            <v>0</v>
          </cell>
        </row>
        <row r="1044">
          <cell r="A1044" t="str">
            <v>210 2015 10 1212 00008</v>
          </cell>
          <cell r="B1044">
            <v>13</v>
          </cell>
          <cell r="C1044">
            <v>42015.598807870374</v>
          </cell>
          <cell r="D1044">
            <v>0.11717679910345501</v>
          </cell>
          <cell r="E1044">
            <v>0</v>
          </cell>
          <cell r="F1044">
            <v>0.88282320089654498</v>
          </cell>
          <cell r="G1044">
            <v>0</v>
          </cell>
        </row>
        <row r="1045">
          <cell r="A1045" t="str">
            <v>210 2015 10 1212 00008</v>
          </cell>
          <cell r="B1045">
            <v>14</v>
          </cell>
          <cell r="C1045">
            <v>42050.603020833332</v>
          </cell>
          <cell r="D1045">
            <v>0.11717679910345501</v>
          </cell>
          <cell r="E1045">
            <v>0</v>
          </cell>
          <cell r="F1045">
            <v>0.88282320089654498</v>
          </cell>
          <cell r="G1045">
            <v>0</v>
          </cell>
        </row>
        <row r="1046">
          <cell r="A1046" t="str">
            <v>401 2013 10 1211 00005</v>
          </cell>
          <cell r="B1046">
            <v>43</v>
          </cell>
          <cell r="C1046">
            <v>41615.4375</v>
          </cell>
          <cell r="D1046">
            <v>5.8823529411764705E-2</v>
          </cell>
          <cell r="E1046">
            <v>0</v>
          </cell>
          <cell r="F1046">
            <v>0.94117647058823528</v>
          </cell>
          <cell r="G1046">
            <v>0</v>
          </cell>
        </row>
        <row r="1047">
          <cell r="A1047" t="str">
            <v>501 2013 10 1211 00004</v>
          </cell>
          <cell r="B1047">
            <v>7</v>
          </cell>
          <cell r="C1047">
            <v>41388.397013888891</v>
          </cell>
          <cell r="D1047">
            <v>0.9402504323177463</v>
          </cell>
          <cell r="E1047">
            <v>0</v>
          </cell>
          <cell r="F1047">
            <v>5.9749567682253701E-2</v>
          </cell>
          <cell r="G1047">
            <v>0</v>
          </cell>
        </row>
        <row r="1048">
          <cell r="A1048" t="str">
            <v>501 2014 10 1211 00036</v>
          </cell>
          <cell r="B1048">
            <v>7</v>
          </cell>
          <cell r="C1048">
            <v>42110.407905092594</v>
          </cell>
          <cell r="D1048">
            <v>0.7142857142857143</v>
          </cell>
          <cell r="E1048">
            <v>0</v>
          </cell>
          <cell r="F1048">
            <v>0.2857142857142857</v>
          </cell>
          <cell r="G1048">
            <v>0</v>
          </cell>
        </row>
        <row r="1049">
          <cell r="A1049" t="str">
            <v>501 2015 10 1211 00009</v>
          </cell>
          <cell r="B1049">
            <v>10</v>
          </cell>
          <cell r="C1049">
            <v>42014.53533564815</v>
          </cell>
          <cell r="D1049">
            <v>0.69156293222683263</v>
          </cell>
          <cell r="E1049">
            <v>0</v>
          </cell>
          <cell r="F1049">
            <v>0.30843706777316737</v>
          </cell>
          <cell r="G1049">
            <v>0</v>
          </cell>
        </row>
        <row r="1050">
          <cell r="A1050" t="str">
            <v>503 2015 10 1211 00009</v>
          </cell>
          <cell r="B1050">
            <v>26</v>
          </cell>
          <cell r="C1050">
            <v>42157.479375000003</v>
          </cell>
          <cell r="D1050">
            <v>0.23427661275443901</v>
          </cell>
          <cell r="E1050">
            <v>0</v>
          </cell>
          <cell r="F1050">
            <v>0.76572338724556099</v>
          </cell>
          <cell r="G1050">
            <v>0</v>
          </cell>
        </row>
        <row r="1051">
          <cell r="A1051" t="str">
            <v>503 2015 10 1211 00018</v>
          </cell>
          <cell r="B1051">
            <v>47</v>
          </cell>
          <cell r="C1051">
            <v>42310.454988425925</v>
          </cell>
          <cell r="D1051">
            <v>0.51546391752577314</v>
          </cell>
          <cell r="E1051">
            <v>0</v>
          </cell>
          <cell r="F1051">
            <v>0.4845360824742268</v>
          </cell>
          <cell r="G1051">
            <v>0</v>
          </cell>
        </row>
        <row r="1052">
          <cell r="A1052" t="str">
            <v>503 2015 10 1211 00010</v>
          </cell>
          <cell r="B1052">
            <v>48</v>
          </cell>
          <cell r="C1052">
            <v>42317.704131944447</v>
          </cell>
          <cell r="D1052">
            <v>0.23433295795786754</v>
          </cell>
          <cell r="E1052">
            <v>0</v>
          </cell>
          <cell r="F1052">
            <v>0.76566704204213243</v>
          </cell>
          <cell r="G1052">
            <v>0</v>
          </cell>
        </row>
        <row r="1053">
          <cell r="A1053" t="str">
            <v>503 2014 10 1211 00006</v>
          </cell>
          <cell r="B1053">
            <v>49</v>
          </cell>
          <cell r="C1053">
            <v>41954.715208333335</v>
          </cell>
          <cell r="D1053">
            <v>0.19722841456988308</v>
          </cell>
          <cell r="E1053">
            <v>0</v>
          </cell>
          <cell r="F1053">
            <v>0.80277158543011695</v>
          </cell>
          <cell r="G1053">
            <v>0</v>
          </cell>
        </row>
        <row r="1054">
          <cell r="A1054" t="str">
            <v>503 2015 10 1211 00010</v>
          </cell>
          <cell r="B1054">
            <v>49</v>
          </cell>
          <cell r="C1054">
            <v>42337.388287037036</v>
          </cell>
          <cell r="D1054">
            <v>0.23433295795786754</v>
          </cell>
          <cell r="E1054">
            <v>0</v>
          </cell>
          <cell r="F1054">
            <v>0.76566704204213243</v>
          </cell>
          <cell r="G1054">
            <v>0</v>
          </cell>
        </row>
        <row r="1055">
          <cell r="A1055" t="str">
            <v>503 2014 10 1211 00004</v>
          </cell>
          <cell r="B1055">
            <v>50</v>
          </cell>
          <cell r="C1055">
            <v>41961.365706018521</v>
          </cell>
          <cell r="D1055">
            <v>0.23433295795786754</v>
          </cell>
          <cell r="E1055">
            <v>0</v>
          </cell>
          <cell r="F1055">
            <v>0.76566704204213243</v>
          </cell>
          <cell r="G1055">
            <v>0</v>
          </cell>
        </row>
        <row r="1056">
          <cell r="A1056" t="str">
            <v>503 2015 10 1211 00021</v>
          </cell>
          <cell r="B1056">
            <v>50</v>
          </cell>
          <cell r="C1056">
            <v>42337.405277777776</v>
          </cell>
          <cell r="D1056">
            <v>0.42735042735042733</v>
          </cell>
          <cell r="E1056">
            <v>0</v>
          </cell>
          <cell r="F1056">
            <v>0.57264957264957261</v>
          </cell>
          <cell r="G1056">
            <v>0</v>
          </cell>
        </row>
        <row r="1057">
          <cell r="A1057" t="str">
            <v>505 2015 10 1211 00004</v>
          </cell>
          <cell r="B1057">
            <v>6</v>
          </cell>
          <cell r="C1057">
            <v>42345.613182870373</v>
          </cell>
          <cell r="D1057">
            <v>1</v>
          </cell>
          <cell r="E1057">
            <v>0</v>
          </cell>
          <cell r="F1057">
            <v>0</v>
          </cell>
          <cell r="G1057">
            <v>0</v>
          </cell>
        </row>
        <row r="1058">
          <cell r="A1058" t="str">
            <v>505 2014 10 1211 00022</v>
          </cell>
          <cell r="B1058">
            <v>12</v>
          </cell>
          <cell r="C1058">
            <v>41707</v>
          </cell>
          <cell r="D1058">
            <v>0.32341549364147415</v>
          </cell>
          <cell r="E1058">
            <v>0</v>
          </cell>
          <cell r="F1058">
            <v>0.67658450635852585</v>
          </cell>
          <cell r="G1058">
            <v>0</v>
          </cell>
        </row>
        <row r="1059">
          <cell r="A1059" t="str">
            <v>203 2012 10 1211 00015</v>
          </cell>
          <cell r="B1059">
            <v>62</v>
          </cell>
          <cell r="C1059">
            <v>41233.377453703702</v>
          </cell>
          <cell r="D1059">
            <v>0.77511650551410594</v>
          </cell>
          <cell r="E1059">
            <v>0</v>
          </cell>
          <cell r="F1059">
            <v>0.22488349448589406</v>
          </cell>
          <cell r="G1059">
            <v>0</v>
          </cell>
        </row>
        <row r="1060">
          <cell r="A1060" t="str">
            <v>203 2015 10 1211 00001</v>
          </cell>
          <cell r="B1060">
            <v>62</v>
          </cell>
          <cell r="C1060">
            <v>42136.530694444446</v>
          </cell>
          <cell r="D1060">
            <v>5.8633281100587728E-2</v>
          </cell>
          <cell r="E1060">
            <v>0</v>
          </cell>
          <cell r="F1060">
            <v>0.94136671889941226</v>
          </cell>
          <cell r="G1060">
            <v>0</v>
          </cell>
        </row>
        <row r="1061">
          <cell r="A1061" t="str">
            <v>203 2012 10 1211 00009</v>
          </cell>
          <cell r="B1061">
            <v>63</v>
          </cell>
          <cell r="C1061">
            <v>41228.382326388892</v>
          </cell>
          <cell r="D1061">
            <v>9.8039613804000364E-2</v>
          </cell>
          <cell r="E1061">
            <v>0</v>
          </cell>
          <cell r="F1061">
            <v>0.90196038619599961</v>
          </cell>
          <cell r="G1061">
            <v>0</v>
          </cell>
        </row>
        <row r="1062">
          <cell r="A1062" t="str">
            <v>203 2013 10 1211 00009</v>
          </cell>
          <cell r="B1062">
            <v>91</v>
          </cell>
          <cell r="C1062">
            <v>41484.66474537037</v>
          </cell>
          <cell r="D1062">
            <v>5.8823529411764712E-2</v>
          </cell>
          <cell r="E1062">
            <v>0</v>
          </cell>
          <cell r="F1062">
            <v>0.94117647058823528</v>
          </cell>
          <cell r="G1062">
            <v>0</v>
          </cell>
        </row>
        <row r="1063">
          <cell r="A1063" t="str">
            <v>203 2013 10 1211 00009</v>
          </cell>
          <cell r="B1063">
            <v>92</v>
          </cell>
          <cell r="C1063">
            <v>41526.373298611114</v>
          </cell>
          <cell r="D1063">
            <v>5.8823529411764712E-2</v>
          </cell>
          <cell r="E1063">
            <v>0</v>
          </cell>
          <cell r="F1063">
            <v>0.94117647058823528</v>
          </cell>
          <cell r="G1063">
            <v>0</v>
          </cell>
        </row>
        <row r="1064">
          <cell r="A1064" t="str">
            <v>203 2014 10 1211 00006</v>
          </cell>
          <cell r="B1064">
            <v>92</v>
          </cell>
          <cell r="C1064">
            <v>41640.666666666664</v>
          </cell>
          <cell r="D1064">
            <v>0.28239389219784183</v>
          </cell>
          <cell r="E1064">
            <v>0</v>
          </cell>
          <cell r="F1064">
            <v>0.71760610780215817</v>
          </cell>
          <cell r="G1064">
            <v>0</v>
          </cell>
        </row>
        <row r="1065">
          <cell r="A1065" t="str">
            <v>203 2014 10 1211 00005</v>
          </cell>
          <cell r="B1065">
            <v>123</v>
          </cell>
          <cell r="C1065">
            <v>41941.566493055558</v>
          </cell>
          <cell r="D1065">
            <v>5.4945054945054951E-2</v>
          </cell>
          <cell r="E1065">
            <v>0</v>
          </cell>
          <cell r="F1065">
            <v>0.94505494505494503</v>
          </cell>
          <cell r="G1065">
            <v>0</v>
          </cell>
        </row>
        <row r="1066">
          <cell r="A1066" t="str">
            <v>203 2013 10 1211 00009</v>
          </cell>
          <cell r="B1066">
            <v>124</v>
          </cell>
          <cell r="C1066">
            <v>41626.436805555553</v>
          </cell>
          <cell r="D1066">
            <v>5.8823529411764712E-2</v>
          </cell>
          <cell r="E1066">
            <v>0</v>
          </cell>
          <cell r="F1066">
            <v>0.94117647058823528</v>
          </cell>
          <cell r="G1066">
            <v>0</v>
          </cell>
        </row>
        <row r="1067">
          <cell r="A1067" t="str">
            <v>203 2014 10 1211 00005</v>
          </cell>
          <cell r="B1067">
            <v>124</v>
          </cell>
          <cell r="C1067">
            <v>41956.577627314815</v>
          </cell>
          <cell r="D1067">
            <v>5.4945054945054951E-2</v>
          </cell>
          <cell r="E1067">
            <v>0</v>
          </cell>
          <cell r="F1067">
            <v>0.94505494505494503</v>
          </cell>
          <cell r="G1067">
            <v>0</v>
          </cell>
        </row>
        <row r="1068">
          <cell r="A1068" t="str">
            <v>204 2013 10 1211 00001</v>
          </cell>
          <cell r="B1068">
            <v>2</v>
          </cell>
          <cell r="C1068">
            <v>41285.385509259257</v>
          </cell>
          <cell r="D1068">
            <v>5.8823529411764705E-2</v>
          </cell>
          <cell r="E1068">
            <v>0</v>
          </cell>
          <cell r="F1068">
            <v>0.94117647058823495</v>
          </cell>
          <cell r="G1068">
            <v>0</v>
          </cell>
        </row>
        <row r="1069">
          <cell r="A1069" t="str">
            <v>204 2012 10 1211 00009</v>
          </cell>
          <cell r="B1069">
            <v>15</v>
          </cell>
          <cell r="C1069">
            <v>41151.464409722219</v>
          </cell>
          <cell r="D1069">
            <v>0.03</v>
          </cell>
          <cell r="E1069">
            <v>0</v>
          </cell>
          <cell r="F1069">
            <v>0</v>
          </cell>
          <cell r="G1069">
            <v>0.97</v>
          </cell>
        </row>
        <row r="1070">
          <cell r="A1070" t="str">
            <v>204 2009 10 1211 00001</v>
          </cell>
          <cell r="B1070">
            <v>57</v>
          </cell>
          <cell r="C1070">
            <v>40149</v>
          </cell>
          <cell r="D1070">
            <v>0.03</v>
          </cell>
          <cell r="E1070">
            <v>0</v>
          </cell>
          <cell r="F1070">
            <v>0</v>
          </cell>
          <cell r="G1070">
            <v>0.97</v>
          </cell>
        </row>
        <row r="1071">
          <cell r="A1071" t="str">
            <v>501 2015 10 1211 00044</v>
          </cell>
          <cell r="B1071">
            <v>31</v>
          </cell>
          <cell r="C1071">
            <v>42061.379259259258</v>
          </cell>
          <cell r="D1071">
            <v>0.75738968331772494</v>
          </cell>
          <cell r="E1071">
            <v>0</v>
          </cell>
          <cell r="F1071">
            <v>0.24261031668227501</v>
          </cell>
          <cell r="G1071">
            <v>0</v>
          </cell>
        </row>
        <row r="1072">
          <cell r="A1072" t="str">
            <v>203 2015 10 1211 00001</v>
          </cell>
          <cell r="B1072">
            <v>28</v>
          </cell>
          <cell r="C1072">
            <v>42061.634664351855</v>
          </cell>
          <cell r="D1072">
            <v>5.8633281100587728E-2</v>
          </cell>
          <cell r="E1072">
            <v>0</v>
          </cell>
          <cell r="F1072">
            <v>0.94136671889941226</v>
          </cell>
          <cell r="G1072">
            <v>0</v>
          </cell>
        </row>
        <row r="1073">
          <cell r="A1073" t="str">
            <v>203 2015 10 1211 00001</v>
          </cell>
          <cell r="B1073">
            <v>29</v>
          </cell>
          <cell r="C1073">
            <v>42064.646134259259</v>
          </cell>
          <cell r="D1073">
            <v>5.8633281100587728E-2</v>
          </cell>
          <cell r="E1073">
            <v>0</v>
          </cell>
          <cell r="F1073">
            <v>0.94136671889941226</v>
          </cell>
          <cell r="G1073">
            <v>0</v>
          </cell>
        </row>
        <row r="1074">
          <cell r="A1074" t="str">
            <v>203 2013 10 1211 00009</v>
          </cell>
          <cell r="B1074">
            <v>50</v>
          </cell>
          <cell r="C1074">
            <v>41339.439074074071</v>
          </cell>
          <cell r="D1074">
            <v>5.8823529411764712E-2</v>
          </cell>
          <cell r="E1074">
            <v>0</v>
          </cell>
          <cell r="F1074">
            <v>0.94117647058823528</v>
          </cell>
          <cell r="G1074">
            <v>0</v>
          </cell>
        </row>
        <row r="1075">
          <cell r="A1075" t="str">
            <v>203 2015 10 1211 00001</v>
          </cell>
          <cell r="B1075">
            <v>50</v>
          </cell>
          <cell r="C1075">
            <v>42091.694293981483</v>
          </cell>
          <cell r="D1075">
            <v>5.5375312604714712E-2</v>
          </cell>
          <cell r="E1075">
            <v>0</v>
          </cell>
          <cell r="F1075">
            <v>0.94462468739528527</v>
          </cell>
          <cell r="G1075">
            <v>0</v>
          </cell>
        </row>
        <row r="1076">
          <cell r="A1076" t="str">
            <v>203 2015 10 1211 00001</v>
          </cell>
          <cell r="B1076">
            <v>51</v>
          </cell>
          <cell r="C1076">
            <v>42102.698877314811</v>
          </cell>
          <cell r="D1076">
            <v>5.8633281100587728E-2</v>
          </cell>
          <cell r="E1076">
            <v>0</v>
          </cell>
          <cell r="F1076">
            <v>0.94136671889941226</v>
          </cell>
          <cell r="G1076">
            <v>0</v>
          </cell>
        </row>
        <row r="1077">
          <cell r="A1077" t="str">
            <v>203 2014 10 1211 00005</v>
          </cell>
          <cell r="B1077">
            <v>76</v>
          </cell>
          <cell r="C1077">
            <v>41854.591435185182</v>
          </cell>
          <cell r="D1077">
            <v>5.4945054945054951E-2</v>
          </cell>
          <cell r="E1077">
            <v>0</v>
          </cell>
          <cell r="F1077">
            <v>0.94505494505494503</v>
          </cell>
          <cell r="G1077">
            <v>0</v>
          </cell>
        </row>
        <row r="1078">
          <cell r="A1078" t="str">
            <v>203 2015 10 1211 00001</v>
          </cell>
          <cell r="B1078">
            <v>76</v>
          </cell>
          <cell r="C1078">
            <v>42150.632199074076</v>
          </cell>
          <cell r="D1078">
            <v>5.8633281100587728E-2</v>
          </cell>
          <cell r="E1078">
            <v>0</v>
          </cell>
          <cell r="F1078">
            <v>0.94136671889941226</v>
          </cell>
          <cell r="G1078">
            <v>0</v>
          </cell>
        </row>
        <row r="1079">
          <cell r="A1079" t="str">
            <v>203 2013 10 1211 00009</v>
          </cell>
          <cell r="B1079">
            <v>77</v>
          </cell>
          <cell r="C1079">
            <v>41469.422326388885</v>
          </cell>
          <cell r="D1079">
            <v>5.8823529411764712E-2</v>
          </cell>
          <cell r="E1079">
            <v>0</v>
          </cell>
          <cell r="F1079">
            <v>0.94117647058823528</v>
          </cell>
          <cell r="G1079">
            <v>0</v>
          </cell>
        </row>
        <row r="1080">
          <cell r="A1080" t="str">
            <v>203 2015 10 1211 00001</v>
          </cell>
          <cell r="B1080">
            <v>77</v>
          </cell>
          <cell r="C1080">
            <v>42160.503541666665</v>
          </cell>
          <cell r="D1080">
            <v>5.8633281100587728E-2</v>
          </cell>
          <cell r="E1080">
            <v>0</v>
          </cell>
          <cell r="F1080">
            <v>0.94136671889941226</v>
          </cell>
          <cell r="G1080">
            <v>0</v>
          </cell>
        </row>
        <row r="1081">
          <cell r="A1081" t="str">
            <v>203 2014 10 1211 00005</v>
          </cell>
          <cell r="B1081">
            <v>112</v>
          </cell>
          <cell r="C1081">
            <v>41915.579560185186</v>
          </cell>
          <cell r="D1081">
            <v>5.4945054945054951E-2</v>
          </cell>
          <cell r="E1081">
            <v>0</v>
          </cell>
          <cell r="F1081">
            <v>0.94505494505494503</v>
          </cell>
          <cell r="G1081">
            <v>0</v>
          </cell>
        </row>
        <row r="1082">
          <cell r="A1082" t="str">
            <v>302 2015 10 1212 00005</v>
          </cell>
          <cell r="B1082">
            <v>5</v>
          </cell>
          <cell r="C1082">
            <v>42337.544803240744</v>
          </cell>
          <cell r="D1082">
            <v>0.81037277147487841</v>
          </cell>
          <cell r="E1082">
            <v>0</v>
          </cell>
          <cell r="F1082">
            <v>0.18962722852512157</v>
          </cell>
          <cell r="G1082">
            <v>0</v>
          </cell>
        </row>
        <row r="1083">
          <cell r="A1083" t="str">
            <v>302 2013 10 1212 00017</v>
          </cell>
          <cell r="B1083">
            <v>6</v>
          </cell>
          <cell r="C1083">
            <v>41480.457418981481</v>
          </cell>
          <cell r="D1083">
            <v>0.24257715163098326</v>
          </cell>
          <cell r="E1083">
            <v>0</v>
          </cell>
          <cell r="F1083">
            <v>0.75742284836901674</v>
          </cell>
          <cell r="G1083">
            <v>0</v>
          </cell>
        </row>
        <row r="1084">
          <cell r="A1084" t="str">
            <v>302 2013 10 1212 00018</v>
          </cell>
          <cell r="B1084">
            <v>14</v>
          </cell>
          <cell r="C1084">
            <v>41683.386180555557</v>
          </cell>
          <cell r="D1084">
            <v>7.2463768115942032E-2</v>
          </cell>
          <cell r="E1084">
            <v>0</v>
          </cell>
          <cell r="F1084">
            <v>0.92753623188405798</v>
          </cell>
          <cell r="G1084">
            <v>0</v>
          </cell>
        </row>
        <row r="1085">
          <cell r="A1085" t="str">
            <v>402 2014 10 1212 00003</v>
          </cell>
          <cell r="B1085">
            <v>4</v>
          </cell>
          <cell r="C1085">
            <v>42085.33384259259</v>
          </cell>
          <cell r="D1085">
            <v>0.22285459374987357</v>
          </cell>
          <cell r="E1085">
            <v>0</v>
          </cell>
          <cell r="F1085">
            <v>0.7771454062501264</v>
          </cell>
          <cell r="G1085">
            <v>0</v>
          </cell>
        </row>
        <row r="1086">
          <cell r="A1086" t="str">
            <v>402 2014 10 1212 00003</v>
          </cell>
          <cell r="B1086">
            <v>5</v>
          </cell>
          <cell r="C1086">
            <v>42113.916666666664</v>
          </cell>
          <cell r="D1086">
            <v>0.22285459374987357</v>
          </cell>
          <cell r="E1086">
            <v>0</v>
          </cell>
          <cell r="F1086">
            <v>0.7771454062501264</v>
          </cell>
          <cell r="G1086">
            <v>0</v>
          </cell>
        </row>
        <row r="1087">
          <cell r="A1087" t="str">
            <v>501 2012 10 1212 00002</v>
          </cell>
          <cell r="B1087">
            <v>9</v>
          </cell>
          <cell r="C1087">
            <v>41102.625462962962</v>
          </cell>
          <cell r="D1087">
            <v>0.24945923791760938</v>
          </cell>
          <cell r="E1087">
            <v>0</v>
          </cell>
          <cell r="F1087">
            <v>0.75054076208239062</v>
          </cell>
          <cell r="G1087">
            <v>0</v>
          </cell>
        </row>
        <row r="1088">
          <cell r="A1088" t="str">
            <v>501 2015 10 1212 00001</v>
          </cell>
          <cell r="B1088">
            <v>9</v>
          </cell>
          <cell r="C1088">
            <v>42169.333599537036</v>
          </cell>
          <cell r="D1088">
            <v>0.21250266962954742</v>
          </cell>
          <cell r="E1088">
            <v>0</v>
          </cell>
          <cell r="F1088">
            <v>0.78749733037045255</v>
          </cell>
          <cell r="G1088">
            <v>0</v>
          </cell>
        </row>
        <row r="1089">
          <cell r="A1089" t="str">
            <v>501 2015 10 1212 00001</v>
          </cell>
          <cell r="B1089">
            <v>11</v>
          </cell>
          <cell r="C1089">
            <v>42170.562662037039</v>
          </cell>
          <cell r="D1089">
            <v>0.21250266962954742</v>
          </cell>
          <cell r="E1089">
            <v>0</v>
          </cell>
          <cell r="F1089">
            <v>0.78749733037045255</v>
          </cell>
          <cell r="G1089">
            <v>0</v>
          </cell>
        </row>
        <row r="1090">
          <cell r="A1090" t="str">
            <v>501 2015 10 1212 00002</v>
          </cell>
          <cell r="B1090">
            <v>14</v>
          </cell>
          <cell r="C1090">
            <v>42249.583379629628</v>
          </cell>
          <cell r="D1090">
            <v>0.17669423705422171</v>
          </cell>
          <cell r="E1090">
            <v>0</v>
          </cell>
          <cell r="F1090">
            <v>0.82330576294577829</v>
          </cell>
          <cell r="G1090">
            <v>0</v>
          </cell>
        </row>
        <row r="1091">
          <cell r="A1091" t="str">
            <v>501 2014 10 1212 00001</v>
          </cell>
          <cell r="B1091">
            <v>17</v>
          </cell>
          <cell r="C1091">
            <v>41820.529340277775</v>
          </cell>
          <cell r="D1091">
            <v>0.17669423705422171</v>
          </cell>
          <cell r="E1091">
            <v>0</v>
          </cell>
          <cell r="F1091">
            <v>0.82330576294577829</v>
          </cell>
          <cell r="G1091">
            <v>0</v>
          </cell>
        </row>
        <row r="1092">
          <cell r="A1092" t="str">
            <v>501 2015 10 1212 00002</v>
          </cell>
          <cell r="B1092">
            <v>17</v>
          </cell>
          <cell r="C1092">
            <v>42278.083379629628</v>
          </cell>
          <cell r="D1092">
            <v>0.17669423705422171</v>
          </cell>
          <cell r="E1092">
            <v>0</v>
          </cell>
          <cell r="F1092">
            <v>0.82330576294577829</v>
          </cell>
          <cell r="G1092">
            <v>0</v>
          </cell>
        </row>
        <row r="1093">
          <cell r="A1093" t="str">
            <v>501 2014 10 1212 00001</v>
          </cell>
          <cell r="B1093">
            <v>19</v>
          </cell>
          <cell r="C1093">
            <v>41837.545289351852</v>
          </cell>
          <cell r="D1093">
            <v>0.17669423705422171</v>
          </cell>
          <cell r="E1093">
            <v>0</v>
          </cell>
          <cell r="F1093">
            <v>0.82330576294577829</v>
          </cell>
          <cell r="G1093">
            <v>0</v>
          </cell>
        </row>
        <row r="1094">
          <cell r="A1094" t="str">
            <v>203 2013 10 1211 00009</v>
          </cell>
          <cell r="B1094">
            <v>113</v>
          </cell>
          <cell r="C1094">
            <v>41594.603842592594</v>
          </cell>
          <cell r="D1094">
            <v>5.8823529411764712E-2</v>
          </cell>
          <cell r="E1094">
            <v>0</v>
          </cell>
          <cell r="F1094">
            <v>0.94117647058823528</v>
          </cell>
          <cell r="G1094">
            <v>0</v>
          </cell>
        </row>
        <row r="1095">
          <cell r="A1095" t="str">
            <v>203 2014 10 1211 00006</v>
          </cell>
          <cell r="B1095">
            <v>113</v>
          </cell>
          <cell r="C1095">
            <v>41921.582685185182</v>
          </cell>
          <cell r="D1095">
            <v>0.28239389219784183</v>
          </cell>
          <cell r="E1095">
            <v>0</v>
          </cell>
          <cell r="F1095">
            <v>0.71760610780215817</v>
          </cell>
          <cell r="G1095">
            <v>0</v>
          </cell>
        </row>
        <row r="1096">
          <cell r="A1096" t="str">
            <v>100 2003 10 1211 00035</v>
          </cell>
          <cell r="B1096">
            <v>10</v>
          </cell>
          <cell r="C1096">
            <v>37663</v>
          </cell>
          <cell r="D1096">
            <v>0.11856800000000001</v>
          </cell>
          <cell r="E1096">
            <v>8.8143200000000005E-2</v>
          </cell>
          <cell r="F1096">
            <v>0.79328880000000002</v>
          </cell>
          <cell r="G1096">
            <v>0</v>
          </cell>
        </row>
        <row r="1097">
          <cell r="A1097" t="str">
            <v>203 2014 10 1211 00005</v>
          </cell>
          <cell r="B1097">
            <v>26</v>
          </cell>
          <cell r="C1097">
            <v>41703.547719907408</v>
          </cell>
          <cell r="D1097">
            <v>5.4945054945054951E-2</v>
          </cell>
          <cell r="E1097">
            <v>0</v>
          </cell>
          <cell r="F1097">
            <v>0.94505494505494503</v>
          </cell>
          <cell r="G1097">
            <v>0</v>
          </cell>
        </row>
        <row r="1098">
          <cell r="A1098" t="str">
            <v>203 2015 10 1211 00001</v>
          </cell>
          <cell r="B1098">
            <v>26</v>
          </cell>
          <cell r="C1098">
            <v>42052.625821759262</v>
          </cell>
          <cell r="D1098">
            <v>5.8633281100587728E-2</v>
          </cell>
          <cell r="E1098">
            <v>0</v>
          </cell>
          <cell r="F1098">
            <v>0.94136671889941226</v>
          </cell>
          <cell r="G1098">
            <v>0</v>
          </cell>
        </row>
        <row r="1099">
          <cell r="A1099" t="str">
            <v>203 2015 10 1211 00001</v>
          </cell>
          <cell r="B1099">
            <v>47</v>
          </cell>
          <cell r="C1099">
            <v>42103.659108796295</v>
          </cell>
          <cell r="D1099">
            <v>5.8633281100587728E-2</v>
          </cell>
          <cell r="E1099">
            <v>0</v>
          </cell>
          <cell r="F1099">
            <v>0.94136671889941226</v>
          </cell>
          <cell r="G1099">
            <v>0</v>
          </cell>
        </row>
        <row r="1100">
          <cell r="A1100" t="str">
            <v>203 2013 10 1211 00009</v>
          </cell>
          <cell r="B1100">
            <v>48</v>
          </cell>
          <cell r="C1100">
            <v>41344.429930555554</v>
          </cell>
          <cell r="D1100">
            <v>5.8823529411764712E-2</v>
          </cell>
          <cell r="E1100">
            <v>0</v>
          </cell>
          <cell r="F1100">
            <v>0.94117647058823528</v>
          </cell>
          <cell r="G1100">
            <v>0</v>
          </cell>
        </row>
        <row r="1101">
          <cell r="A1101" t="str">
            <v>203 2015 10 1211 00001</v>
          </cell>
          <cell r="B1101">
            <v>48</v>
          </cell>
          <cell r="C1101">
            <v>42107.668807870374</v>
          </cell>
          <cell r="D1101">
            <v>5.8633281100587728E-2</v>
          </cell>
          <cell r="E1101">
            <v>0</v>
          </cell>
          <cell r="F1101">
            <v>0.94136671889941226</v>
          </cell>
          <cell r="G1101">
            <v>0</v>
          </cell>
        </row>
        <row r="1102">
          <cell r="A1102" t="str">
            <v>203 2015 10 1211 00001</v>
          </cell>
          <cell r="B1102">
            <v>71</v>
          </cell>
          <cell r="C1102">
            <v>42152.520833333336</v>
          </cell>
          <cell r="D1102">
            <v>5.8633281100587728E-2</v>
          </cell>
          <cell r="E1102">
            <v>0</v>
          </cell>
          <cell r="F1102">
            <v>0.94136671889941226</v>
          </cell>
          <cell r="G1102">
            <v>0</v>
          </cell>
        </row>
        <row r="1103">
          <cell r="A1103" t="str">
            <v>203 2008 10 1211 00005</v>
          </cell>
          <cell r="B1103">
            <v>72</v>
          </cell>
          <cell r="C1103">
            <v>39976</v>
          </cell>
          <cell r="D1103">
            <v>7.4214000000000002E-2</v>
          </cell>
          <cell r="E1103">
            <v>9.2600000000000002E-2</v>
          </cell>
          <cell r="F1103">
            <v>0.83318599999999998</v>
          </cell>
          <cell r="G1103">
            <v>0</v>
          </cell>
        </row>
        <row r="1104">
          <cell r="A1104" t="str">
            <v>203 2015 10 1211 00001</v>
          </cell>
          <cell r="B1104">
            <v>72</v>
          </cell>
          <cell r="C1104">
            <v>42155.594212962962</v>
          </cell>
          <cell r="D1104">
            <v>5.8633281100587728E-2</v>
          </cell>
          <cell r="E1104">
            <v>0</v>
          </cell>
          <cell r="F1104">
            <v>0.94136671889941226</v>
          </cell>
          <cell r="G1104">
            <v>0</v>
          </cell>
        </row>
        <row r="1105">
          <cell r="A1105" t="str">
            <v>203 2014 10 1211 00005</v>
          </cell>
          <cell r="B1105">
            <v>143</v>
          </cell>
          <cell r="C1105">
            <v>41998.463854166665</v>
          </cell>
          <cell r="D1105">
            <v>5.4945054945054951E-2</v>
          </cell>
          <cell r="E1105">
            <v>0</v>
          </cell>
          <cell r="F1105">
            <v>0.94505494505494503</v>
          </cell>
          <cell r="G1105">
            <v>0</v>
          </cell>
        </row>
        <row r="1106">
          <cell r="A1106" t="str">
            <v>203 2014 10 1211 00005</v>
          </cell>
          <cell r="B1106">
            <v>144</v>
          </cell>
          <cell r="C1106">
            <v>42000.467592592591</v>
          </cell>
          <cell r="D1106">
            <v>5.4945054945054951E-2</v>
          </cell>
          <cell r="E1106">
            <v>0</v>
          </cell>
          <cell r="F1106">
            <v>0.94505494505494503</v>
          </cell>
          <cell r="G1106">
            <v>0</v>
          </cell>
        </row>
        <row r="1107">
          <cell r="A1107" t="str">
            <v>203 2014 10 1212 00009</v>
          </cell>
          <cell r="B1107">
            <v>109</v>
          </cell>
          <cell r="C1107">
            <v>41967.4065162037</v>
          </cell>
          <cell r="D1107">
            <v>5.9565902215354273E-2</v>
          </cell>
          <cell r="E1107">
            <v>0</v>
          </cell>
          <cell r="F1107">
            <v>0.83392263101495978</v>
          </cell>
          <cell r="G1107">
            <v>0.10651146676968593</v>
          </cell>
        </row>
        <row r="1108">
          <cell r="A1108" t="str">
            <v>203 2014 10 1212 00011</v>
          </cell>
          <cell r="B1108">
            <v>111</v>
          </cell>
          <cell r="C1108">
            <v>41975.338171296295</v>
          </cell>
          <cell r="D1108">
            <v>0.2155046172804585</v>
          </cell>
          <cell r="E1108">
            <v>0</v>
          </cell>
          <cell r="F1108">
            <v>0.78449538271954156</v>
          </cell>
          <cell r="G1108">
            <v>0</v>
          </cell>
        </row>
        <row r="1109">
          <cell r="A1109" t="str">
            <v>205 2015 10 1212 00003</v>
          </cell>
          <cell r="B1109">
            <v>2</v>
          </cell>
          <cell r="C1109">
            <v>42089.666574074072</v>
          </cell>
          <cell r="D1109">
            <v>1</v>
          </cell>
          <cell r="E1109">
            <v>0</v>
          </cell>
          <cell r="F1109">
            <v>0</v>
          </cell>
          <cell r="G1109">
            <v>0</v>
          </cell>
        </row>
        <row r="1110">
          <cell r="A1110" t="str">
            <v>205 2013 10 1212 00013</v>
          </cell>
          <cell r="B1110">
            <v>4</v>
          </cell>
          <cell r="C1110">
            <v>41296.727013888885</v>
          </cell>
          <cell r="D1110">
            <v>1</v>
          </cell>
          <cell r="E1110">
            <v>0</v>
          </cell>
          <cell r="F1110">
            <v>0</v>
          </cell>
          <cell r="G1110">
            <v>0</v>
          </cell>
        </row>
        <row r="1111">
          <cell r="A1111" t="str">
            <v>205 2014 10 1212 00003</v>
          </cell>
          <cell r="B1111">
            <v>5</v>
          </cell>
          <cell r="C1111">
            <v>41799.667175925926</v>
          </cell>
          <cell r="D1111">
            <v>0.75</v>
          </cell>
          <cell r="E1111">
            <v>0</v>
          </cell>
          <cell r="F1111">
            <v>0.25</v>
          </cell>
          <cell r="G1111">
            <v>0</v>
          </cell>
        </row>
        <row r="1112">
          <cell r="A1112" t="str">
            <v>205 2014 10 1212 00020</v>
          </cell>
          <cell r="B1112">
            <v>5</v>
          </cell>
          <cell r="C1112">
            <v>42225.384780092594</v>
          </cell>
          <cell r="D1112">
            <v>7.7510167556295445E-2</v>
          </cell>
          <cell r="E1112">
            <v>0</v>
          </cell>
          <cell r="F1112">
            <v>0.92248983244370453</v>
          </cell>
          <cell r="G1112">
            <v>0</v>
          </cell>
        </row>
        <row r="1113">
          <cell r="A1113" t="str">
            <v>205 2012 10 1212 00021</v>
          </cell>
          <cell r="B1113">
            <v>8</v>
          </cell>
          <cell r="C1113">
            <v>41219.396087962959</v>
          </cell>
          <cell r="D1113">
            <v>8.3459831647504992E-2</v>
          </cell>
          <cell r="E1113">
            <v>0</v>
          </cell>
          <cell r="F1113">
            <v>0.91654016835249497</v>
          </cell>
          <cell r="G1113">
            <v>0</v>
          </cell>
        </row>
        <row r="1114">
          <cell r="A1114" t="str">
            <v>205 2014 10 1212 00003</v>
          </cell>
          <cell r="B1114">
            <v>11</v>
          </cell>
          <cell r="C1114">
            <v>41866.479768518519</v>
          </cell>
          <cell r="D1114">
            <v>0.75</v>
          </cell>
          <cell r="E1114">
            <v>0</v>
          </cell>
          <cell r="F1114">
            <v>0.25</v>
          </cell>
          <cell r="G1114">
            <v>0</v>
          </cell>
        </row>
        <row r="1115">
          <cell r="A1115" t="str">
            <v>205 2013 10 1212 00016</v>
          </cell>
          <cell r="B1115">
            <v>18</v>
          </cell>
          <cell r="C1115">
            <v>41610.364756944444</v>
          </cell>
          <cell r="D1115">
            <v>8.3459831647504992E-2</v>
          </cell>
          <cell r="E1115">
            <v>0</v>
          </cell>
          <cell r="F1115">
            <v>0.91654016835249497</v>
          </cell>
          <cell r="G1115">
            <v>0</v>
          </cell>
        </row>
        <row r="1116">
          <cell r="A1116" t="str">
            <v>206 2013 10 1212 00016</v>
          </cell>
          <cell r="B1116">
            <v>4</v>
          </cell>
          <cell r="C1116">
            <v>41492.309895833336</v>
          </cell>
          <cell r="D1116">
            <v>7.2463768115942032E-2</v>
          </cell>
          <cell r="E1116">
            <v>0</v>
          </cell>
          <cell r="F1116">
            <v>0.92753623188405798</v>
          </cell>
          <cell r="G1116">
            <v>0</v>
          </cell>
        </row>
        <row r="1117">
          <cell r="A1117" t="str">
            <v>206 2013 10 1212 00019</v>
          </cell>
          <cell r="B1117">
            <v>4</v>
          </cell>
          <cell r="C1117">
            <v>41770.426516203705</v>
          </cell>
          <cell r="D1117">
            <v>0.10512292380461102</v>
          </cell>
          <cell r="E1117">
            <v>0</v>
          </cell>
          <cell r="F1117">
            <v>0.89487707619538903</v>
          </cell>
          <cell r="G1117">
            <v>0</v>
          </cell>
        </row>
        <row r="1118">
          <cell r="A1118" t="str">
            <v>501 2014 10 1212 00002</v>
          </cell>
          <cell r="B1118">
            <v>23</v>
          </cell>
          <cell r="C1118">
            <v>41814.411747685182</v>
          </cell>
          <cell r="D1118">
            <v>0.30338254626601835</v>
          </cell>
          <cell r="E1118">
            <v>0</v>
          </cell>
          <cell r="F1118">
            <v>0.69661745373398165</v>
          </cell>
          <cell r="G1118">
            <v>0</v>
          </cell>
        </row>
        <row r="1119">
          <cell r="A1119" t="str">
            <v>501 2014 10 1212 00001</v>
          </cell>
          <cell r="B1119">
            <v>27</v>
          </cell>
          <cell r="C1119">
            <v>41977.371388888889</v>
          </cell>
          <cell r="D1119">
            <v>0.17669423705422171</v>
          </cell>
          <cell r="E1119">
            <v>0</v>
          </cell>
          <cell r="F1119">
            <v>0.82330576294577829</v>
          </cell>
          <cell r="G1119">
            <v>0</v>
          </cell>
        </row>
        <row r="1120">
          <cell r="A1120" t="str">
            <v>203 2014 10 1211 00005</v>
          </cell>
          <cell r="B1120">
            <v>145</v>
          </cell>
          <cell r="C1120">
            <v>42000.635416666664</v>
          </cell>
          <cell r="D1120">
            <v>5.4945054945054951E-2</v>
          </cell>
          <cell r="E1120">
            <v>0</v>
          </cell>
          <cell r="F1120">
            <v>0.94505494505494503</v>
          </cell>
          <cell r="G1120">
            <v>0</v>
          </cell>
        </row>
        <row r="1121">
          <cell r="A1121" t="str">
            <v>204 2013 10 1211 00011</v>
          </cell>
          <cell r="B1121">
            <v>1</v>
          </cell>
          <cell r="C1121">
            <v>41661.441400462965</v>
          </cell>
          <cell r="D1121">
            <v>0.03</v>
          </cell>
          <cell r="E1121">
            <v>0</v>
          </cell>
          <cell r="F1121">
            <v>0</v>
          </cell>
          <cell r="G1121">
            <v>0.97</v>
          </cell>
        </row>
        <row r="1122">
          <cell r="A1122" t="str">
            <v>204 2014 10 1211 00009</v>
          </cell>
          <cell r="B1122">
            <v>1</v>
          </cell>
          <cell r="C1122">
            <v>42072.674907407411</v>
          </cell>
          <cell r="D1122">
            <v>0.03</v>
          </cell>
          <cell r="E1122">
            <v>0</v>
          </cell>
          <cell r="F1122">
            <v>0</v>
          </cell>
          <cell r="G1122">
            <v>0.97</v>
          </cell>
        </row>
        <row r="1123">
          <cell r="A1123" t="str">
            <v>203 2014 10 1211 00004</v>
          </cell>
          <cell r="B1123">
            <v>66</v>
          </cell>
          <cell r="C1123">
            <v>41830.529594907406</v>
          </cell>
          <cell r="D1123">
            <v>5.5426939491429725E-2</v>
          </cell>
          <cell r="E1123">
            <v>0</v>
          </cell>
          <cell r="F1123">
            <v>0.94457306050857026</v>
          </cell>
          <cell r="G1123">
            <v>0</v>
          </cell>
        </row>
        <row r="1124">
          <cell r="A1124" t="str">
            <v>203 2015 10 1211 00001</v>
          </cell>
          <cell r="B1124">
            <v>66</v>
          </cell>
          <cell r="C1124">
            <v>42137.604525462964</v>
          </cell>
          <cell r="D1124">
            <v>5.8633281100587728E-2</v>
          </cell>
          <cell r="E1124">
            <v>0</v>
          </cell>
          <cell r="F1124">
            <v>0.94136671889941226</v>
          </cell>
          <cell r="G1124">
            <v>0</v>
          </cell>
        </row>
        <row r="1125">
          <cell r="A1125" t="str">
            <v>203 2013 10 1211 00009</v>
          </cell>
          <cell r="B1125">
            <v>67</v>
          </cell>
          <cell r="C1125">
            <v>41459.669074074074</v>
          </cell>
          <cell r="D1125">
            <v>5.8823529411764712E-2</v>
          </cell>
          <cell r="E1125">
            <v>0</v>
          </cell>
          <cell r="F1125">
            <v>0.94117647058823528</v>
          </cell>
          <cell r="G1125">
            <v>0</v>
          </cell>
        </row>
        <row r="1126">
          <cell r="A1126" t="str">
            <v>203 2015 10 1211 00006</v>
          </cell>
          <cell r="B1126">
            <v>67</v>
          </cell>
          <cell r="C1126">
            <v>42071.443368055552</v>
          </cell>
          <cell r="D1126">
            <v>1</v>
          </cell>
          <cell r="E1126">
            <v>0</v>
          </cell>
          <cell r="F1126">
            <v>0</v>
          </cell>
          <cell r="G1126">
            <v>0</v>
          </cell>
        </row>
        <row r="1127">
          <cell r="A1127" t="str">
            <v>203 2012 10 1211 00009</v>
          </cell>
          <cell r="B1127">
            <v>68</v>
          </cell>
          <cell r="C1127">
            <v>41241.490277777775</v>
          </cell>
          <cell r="D1127">
            <v>9.8039613804000364E-2</v>
          </cell>
          <cell r="E1127">
            <v>0</v>
          </cell>
          <cell r="F1127">
            <v>0.90196038619599961</v>
          </cell>
          <cell r="G1127">
            <v>0</v>
          </cell>
        </row>
        <row r="1128">
          <cell r="A1128" t="str">
            <v>203 2014 10 1211 00006</v>
          </cell>
          <cell r="B1128">
            <v>97</v>
          </cell>
          <cell r="C1128">
            <v>41700.42559027778</v>
          </cell>
          <cell r="D1128">
            <v>0.28239389219784183</v>
          </cell>
          <cell r="E1128">
            <v>0</v>
          </cell>
          <cell r="F1128">
            <v>0.71760610780215817</v>
          </cell>
          <cell r="G1128">
            <v>0</v>
          </cell>
        </row>
        <row r="1129">
          <cell r="A1129" t="str">
            <v>203 2014 10 1211 00006</v>
          </cell>
          <cell r="B1129">
            <v>98</v>
          </cell>
          <cell r="C1129">
            <v>41701.432604166665</v>
          </cell>
          <cell r="D1129">
            <v>0.28239389219784183</v>
          </cell>
          <cell r="E1129">
            <v>0</v>
          </cell>
          <cell r="F1129">
            <v>0.71760610780215817</v>
          </cell>
          <cell r="G1129">
            <v>0</v>
          </cell>
        </row>
        <row r="1130">
          <cell r="A1130" t="str">
            <v>203 2013 10 1211 00009</v>
          </cell>
          <cell r="B1130">
            <v>134</v>
          </cell>
          <cell r="C1130">
            <v>41636.476840277777</v>
          </cell>
          <cell r="D1130">
            <v>5.8823529411764712E-2</v>
          </cell>
          <cell r="E1130">
            <v>0</v>
          </cell>
          <cell r="F1130">
            <v>0.94117647058823528</v>
          </cell>
          <cell r="G1130">
            <v>0</v>
          </cell>
        </row>
        <row r="1131">
          <cell r="A1131" t="str">
            <v>203 2014 10 1211 00005</v>
          </cell>
          <cell r="B1131">
            <v>134</v>
          </cell>
          <cell r="C1131">
            <v>41938.634212962963</v>
          </cell>
          <cell r="D1131">
            <v>5.4945054945054951E-2</v>
          </cell>
          <cell r="E1131">
            <v>0</v>
          </cell>
          <cell r="F1131">
            <v>0.94505494505494503</v>
          </cell>
          <cell r="G1131">
            <v>0</v>
          </cell>
        </row>
        <row r="1132">
          <cell r="A1132" t="str">
            <v>203 2014 10 1211 00005</v>
          </cell>
          <cell r="B1132">
            <v>135</v>
          </cell>
          <cell r="C1132">
            <v>41973.368576388886</v>
          </cell>
          <cell r="D1132">
            <v>5.4945054945054951E-2</v>
          </cell>
          <cell r="E1132">
            <v>0</v>
          </cell>
          <cell r="F1132">
            <v>0.94505494505494503</v>
          </cell>
          <cell r="G1132">
            <v>0</v>
          </cell>
        </row>
        <row r="1133">
          <cell r="A1133" t="str">
            <v>203 2013 10 1211 00009</v>
          </cell>
          <cell r="B1133">
            <v>136</v>
          </cell>
          <cell r="C1133">
            <v>41611.365393518521</v>
          </cell>
          <cell r="D1133">
            <v>5.8823529411764712E-2</v>
          </cell>
          <cell r="E1133">
            <v>0</v>
          </cell>
          <cell r="F1133">
            <v>0.94117647058823528</v>
          </cell>
          <cell r="G1133">
            <v>0</v>
          </cell>
        </row>
        <row r="1134">
          <cell r="A1134" t="str">
            <v>203 2014 10 1211 00005</v>
          </cell>
          <cell r="B1134">
            <v>136</v>
          </cell>
          <cell r="C1134">
            <v>41975.384791666664</v>
          </cell>
          <cell r="D1134">
            <v>5.4945054945054951E-2</v>
          </cell>
          <cell r="E1134">
            <v>0</v>
          </cell>
          <cell r="F1134">
            <v>0.94505494505494503</v>
          </cell>
          <cell r="G1134">
            <v>0</v>
          </cell>
        </row>
        <row r="1135">
          <cell r="A1135" t="str">
            <v>204 2013 10 1211 00003</v>
          </cell>
          <cell r="B1135">
            <v>7</v>
          </cell>
          <cell r="C1135">
            <v>41276.502696759257</v>
          </cell>
          <cell r="D1135">
            <v>0.01</v>
          </cell>
          <cell r="E1135">
            <v>0</v>
          </cell>
          <cell r="F1135">
            <v>0</v>
          </cell>
          <cell r="G1135">
            <v>0.99</v>
          </cell>
        </row>
        <row r="1136">
          <cell r="A1136" t="str">
            <v>203 2014 10 1211 00005</v>
          </cell>
          <cell r="B1136">
            <v>74</v>
          </cell>
          <cell r="C1136">
            <v>41845.581053240741</v>
          </cell>
          <cell r="D1136">
            <v>5.4945054945054951E-2</v>
          </cell>
          <cell r="E1136">
            <v>0</v>
          </cell>
          <cell r="F1136">
            <v>0.94505494505494503</v>
          </cell>
          <cell r="G1136">
            <v>0</v>
          </cell>
        </row>
        <row r="1137">
          <cell r="A1137" t="str">
            <v>203 2015 10 1211 00001</v>
          </cell>
          <cell r="B1137">
            <v>74</v>
          </cell>
          <cell r="C1137">
            <v>42155.573229166665</v>
          </cell>
          <cell r="D1137">
            <v>5.8633281100587728E-2</v>
          </cell>
          <cell r="E1137">
            <v>0</v>
          </cell>
          <cell r="F1137">
            <v>0.94136671889941226</v>
          </cell>
          <cell r="G1137">
            <v>0</v>
          </cell>
        </row>
        <row r="1138">
          <cell r="A1138" t="str">
            <v>203 2012 10 1211 00009</v>
          </cell>
          <cell r="B1138">
            <v>75</v>
          </cell>
          <cell r="C1138">
            <v>41268.687638888892</v>
          </cell>
          <cell r="D1138">
            <v>9.8039613804000364E-2</v>
          </cell>
          <cell r="E1138">
            <v>0</v>
          </cell>
          <cell r="F1138">
            <v>0.90196038619599961</v>
          </cell>
          <cell r="G1138">
            <v>0</v>
          </cell>
        </row>
        <row r="1139">
          <cell r="A1139" t="str">
            <v>203 2015 10 1211 00001</v>
          </cell>
          <cell r="B1139">
            <v>75</v>
          </cell>
          <cell r="C1139">
            <v>42155.542256944442</v>
          </cell>
          <cell r="D1139">
            <v>5.8633281100587728E-2</v>
          </cell>
          <cell r="E1139">
            <v>0</v>
          </cell>
          <cell r="F1139">
            <v>0.94136671889941226</v>
          </cell>
          <cell r="G1139">
            <v>0</v>
          </cell>
        </row>
        <row r="1140">
          <cell r="A1140" t="str">
            <v>203 2014 10 1211 00005</v>
          </cell>
          <cell r="B1140">
            <v>110</v>
          </cell>
          <cell r="C1140">
            <v>41905.641111111108</v>
          </cell>
          <cell r="D1140">
            <v>5.4945054945054951E-2</v>
          </cell>
          <cell r="E1140">
            <v>0</v>
          </cell>
          <cell r="F1140">
            <v>0.94505494505494503</v>
          </cell>
          <cell r="G1140">
            <v>0</v>
          </cell>
        </row>
        <row r="1141">
          <cell r="A1141" t="str">
            <v>203 2013 10 1211 00009</v>
          </cell>
          <cell r="B1141">
            <v>111</v>
          </cell>
          <cell r="C1141">
            <v>41586.486747685187</v>
          </cell>
          <cell r="D1141">
            <v>5.8823529411764712E-2</v>
          </cell>
          <cell r="E1141">
            <v>0</v>
          </cell>
          <cell r="F1141">
            <v>0.94117647058823528</v>
          </cell>
          <cell r="G1141">
            <v>0</v>
          </cell>
        </row>
        <row r="1142">
          <cell r="A1142" t="str">
            <v>203 2014 10 1211 00005</v>
          </cell>
          <cell r="B1142">
            <v>111</v>
          </cell>
          <cell r="C1142">
            <v>41913.65693287037</v>
          </cell>
          <cell r="D1142">
            <v>5.4945054945054951E-2</v>
          </cell>
          <cell r="E1142">
            <v>0</v>
          </cell>
          <cell r="F1142">
            <v>0.94505494505494503</v>
          </cell>
          <cell r="G1142">
            <v>0</v>
          </cell>
        </row>
        <row r="1143">
          <cell r="A1143" t="str">
            <v>203 2014 10 1211 00005</v>
          </cell>
          <cell r="B1143">
            <v>150</v>
          </cell>
          <cell r="C1143">
            <v>41980.36341435185</v>
          </cell>
          <cell r="D1143">
            <v>5.4945054945054951E-2</v>
          </cell>
          <cell r="E1143">
            <v>0</v>
          </cell>
          <cell r="F1143">
            <v>0.94505494505494503</v>
          </cell>
          <cell r="G1143">
            <v>0</v>
          </cell>
        </row>
        <row r="1144">
          <cell r="A1144" t="str">
            <v>210 2015 10 1212 00004</v>
          </cell>
          <cell r="B1144">
            <v>19</v>
          </cell>
          <cell r="C1144">
            <v>42250.524108796293</v>
          </cell>
          <cell r="D1144">
            <v>9.3290220796516332E-2</v>
          </cell>
          <cell r="E1144">
            <v>0</v>
          </cell>
          <cell r="F1144">
            <v>0.90670977920348361</v>
          </cell>
          <cell r="G1144">
            <v>0</v>
          </cell>
        </row>
        <row r="1145">
          <cell r="A1145" t="str">
            <v>210 2015 10 1212 00008</v>
          </cell>
          <cell r="B1145">
            <v>30</v>
          </cell>
          <cell r="C1145">
            <v>42302.428541666668</v>
          </cell>
          <cell r="D1145">
            <v>0.11717679910345501</v>
          </cell>
          <cell r="E1145">
            <v>0</v>
          </cell>
          <cell r="F1145">
            <v>0.88282320089654498</v>
          </cell>
          <cell r="G1145">
            <v>0</v>
          </cell>
        </row>
        <row r="1146">
          <cell r="A1146" t="str">
            <v>210 2015 10 1212 00006</v>
          </cell>
          <cell r="B1146">
            <v>31</v>
          </cell>
          <cell r="C1146">
            <v>42304.472870370373</v>
          </cell>
          <cell r="D1146">
            <v>6.4338495692352032E-2</v>
          </cell>
          <cell r="E1146">
            <v>0</v>
          </cell>
          <cell r="F1146">
            <v>0.93566150430764794</v>
          </cell>
          <cell r="G1146">
            <v>0</v>
          </cell>
        </row>
        <row r="1147">
          <cell r="A1147" t="str">
            <v>210 2015 10 1212 00006</v>
          </cell>
          <cell r="B1147">
            <v>33</v>
          </cell>
          <cell r="C1147">
            <v>42136.491203703707</v>
          </cell>
          <cell r="D1147">
            <v>6.4338495692352032E-2</v>
          </cell>
          <cell r="E1147">
            <v>0</v>
          </cell>
          <cell r="F1147">
            <v>0.93566150430764794</v>
          </cell>
          <cell r="G1147">
            <v>0</v>
          </cell>
        </row>
        <row r="1148">
          <cell r="A1148" t="str">
            <v>210 2015 10 1212 00004</v>
          </cell>
          <cell r="B1148">
            <v>34</v>
          </cell>
          <cell r="C1148">
            <v>42332.534456018519</v>
          </cell>
          <cell r="D1148">
            <v>9.3290220796516332E-2</v>
          </cell>
          <cell r="E1148">
            <v>0</v>
          </cell>
          <cell r="F1148">
            <v>0.90670977920348361</v>
          </cell>
          <cell r="G1148">
            <v>0</v>
          </cell>
        </row>
        <row r="1149">
          <cell r="A1149" t="str">
            <v>210 2015 10 1212 00004</v>
          </cell>
          <cell r="B1149">
            <v>35</v>
          </cell>
          <cell r="C1149">
            <v>42337.200729166667</v>
          </cell>
          <cell r="D1149">
            <v>9.3290220796516332E-2</v>
          </cell>
          <cell r="E1149">
            <v>0</v>
          </cell>
          <cell r="F1149">
            <v>0.90670977920348361</v>
          </cell>
          <cell r="G1149">
            <v>0</v>
          </cell>
        </row>
        <row r="1150">
          <cell r="A1150" t="str">
            <v>210 2015 10 1212 00001</v>
          </cell>
          <cell r="B1150">
            <v>36</v>
          </cell>
          <cell r="C1150">
            <v>42343.372662037036</v>
          </cell>
          <cell r="D1150">
            <v>0.28635841520845817</v>
          </cell>
          <cell r="E1150">
            <v>0</v>
          </cell>
          <cell r="F1150">
            <v>0.71364158479154183</v>
          </cell>
          <cell r="G1150">
            <v>0</v>
          </cell>
        </row>
        <row r="1151">
          <cell r="A1151" t="str">
            <v>210 2015 10 1212 00008</v>
          </cell>
          <cell r="B1151">
            <v>37</v>
          </cell>
          <cell r="C1151">
            <v>42358.573877314811</v>
          </cell>
          <cell r="D1151">
            <v>0.11717679910345501</v>
          </cell>
          <cell r="E1151">
            <v>0</v>
          </cell>
          <cell r="F1151">
            <v>0.88282320089654498</v>
          </cell>
          <cell r="G1151">
            <v>0</v>
          </cell>
        </row>
        <row r="1152">
          <cell r="A1152" t="str">
            <v>402 2014 10 1212 00002</v>
          </cell>
          <cell r="B1152">
            <v>1</v>
          </cell>
          <cell r="C1152">
            <v>42008.292326388888</v>
          </cell>
          <cell r="D1152">
            <v>0.49381965443507975</v>
          </cell>
          <cell r="E1152">
            <v>0</v>
          </cell>
          <cell r="F1152">
            <v>0.5061803455649202</v>
          </cell>
          <cell r="G1152">
            <v>0</v>
          </cell>
        </row>
        <row r="1153">
          <cell r="A1153" t="str">
            <v>301 2013 10 1212 00015</v>
          </cell>
          <cell r="B1153">
            <v>5</v>
          </cell>
          <cell r="C1153">
            <v>41658.646331018521</v>
          </cell>
          <cell r="D1153">
            <v>4.6843472555573515E-2</v>
          </cell>
          <cell r="E1153">
            <v>0</v>
          </cell>
          <cell r="F1153">
            <v>0.74949556088917624</v>
          </cell>
          <cell r="G1153">
            <v>0.20366096655525023</v>
          </cell>
        </row>
        <row r="1154">
          <cell r="A1154" t="str">
            <v>301 2014 10 1212 00009</v>
          </cell>
          <cell r="B1154">
            <v>5</v>
          </cell>
          <cell r="C1154">
            <v>42134.59783564815</v>
          </cell>
          <cell r="D1154">
            <v>0.27445202064246305</v>
          </cell>
          <cell r="E1154">
            <v>0</v>
          </cell>
          <cell r="F1154">
            <v>0.72554797935753701</v>
          </cell>
          <cell r="G1154">
            <v>0</v>
          </cell>
        </row>
        <row r="1155">
          <cell r="A1155" t="str">
            <v>301 2014 10 1212 00008</v>
          </cell>
          <cell r="B1155">
            <v>9</v>
          </cell>
          <cell r="C1155">
            <v>42234.5</v>
          </cell>
          <cell r="D1155">
            <v>4.693967495000851E-2</v>
          </cell>
          <cell r="E1155">
            <v>0</v>
          </cell>
          <cell r="F1155">
            <v>0.80736240914014634</v>
          </cell>
          <cell r="G1155">
            <v>0.14569791590984515</v>
          </cell>
        </row>
        <row r="1156">
          <cell r="A1156" t="str">
            <v>301 2014 10 1212 00006</v>
          </cell>
          <cell r="B1156">
            <v>22</v>
          </cell>
          <cell r="C1156">
            <v>41738.411307870374</v>
          </cell>
          <cell r="D1156">
            <v>0.28141146517496196</v>
          </cell>
          <cell r="E1156">
            <v>0</v>
          </cell>
          <cell r="F1156">
            <v>0.71858853482503804</v>
          </cell>
          <cell r="G1156">
            <v>0</v>
          </cell>
        </row>
        <row r="1157">
          <cell r="A1157" t="str">
            <v>301 2014 10 1212 00008</v>
          </cell>
          <cell r="B1157">
            <v>28</v>
          </cell>
          <cell r="C1157">
            <v>41886.40625</v>
          </cell>
          <cell r="D1157">
            <v>4.693967495000851E-2</v>
          </cell>
          <cell r="E1157">
            <v>0</v>
          </cell>
          <cell r="F1157">
            <v>0.80736240914014634</v>
          </cell>
          <cell r="G1157">
            <v>0.14569791590984515</v>
          </cell>
        </row>
        <row r="1158">
          <cell r="A1158" t="str">
            <v>301 2011 10 1212 00003</v>
          </cell>
          <cell r="B1158">
            <v>58</v>
          </cell>
          <cell r="C1158">
            <v>40881.423807870371</v>
          </cell>
          <cell r="D1158">
            <v>0.24183800000000003</v>
          </cell>
          <cell r="E1158">
            <v>0</v>
          </cell>
          <cell r="F1158">
            <v>0.758162</v>
          </cell>
          <cell r="G1158">
            <v>0</v>
          </cell>
        </row>
        <row r="1159">
          <cell r="A1159" t="str">
            <v>301 2012 10 1212 00026</v>
          </cell>
          <cell r="B1159">
            <v>62</v>
          </cell>
          <cell r="C1159">
            <v>41526.496122685188</v>
          </cell>
          <cell r="D1159">
            <v>0.92129956556192694</v>
          </cell>
          <cell r="E1159">
            <v>0</v>
          </cell>
          <cell r="F1159">
            <v>7.8700434438073064E-2</v>
          </cell>
          <cell r="G1159">
            <v>0</v>
          </cell>
        </row>
        <row r="1160">
          <cell r="A1160" t="str">
            <v>501 2015 10 1212 00002</v>
          </cell>
          <cell r="B1160">
            <v>6</v>
          </cell>
          <cell r="C1160">
            <v>42130.570057870369</v>
          </cell>
          <cell r="D1160">
            <v>0.17669423705422171</v>
          </cell>
          <cell r="E1160">
            <v>0</v>
          </cell>
          <cell r="F1160">
            <v>0.82330576294577829</v>
          </cell>
          <cell r="G1160">
            <v>0</v>
          </cell>
        </row>
        <row r="1161">
          <cell r="A1161" t="str">
            <v>501 2012 10 1212 00001</v>
          </cell>
          <cell r="B1161">
            <v>49</v>
          </cell>
          <cell r="C1161">
            <v>41265.4375462963</v>
          </cell>
          <cell r="D1161">
            <v>0.20004706195153116</v>
          </cell>
          <cell r="E1161">
            <v>0</v>
          </cell>
          <cell r="F1161">
            <v>0.7999529380484689</v>
          </cell>
          <cell r="G1161">
            <v>0</v>
          </cell>
        </row>
        <row r="1162">
          <cell r="A1162" t="str">
            <v>210 2015 10 1212 00004</v>
          </cell>
          <cell r="B1162">
            <v>32</v>
          </cell>
          <cell r="C1162">
            <v>42305.072916666664</v>
          </cell>
          <cell r="D1162">
            <v>9.3290220796516332E-2</v>
          </cell>
          <cell r="E1162">
            <v>0</v>
          </cell>
          <cell r="F1162">
            <v>0.90670977920348361</v>
          </cell>
          <cell r="G1162">
            <v>0</v>
          </cell>
        </row>
        <row r="1163">
          <cell r="A1163" t="str">
            <v>210 2015 10 1212 00003</v>
          </cell>
          <cell r="B1163">
            <v>20</v>
          </cell>
          <cell r="C1163">
            <v>42260.576666666668</v>
          </cell>
          <cell r="D1163">
            <v>0.53282933785475273</v>
          </cell>
          <cell r="E1163">
            <v>0</v>
          </cell>
          <cell r="F1163">
            <v>0.46717066214524722</v>
          </cell>
          <cell r="G1163">
            <v>0</v>
          </cell>
        </row>
        <row r="1164">
          <cell r="A1164" t="str">
            <v>301 2013 10 1212 00008</v>
          </cell>
          <cell r="B1164">
            <v>16</v>
          </cell>
          <cell r="C1164">
            <v>41695.621562499997</v>
          </cell>
          <cell r="D1164">
            <v>0.19230769230769232</v>
          </cell>
          <cell r="E1164">
            <v>0</v>
          </cell>
          <cell r="F1164">
            <v>0.80769230769230771</v>
          </cell>
          <cell r="G1164">
            <v>0</v>
          </cell>
        </row>
        <row r="1165">
          <cell r="A1165" t="str">
            <v>301 2013 10 1212 00019</v>
          </cell>
          <cell r="B1165">
            <v>20</v>
          </cell>
          <cell r="C1165">
            <v>41666.465844907405</v>
          </cell>
          <cell r="D1165">
            <v>1</v>
          </cell>
          <cell r="E1165">
            <v>0</v>
          </cell>
          <cell r="F1165">
            <v>0</v>
          </cell>
          <cell r="G1165">
            <v>0</v>
          </cell>
        </row>
        <row r="1166">
          <cell r="A1166" t="str">
            <v>301 2014 10 1212 00006</v>
          </cell>
          <cell r="B1166">
            <v>30</v>
          </cell>
          <cell r="C1166">
            <v>41913.591192129628</v>
          </cell>
          <cell r="D1166">
            <v>0.28141146517496196</v>
          </cell>
          <cell r="E1166">
            <v>0</v>
          </cell>
          <cell r="F1166">
            <v>0.71858853482503804</v>
          </cell>
          <cell r="G1166">
            <v>0</v>
          </cell>
        </row>
        <row r="1167">
          <cell r="A1167" t="str">
            <v>302 2014 10 1212 00025</v>
          </cell>
          <cell r="B1167">
            <v>3</v>
          </cell>
          <cell r="C1167">
            <v>42239.647546296299</v>
          </cell>
          <cell r="D1167">
            <v>1</v>
          </cell>
          <cell r="E1167">
            <v>0</v>
          </cell>
          <cell r="F1167">
            <v>0</v>
          </cell>
          <cell r="G1167">
            <v>0</v>
          </cell>
        </row>
        <row r="1168">
          <cell r="A1168" t="str">
            <v>203 2014 10 1211 00005</v>
          </cell>
          <cell r="B1168">
            <v>151</v>
          </cell>
          <cell r="C1168">
            <v>41983.656608796293</v>
          </cell>
          <cell r="D1168">
            <v>5.4945054945054951E-2</v>
          </cell>
          <cell r="E1168">
            <v>0</v>
          </cell>
          <cell r="F1168">
            <v>0.94505494505494503</v>
          </cell>
          <cell r="G1168">
            <v>0</v>
          </cell>
        </row>
        <row r="1169">
          <cell r="A1169" t="str">
            <v>203 2014 10 1211 00005</v>
          </cell>
          <cell r="B1169">
            <v>152</v>
          </cell>
          <cell r="C1169">
            <v>41993.548611111109</v>
          </cell>
          <cell r="D1169">
            <v>5.4945054945054951E-2</v>
          </cell>
          <cell r="E1169">
            <v>0</v>
          </cell>
          <cell r="F1169">
            <v>0.94505494505494503</v>
          </cell>
          <cell r="G1169">
            <v>0</v>
          </cell>
        </row>
        <row r="1170">
          <cell r="A1170" t="str">
            <v>204 2014 13 1211 00043</v>
          </cell>
          <cell r="B1170">
            <v>3</v>
          </cell>
          <cell r="C1170">
            <v>41739.519375000003</v>
          </cell>
          <cell r="D1170">
            <v>5.4945054945054951E-2</v>
          </cell>
          <cell r="E1170">
            <v>0</v>
          </cell>
          <cell r="F1170">
            <v>0.94505494505494503</v>
          </cell>
          <cell r="G1170">
            <v>0</v>
          </cell>
        </row>
        <row r="1171">
          <cell r="A1171" t="str">
            <v>204 2015 12 1211 00021</v>
          </cell>
          <cell r="B1171">
            <v>3</v>
          </cell>
          <cell r="C1171">
            <v>42163.502060185187</v>
          </cell>
          <cell r="D1171">
            <v>9.4923382925861995E-3</v>
          </cell>
          <cell r="E1171">
            <v>0</v>
          </cell>
          <cell r="F1171">
            <v>0.12559093740960203</v>
          </cell>
          <cell r="G1171">
            <v>0.86491672429781175</v>
          </cell>
        </row>
        <row r="1172">
          <cell r="A1172" t="str">
            <v>204 2015 10 1211 00010</v>
          </cell>
          <cell r="B1172">
            <v>9</v>
          </cell>
          <cell r="C1172">
            <v>42260.654849537037</v>
          </cell>
          <cell r="D1172">
            <v>7.6530612244897957E-3</v>
          </cell>
          <cell r="E1172">
            <v>0</v>
          </cell>
          <cell r="F1172">
            <v>7.6530612244897961E-2</v>
          </cell>
          <cell r="G1172">
            <v>0.91581632653061218</v>
          </cell>
        </row>
        <row r="1173">
          <cell r="A1173" t="str">
            <v>203 2015 10 1211 00001</v>
          </cell>
          <cell r="B1173">
            <v>65</v>
          </cell>
          <cell r="C1173">
            <v>42137.612337962964</v>
          </cell>
          <cell r="D1173">
            <v>5.8633281100587728E-2</v>
          </cell>
          <cell r="E1173">
            <v>0</v>
          </cell>
          <cell r="F1173">
            <v>0.94136671889941226</v>
          </cell>
          <cell r="G1173">
            <v>0</v>
          </cell>
        </row>
        <row r="1174">
          <cell r="A1174" t="str">
            <v>203 2012 10 1211 00015</v>
          </cell>
          <cell r="B1174">
            <v>66</v>
          </cell>
          <cell r="C1174">
            <v>41239.472708333335</v>
          </cell>
          <cell r="D1174">
            <v>0.77511650551410594</v>
          </cell>
          <cell r="E1174">
            <v>0</v>
          </cell>
          <cell r="F1174">
            <v>0.22488349448589406</v>
          </cell>
          <cell r="G1174">
            <v>0</v>
          </cell>
        </row>
        <row r="1175">
          <cell r="A1175" t="str">
            <v>203 2013 10 1211 00009</v>
          </cell>
          <cell r="B1175">
            <v>66</v>
          </cell>
          <cell r="C1175">
            <v>41392.661076388889</v>
          </cell>
          <cell r="D1175">
            <v>5.8823529411764712E-2</v>
          </cell>
          <cell r="E1175">
            <v>0</v>
          </cell>
          <cell r="F1175">
            <v>0.94117647058823528</v>
          </cell>
          <cell r="G1175">
            <v>0</v>
          </cell>
        </row>
        <row r="1176">
          <cell r="A1176" t="str">
            <v>203 2014 10 1211 00006</v>
          </cell>
          <cell r="B1176">
            <v>95</v>
          </cell>
          <cell r="C1176">
            <v>41677.409699074073</v>
          </cell>
          <cell r="D1176">
            <v>0.28239389219784183</v>
          </cell>
          <cell r="E1176">
            <v>0</v>
          </cell>
          <cell r="F1176">
            <v>0.71760610780215817</v>
          </cell>
          <cell r="G1176">
            <v>0</v>
          </cell>
        </row>
        <row r="1177">
          <cell r="A1177" t="str">
            <v>203 2014 10 1211 00006</v>
          </cell>
          <cell r="B1177">
            <v>96</v>
          </cell>
          <cell r="C1177">
            <v>41678.416932870372</v>
          </cell>
          <cell r="D1177">
            <v>0.28239389219784183</v>
          </cell>
          <cell r="E1177">
            <v>0</v>
          </cell>
          <cell r="F1177">
            <v>0.71760610780215817</v>
          </cell>
          <cell r="G1177">
            <v>0</v>
          </cell>
        </row>
        <row r="1178">
          <cell r="A1178" t="str">
            <v>203 2013 10 1211 00009</v>
          </cell>
          <cell r="B1178">
            <v>128</v>
          </cell>
          <cell r="C1178">
            <v>41618.64640046296</v>
          </cell>
          <cell r="D1178">
            <v>5.8823529411764712E-2</v>
          </cell>
          <cell r="E1178">
            <v>0</v>
          </cell>
          <cell r="F1178">
            <v>0.94117647058823528</v>
          </cell>
          <cell r="G1178">
            <v>0</v>
          </cell>
        </row>
        <row r="1179">
          <cell r="A1179" t="str">
            <v>203 2014 10 1211 00005</v>
          </cell>
          <cell r="B1179">
            <v>128</v>
          </cell>
          <cell r="C1179">
            <v>41961.403622685182</v>
          </cell>
          <cell r="D1179">
            <v>5.4945054945054951E-2</v>
          </cell>
          <cell r="E1179">
            <v>0</v>
          </cell>
          <cell r="F1179">
            <v>0.94505494505494503</v>
          </cell>
          <cell r="G1179">
            <v>0</v>
          </cell>
        </row>
        <row r="1180">
          <cell r="A1180" t="str">
            <v>302 2013 10 1212 00018</v>
          </cell>
          <cell r="B1180">
            <v>8</v>
          </cell>
          <cell r="C1180">
            <v>41681.471712962964</v>
          </cell>
          <cell r="D1180">
            <v>7.2463768115942032E-2</v>
          </cell>
          <cell r="E1180">
            <v>0</v>
          </cell>
          <cell r="F1180">
            <v>0.92753623188405798</v>
          </cell>
          <cell r="G1180">
            <v>0</v>
          </cell>
        </row>
        <row r="1181">
          <cell r="A1181" t="str">
            <v>501 2015 10 1212 00001</v>
          </cell>
          <cell r="B1181">
            <v>7</v>
          </cell>
          <cell r="C1181">
            <v>42144.645810185182</v>
          </cell>
          <cell r="D1181">
            <v>0.21250266962954742</v>
          </cell>
          <cell r="E1181">
            <v>0</v>
          </cell>
          <cell r="F1181">
            <v>0.78749733037045255</v>
          </cell>
          <cell r="G1181">
            <v>0</v>
          </cell>
        </row>
        <row r="1182">
          <cell r="A1182" t="str">
            <v>501 2015 10 1212 00001</v>
          </cell>
          <cell r="B1182">
            <v>10</v>
          </cell>
          <cell r="C1182">
            <v>42169.424027777779</v>
          </cell>
          <cell r="D1182">
            <v>0.21250266962954742</v>
          </cell>
          <cell r="E1182">
            <v>0</v>
          </cell>
          <cell r="F1182">
            <v>0.78749733037045255</v>
          </cell>
          <cell r="G1182">
            <v>0</v>
          </cell>
        </row>
        <row r="1183">
          <cell r="A1183" t="str">
            <v>302 2014 10 1212 00006</v>
          </cell>
          <cell r="B1183">
            <v>19</v>
          </cell>
          <cell r="C1183">
            <v>41856.387939814813</v>
          </cell>
          <cell r="D1183">
            <v>1</v>
          </cell>
          <cell r="E1183">
            <v>0</v>
          </cell>
          <cell r="F1183">
            <v>0</v>
          </cell>
          <cell r="G1183">
            <v>0</v>
          </cell>
        </row>
        <row r="1184">
          <cell r="A1184" t="str">
            <v>501 2014 10 1212 00001</v>
          </cell>
          <cell r="B1184">
            <v>21</v>
          </cell>
          <cell r="C1184">
            <v>41881.354444444441</v>
          </cell>
          <cell r="D1184">
            <v>0.17669423705422171</v>
          </cell>
          <cell r="E1184">
            <v>0</v>
          </cell>
          <cell r="F1184">
            <v>0.82330576294577829</v>
          </cell>
          <cell r="G1184">
            <v>0</v>
          </cell>
        </row>
        <row r="1185">
          <cell r="A1185" t="str">
            <v>501 2015 10 1212 00001</v>
          </cell>
          <cell r="B1185">
            <v>21</v>
          </cell>
          <cell r="C1185">
            <v>42334.35429398148</v>
          </cell>
          <cell r="D1185">
            <v>0.21250266962954742</v>
          </cell>
          <cell r="E1185">
            <v>0</v>
          </cell>
          <cell r="F1185">
            <v>0.78749733037045255</v>
          </cell>
          <cell r="G1185">
            <v>0</v>
          </cell>
        </row>
        <row r="1186">
          <cell r="A1186" t="str">
            <v>501 2014 10 1212 00001</v>
          </cell>
          <cell r="B1186">
            <v>25</v>
          </cell>
          <cell r="C1186">
            <v>41949.680300925924</v>
          </cell>
          <cell r="D1186">
            <v>0.17669423705422171</v>
          </cell>
          <cell r="E1186">
            <v>0</v>
          </cell>
          <cell r="F1186">
            <v>0.82330576294577829</v>
          </cell>
          <cell r="G1186">
            <v>0</v>
          </cell>
        </row>
        <row r="1187">
          <cell r="A1187" t="str">
            <v>501 2014 10 1212 00001</v>
          </cell>
          <cell r="B1187">
            <v>26</v>
          </cell>
          <cell r="C1187">
            <v>41977.367430555554</v>
          </cell>
          <cell r="D1187">
            <v>0.17669423705422171</v>
          </cell>
          <cell r="E1187">
            <v>0</v>
          </cell>
          <cell r="F1187">
            <v>0.82330576294577829</v>
          </cell>
          <cell r="G1187">
            <v>0</v>
          </cell>
        </row>
        <row r="1188">
          <cell r="A1188" t="str">
            <v>301 2011 10 1212 00016</v>
          </cell>
          <cell r="B1188">
            <v>32</v>
          </cell>
          <cell r="C1188">
            <v>41105.621388888889</v>
          </cell>
          <cell r="D1188">
            <v>0.13499800000000001</v>
          </cell>
          <cell r="E1188">
            <v>0</v>
          </cell>
          <cell r="F1188">
            <v>0.86500200000000005</v>
          </cell>
          <cell r="G1188">
            <v>0</v>
          </cell>
        </row>
        <row r="1189">
          <cell r="A1189" t="str">
            <v>301 2011 10 1212 00003</v>
          </cell>
          <cell r="B1189">
            <v>33</v>
          </cell>
          <cell r="C1189">
            <v>40764</v>
          </cell>
          <cell r="D1189">
            <v>0.24183800000000003</v>
          </cell>
          <cell r="E1189">
            <v>0</v>
          </cell>
          <cell r="F1189">
            <v>0.758162</v>
          </cell>
          <cell r="G1189">
            <v>0</v>
          </cell>
        </row>
        <row r="1190">
          <cell r="A1190" t="str">
            <v>402 2013 10 1212 00002</v>
          </cell>
          <cell r="B1190">
            <v>2</v>
          </cell>
          <cell r="C1190">
            <v>41506.326493055552</v>
          </cell>
          <cell r="D1190">
            <v>0.13752131580394961</v>
          </cell>
          <cell r="E1190">
            <v>0</v>
          </cell>
          <cell r="F1190">
            <v>0.86247868419605034</v>
          </cell>
          <cell r="G1190">
            <v>0</v>
          </cell>
        </row>
        <row r="1191">
          <cell r="A1191" t="str">
            <v>402 2014 10 1212 00003</v>
          </cell>
          <cell r="B1191">
            <v>2</v>
          </cell>
          <cell r="C1191">
            <v>42005.427384259259</v>
          </cell>
          <cell r="D1191">
            <v>0.22285459374987357</v>
          </cell>
          <cell r="E1191">
            <v>0</v>
          </cell>
          <cell r="F1191">
            <v>0.7771454062501264</v>
          </cell>
          <cell r="G1191">
            <v>0</v>
          </cell>
        </row>
        <row r="1192">
          <cell r="A1192" t="str">
            <v>203 2013 10 1211 00009</v>
          </cell>
          <cell r="B1192">
            <v>129</v>
          </cell>
          <cell r="C1192">
            <v>41637.447708333333</v>
          </cell>
          <cell r="D1192">
            <v>5.8823529411764712E-2</v>
          </cell>
          <cell r="E1192">
            <v>0</v>
          </cell>
          <cell r="F1192">
            <v>0.94117647058823528</v>
          </cell>
          <cell r="G1192">
            <v>0</v>
          </cell>
        </row>
        <row r="1193">
          <cell r="A1193" t="str">
            <v>203 2014 10 1211 00005</v>
          </cell>
          <cell r="B1193">
            <v>129</v>
          </cell>
          <cell r="C1193">
            <v>41967.410925925928</v>
          </cell>
          <cell r="D1193">
            <v>5.4945054945054951E-2</v>
          </cell>
          <cell r="E1193">
            <v>0</v>
          </cell>
          <cell r="F1193">
            <v>0.94505494505494503</v>
          </cell>
          <cell r="G1193">
            <v>0</v>
          </cell>
        </row>
        <row r="1194">
          <cell r="A1194" t="str">
            <v>203 2013 10 1211 00009</v>
          </cell>
          <cell r="B1194">
            <v>130</v>
          </cell>
          <cell r="C1194">
            <v>41626.447685185187</v>
          </cell>
          <cell r="D1194">
            <v>5.8823529411764712E-2</v>
          </cell>
          <cell r="E1194">
            <v>0</v>
          </cell>
          <cell r="F1194">
            <v>0.94117647058823528</v>
          </cell>
          <cell r="G1194">
            <v>0</v>
          </cell>
        </row>
        <row r="1195">
          <cell r="A1195" t="str">
            <v>204 2012 10 1211 00003</v>
          </cell>
          <cell r="B1195">
            <v>1</v>
          </cell>
          <cell r="C1195">
            <v>41295.419456018521</v>
          </cell>
          <cell r="D1195">
            <v>1.500104856395851E-2</v>
          </cell>
          <cell r="E1195">
            <v>0</v>
          </cell>
          <cell r="F1195">
            <v>0.19201342161866891</v>
          </cell>
          <cell r="G1195">
            <v>0.79298552981737247</v>
          </cell>
        </row>
        <row r="1196">
          <cell r="A1196" t="str">
            <v>204 2013 13 1211 00037</v>
          </cell>
          <cell r="B1196">
            <v>21</v>
          </cell>
          <cell r="C1196">
            <v>41528.388124999998</v>
          </cell>
          <cell r="D1196">
            <v>1</v>
          </cell>
          <cell r="E1196">
            <v>0</v>
          </cell>
          <cell r="F1196">
            <v>0</v>
          </cell>
          <cell r="G1196">
            <v>0</v>
          </cell>
        </row>
        <row r="1197">
          <cell r="A1197" t="str">
            <v>204 2015 10 1211 00015</v>
          </cell>
          <cell r="B1197">
            <v>21</v>
          </cell>
          <cell r="C1197">
            <v>42317.59716435185</v>
          </cell>
          <cell r="D1197">
            <v>9.4923382925863106E-3</v>
          </cell>
          <cell r="E1197">
            <v>0</v>
          </cell>
          <cell r="F1197">
            <v>0.12559093740960348</v>
          </cell>
          <cell r="G1197">
            <v>0.86491672429781019</v>
          </cell>
        </row>
        <row r="1198">
          <cell r="A1198" t="str">
            <v>203 2015 10 1211 00001</v>
          </cell>
          <cell r="B1198">
            <v>82</v>
          </cell>
          <cell r="C1198">
            <v>42168.596516203703</v>
          </cell>
          <cell r="D1198">
            <v>5.8633281100587728E-2</v>
          </cell>
          <cell r="E1198">
            <v>0</v>
          </cell>
          <cell r="F1198">
            <v>0.94136671889941226</v>
          </cell>
          <cell r="G1198">
            <v>0</v>
          </cell>
        </row>
        <row r="1199">
          <cell r="A1199" t="str">
            <v>203 2012 10 1211 00010</v>
          </cell>
          <cell r="B1199">
            <v>83</v>
          </cell>
          <cell r="C1199">
            <v>41214.457777777781</v>
          </cell>
          <cell r="D1199">
            <v>5.8823999999999994E-2</v>
          </cell>
          <cell r="E1199">
            <v>0</v>
          </cell>
          <cell r="F1199">
            <v>0.94117600000000001</v>
          </cell>
          <cell r="G1199">
            <v>0</v>
          </cell>
        </row>
        <row r="1200">
          <cell r="A1200" t="str">
            <v>203 2015 10 1211 00001</v>
          </cell>
          <cell r="B1200">
            <v>83</v>
          </cell>
          <cell r="C1200">
            <v>42166.5</v>
          </cell>
          <cell r="D1200">
            <v>5.8633281100587728E-2</v>
          </cell>
          <cell r="E1200">
            <v>0</v>
          </cell>
          <cell r="F1200">
            <v>0.94136671889941226</v>
          </cell>
          <cell r="G1200">
            <v>0</v>
          </cell>
        </row>
        <row r="1201">
          <cell r="A1201" t="str">
            <v>203 2014 10 1211 00005</v>
          </cell>
          <cell r="B1201">
            <v>117</v>
          </cell>
          <cell r="C1201">
            <v>41909.670474537037</v>
          </cell>
          <cell r="D1201">
            <v>5.4945054945054951E-2</v>
          </cell>
          <cell r="E1201">
            <v>0</v>
          </cell>
          <cell r="F1201">
            <v>0.94505494505494503</v>
          </cell>
          <cell r="G1201">
            <v>0</v>
          </cell>
        </row>
        <row r="1202">
          <cell r="A1202" t="str">
            <v>204 2013 10 1211 00011</v>
          </cell>
          <cell r="B1202">
            <v>9</v>
          </cell>
          <cell r="C1202">
            <v>41480.541643518518</v>
          </cell>
          <cell r="D1202">
            <v>0.03</v>
          </cell>
          <cell r="E1202">
            <v>0</v>
          </cell>
          <cell r="F1202">
            <v>0</v>
          </cell>
          <cell r="G1202">
            <v>0.97</v>
          </cell>
        </row>
        <row r="1203">
          <cell r="A1203" t="str">
            <v>204 2014 13 1211 00043</v>
          </cell>
          <cell r="B1203">
            <v>9</v>
          </cell>
          <cell r="C1203">
            <v>41929.629016203704</v>
          </cell>
          <cell r="D1203">
            <v>5.4945054945054951E-2</v>
          </cell>
          <cell r="E1203">
            <v>0</v>
          </cell>
          <cell r="F1203">
            <v>0.94505494505494503</v>
          </cell>
          <cell r="G1203">
            <v>0</v>
          </cell>
        </row>
        <row r="1204">
          <cell r="A1204" t="str">
            <v>503 2015 10 1212 00003</v>
          </cell>
          <cell r="B1204">
            <v>11</v>
          </cell>
          <cell r="C1204">
            <v>42225.708333333336</v>
          </cell>
          <cell r="D1204">
            <v>0.2001231527093596</v>
          </cell>
          <cell r="E1204">
            <v>0</v>
          </cell>
          <cell r="F1204">
            <v>0.79987684729064035</v>
          </cell>
          <cell r="G1204">
            <v>0</v>
          </cell>
        </row>
        <row r="1205">
          <cell r="A1205" t="str">
            <v>503 2015 10 1212 00002</v>
          </cell>
          <cell r="B1205">
            <v>12</v>
          </cell>
          <cell r="C1205">
            <v>42239.395833333336</v>
          </cell>
          <cell r="D1205">
            <v>0.31716432009892936</v>
          </cell>
          <cell r="E1205">
            <v>0</v>
          </cell>
          <cell r="F1205">
            <v>0.68283567990107064</v>
          </cell>
          <cell r="G1205">
            <v>0</v>
          </cell>
        </row>
        <row r="1206">
          <cell r="A1206" t="str">
            <v>301 2013 10 1212 00007</v>
          </cell>
          <cell r="B1206">
            <v>67</v>
          </cell>
          <cell r="C1206">
            <v>41540</v>
          </cell>
          <cell r="D1206">
            <v>6.4114893889850616E-2</v>
          </cell>
          <cell r="E1206">
            <v>0</v>
          </cell>
          <cell r="F1206">
            <v>0.93588510611014941</v>
          </cell>
          <cell r="G1206">
            <v>0</v>
          </cell>
        </row>
        <row r="1207">
          <cell r="A1207" t="str">
            <v>301 2012 11 1212 00013</v>
          </cell>
          <cell r="B1207">
            <v>72</v>
          </cell>
          <cell r="C1207">
            <v>41226.654421296298</v>
          </cell>
          <cell r="D1207">
            <v>5.28864431E-2</v>
          </cell>
          <cell r="E1207">
            <v>0</v>
          </cell>
          <cell r="F1207">
            <v>0.846183091</v>
          </cell>
          <cell r="G1207">
            <v>0.10093046589999999</v>
          </cell>
        </row>
        <row r="1208">
          <cell r="A1208" t="str">
            <v>302 2014 10 1212 00013</v>
          </cell>
          <cell r="B1208">
            <v>21</v>
          </cell>
          <cell r="C1208">
            <v>41909.590729166666</v>
          </cell>
          <cell r="D1208">
            <v>0.92649473759040279</v>
          </cell>
          <cell r="E1208">
            <v>0</v>
          </cell>
          <cell r="F1208">
            <v>7.3505262409597205E-2</v>
          </cell>
          <cell r="G1208">
            <v>0</v>
          </cell>
        </row>
        <row r="1209">
          <cell r="A1209" t="str">
            <v>302 2014 10 1212 00012</v>
          </cell>
          <cell r="B1209">
            <v>22</v>
          </cell>
          <cell r="C1209">
            <v>41989.59642361111</v>
          </cell>
          <cell r="D1209">
            <v>5.8823529411764705E-2</v>
          </cell>
          <cell r="E1209">
            <v>0</v>
          </cell>
          <cell r="F1209">
            <v>0.94117647058823528</v>
          </cell>
          <cell r="G1209">
            <v>0</v>
          </cell>
        </row>
        <row r="1210">
          <cell r="A1210" t="str">
            <v>501 2015 10 1212 00001</v>
          </cell>
          <cell r="B1210">
            <v>3</v>
          </cell>
          <cell r="C1210">
            <v>42121.594421296293</v>
          </cell>
          <cell r="D1210">
            <v>0.21250266962954742</v>
          </cell>
          <cell r="E1210">
            <v>0</v>
          </cell>
          <cell r="F1210">
            <v>0.78749733037045255</v>
          </cell>
          <cell r="G1210">
            <v>0</v>
          </cell>
        </row>
        <row r="1211">
          <cell r="A1211" t="str">
            <v>501 2015 10 1212 00001</v>
          </cell>
          <cell r="B1211">
            <v>5</v>
          </cell>
          <cell r="C1211">
            <v>42121.521377314813</v>
          </cell>
          <cell r="D1211">
            <v>0.21250266962954742</v>
          </cell>
          <cell r="E1211">
            <v>0</v>
          </cell>
          <cell r="F1211">
            <v>0.78749733037045255</v>
          </cell>
          <cell r="G1211">
            <v>0</v>
          </cell>
        </row>
        <row r="1212">
          <cell r="A1212" t="str">
            <v>501 2015 10 1212 00002</v>
          </cell>
          <cell r="B1212">
            <v>8</v>
          </cell>
          <cell r="C1212">
            <v>42145.375462962962</v>
          </cell>
          <cell r="D1212">
            <v>0.17669423705422171</v>
          </cell>
          <cell r="E1212">
            <v>0</v>
          </cell>
          <cell r="F1212">
            <v>0.82330576294577829</v>
          </cell>
          <cell r="G1212">
            <v>0</v>
          </cell>
        </row>
        <row r="1213">
          <cell r="A1213" t="str">
            <v>501 2015 10 1212 00002</v>
          </cell>
          <cell r="B1213">
            <v>19</v>
          </cell>
          <cell r="C1213">
            <v>42297.521354166667</v>
          </cell>
          <cell r="D1213">
            <v>0.17669423705422171</v>
          </cell>
          <cell r="E1213">
            <v>0</v>
          </cell>
          <cell r="F1213">
            <v>0.82330576294577829</v>
          </cell>
          <cell r="G1213">
            <v>0</v>
          </cell>
        </row>
        <row r="1214">
          <cell r="A1214" t="str">
            <v>501 2015 10 1212 00003</v>
          </cell>
          <cell r="B1214">
            <v>20</v>
          </cell>
          <cell r="C1214">
            <v>42316.669247685182</v>
          </cell>
          <cell r="D1214">
            <v>1</v>
          </cell>
          <cell r="E1214">
            <v>0</v>
          </cell>
          <cell r="F1214">
            <v>0</v>
          </cell>
          <cell r="G1214">
            <v>0</v>
          </cell>
        </row>
        <row r="1215">
          <cell r="A1215" t="str">
            <v>501 2014 11 1212 00001</v>
          </cell>
          <cell r="B1215">
            <v>15</v>
          </cell>
          <cell r="C1215">
            <v>41805.500115740739</v>
          </cell>
          <cell r="D1215">
            <v>0.24945923791760938</v>
          </cell>
          <cell r="E1215">
            <v>0</v>
          </cell>
          <cell r="F1215">
            <v>0.75054076208239062</v>
          </cell>
          <cell r="G1215">
            <v>0</v>
          </cell>
        </row>
        <row r="1216">
          <cell r="A1216" t="str">
            <v>204 2013 10 1211 00001</v>
          </cell>
          <cell r="B1216">
            <v>16</v>
          </cell>
          <cell r="C1216">
            <v>41586.40185185185</v>
          </cell>
          <cell r="D1216">
            <v>5.8823529411764705E-2</v>
          </cell>
          <cell r="E1216">
            <v>0</v>
          </cell>
          <cell r="F1216">
            <v>0.94117647058823495</v>
          </cell>
          <cell r="G1216">
            <v>0</v>
          </cell>
        </row>
        <row r="1217">
          <cell r="A1217" t="str">
            <v>204 2015 13 1211 00035</v>
          </cell>
          <cell r="B1217">
            <v>16</v>
          </cell>
          <cell r="C1217">
            <v>42179.393252314818</v>
          </cell>
          <cell r="D1217">
            <v>8.4459459459459499E-3</v>
          </cell>
          <cell r="E1217">
            <v>0</v>
          </cell>
          <cell r="F1217">
            <v>7.0101351351351246E-2</v>
          </cell>
          <cell r="G1217">
            <v>0.92145270270270285</v>
          </cell>
        </row>
        <row r="1218">
          <cell r="A1218" t="str">
            <v>204 2012 10 1211 00014</v>
          </cell>
          <cell r="B1218">
            <v>25</v>
          </cell>
          <cell r="C1218">
            <v>41174.389236111114</v>
          </cell>
          <cell r="D1218">
            <v>5.8823999999999994E-2</v>
          </cell>
          <cell r="E1218">
            <v>0</v>
          </cell>
          <cell r="F1218">
            <v>0.94117600000000001</v>
          </cell>
          <cell r="G1218">
            <v>0</v>
          </cell>
        </row>
        <row r="1219">
          <cell r="A1219" t="str">
            <v>503 2015 10 1211 00010</v>
          </cell>
          <cell r="B1219">
            <v>4</v>
          </cell>
          <cell r="C1219">
            <v>42037.66847222222</v>
          </cell>
          <cell r="D1219">
            <v>0.23433295795786754</v>
          </cell>
          <cell r="E1219">
            <v>0</v>
          </cell>
          <cell r="F1219">
            <v>0.76566704204213243</v>
          </cell>
          <cell r="G1219">
            <v>0</v>
          </cell>
        </row>
        <row r="1220">
          <cell r="A1220" t="str">
            <v>503 2015 10 1211 00003</v>
          </cell>
          <cell r="B1220">
            <v>5</v>
          </cell>
          <cell r="C1220">
            <v>42038.458414351851</v>
          </cell>
          <cell r="D1220">
            <v>0.38730604709506283</v>
          </cell>
          <cell r="E1220">
            <v>0</v>
          </cell>
          <cell r="F1220">
            <v>0.61269395290493711</v>
          </cell>
          <cell r="G1220">
            <v>0</v>
          </cell>
        </row>
        <row r="1221">
          <cell r="A1221" t="str">
            <v>503 2015 10 1211 00010</v>
          </cell>
          <cell r="B1221">
            <v>9</v>
          </cell>
          <cell r="C1221">
            <v>42068.590902777774</v>
          </cell>
          <cell r="D1221">
            <v>0.23433295795786754</v>
          </cell>
          <cell r="E1221">
            <v>0</v>
          </cell>
          <cell r="F1221">
            <v>0.76566704204213243</v>
          </cell>
          <cell r="G1221">
            <v>0</v>
          </cell>
        </row>
        <row r="1222">
          <cell r="A1222" t="str">
            <v>503 2015 10 1211 00011</v>
          </cell>
          <cell r="B1222">
            <v>10</v>
          </cell>
          <cell r="C1222">
            <v>42078.677303240744</v>
          </cell>
          <cell r="D1222">
            <v>0.23427661275443901</v>
          </cell>
          <cell r="E1222">
            <v>0</v>
          </cell>
          <cell r="F1222">
            <v>0.76572338724556099</v>
          </cell>
          <cell r="G1222">
            <v>0</v>
          </cell>
        </row>
        <row r="1223">
          <cell r="A1223" t="str">
            <v>203 2014 10 1211 00005</v>
          </cell>
          <cell r="B1223">
            <v>53</v>
          </cell>
          <cell r="C1223">
            <v>41709.409224537034</v>
          </cell>
          <cell r="D1223">
            <v>5.4945054945054951E-2</v>
          </cell>
          <cell r="E1223">
            <v>0</v>
          </cell>
          <cell r="F1223">
            <v>0.94505494505494503</v>
          </cell>
          <cell r="G1223">
            <v>0</v>
          </cell>
        </row>
        <row r="1224">
          <cell r="A1224" t="str">
            <v>203 2015 10 1211 00001</v>
          </cell>
          <cell r="B1224">
            <v>53</v>
          </cell>
          <cell r="C1224">
            <v>42113.702546296299</v>
          </cell>
          <cell r="D1224">
            <v>5.8633281100587728E-2</v>
          </cell>
          <cell r="E1224">
            <v>0</v>
          </cell>
          <cell r="F1224">
            <v>0.94136671889941226</v>
          </cell>
          <cell r="G1224">
            <v>0</v>
          </cell>
        </row>
        <row r="1225">
          <cell r="A1225" t="str">
            <v>203 2015 10 1211 00007</v>
          </cell>
          <cell r="B1225">
            <v>78</v>
          </cell>
          <cell r="C1225">
            <v>42162.416250000002</v>
          </cell>
          <cell r="D1225">
            <v>1</v>
          </cell>
          <cell r="E1225">
            <v>0</v>
          </cell>
          <cell r="F1225">
            <v>0</v>
          </cell>
          <cell r="G1225">
            <v>0</v>
          </cell>
        </row>
        <row r="1226">
          <cell r="A1226" t="str">
            <v>203 2014 10 1211 00005</v>
          </cell>
          <cell r="B1226">
            <v>79</v>
          </cell>
          <cell r="C1226">
            <v>41863.613402777781</v>
          </cell>
          <cell r="D1226">
            <v>5.4945054945054951E-2</v>
          </cell>
          <cell r="E1226">
            <v>0</v>
          </cell>
          <cell r="F1226">
            <v>0.94505494505494503</v>
          </cell>
          <cell r="G1226">
            <v>0</v>
          </cell>
        </row>
        <row r="1227">
          <cell r="A1227" t="str">
            <v>203 2015 10 1211 00001</v>
          </cell>
          <cell r="B1227">
            <v>79</v>
          </cell>
          <cell r="C1227">
            <v>42160.620196759257</v>
          </cell>
          <cell r="D1227">
            <v>5.8633281100587728E-2</v>
          </cell>
          <cell r="E1227">
            <v>0</v>
          </cell>
          <cell r="F1227">
            <v>0.94136671889941226</v>
          </cell>
          <cell r="G1227">
            <v>0</v>
          </cell>
        </row>
        <row r="1228">
          <cell r="A1228" t="str">
            <v>501 2015 10 1212 00002</v>
          </cell>
          <cell r="B1228">
            <v>15</v>
          </cell>
          <cell r="C1228">
            <v>42261.459872685184</v>
          </cell>
          <cell r="D1228">
            <v>0.17669423705422171</v>
          </cell>
          <cell r="E1228">
            <v>0</v>
          </cell>
          <cell r="F1228">
            <v>0.82330576294577829</v>
          </cell>
          <cell r="G1228">
            <v>0</v>
          </cell>
        </row>
        <row r="1229">
          <cell r="A1229" t="str">
            <v>501 2015 10 1212 00002</v>
          </cell>
          <cell r="B1229">
            <v>16</v>
          </cell>
          <cell r="C1229">
            <v>42261.466689814813</v>
          </cell>
          <cell r="D1229">
            <v>0.17669423705422171</v>
          </cell>
          <cell r="E1229">
            <v>0</v>
          </cell>
          <cell r="F1229">
            <v>0.82330576294577829</v>
          </cell>
          <cell r="G1229">
            <v>0</v>
          </cell>
        </row>
        <row r="1230">
          <cell r="A1230" t="str">
            <v>501 2014 10 1212 00001</v>
          </cell>
          <cell r="B1230">
            <v>18</v>
          </cell>
          <cell r="C1230">
            <v>41837.538715277777</v>
          </cell>
          <cell r="D1230">
            <v>0.17669423705422171</v>
          </cell>
          <cell r="E1230">
            <v>0</v>
          </cell>
          <cell r="F1230">
            <v>0.82330576294577829</v>
          </cell>
          <cell r="G1230">
            <v>0</v>
          </cell>
        </row>
        <row r="1231">
          <cell r="A1231" t="str">
            <v>501 2015 10 1212 00002</v>
          </cell>
          <cell r="B1231">
            <v>18</v>
          </cell>
          <cell r="C1231">
            <v>42229.381504629629</v>
          </cell>
          <cell r="D1231">
            <v>0.17669423705422171</v>
          </cell>
          <cell r="E1231">
            <v>0</v>
          </cell>
          <cell r="F1231">
            <v>0.82330576294577829</v>
          </cell>
          <cell r="G1231">
            <v>0</v>
          </cell>
        </row>
        <row r="1232">
          <cell r="A1232" t="str">
            <v>207 2011 10 1212 00001</v>
          </cell>
          <cell r="B1232">
            <v>1</v>
          </cell>
          <cell r="C1232">
            <v>40569.666666666664</v>
          </cell>
          <cell r="D1232">
            <v>0.86067197922361527</v>
          </cell>
          <cell r="E1232">
            <v>0</v>
          </cell>
          <cell r="F1232">
            <v>0.13932802077638473</v>
          </cell>
          <cell r="G1232">
            <v>0</v>
          </cell>
        </row>
        <row r="1233">
          <cell r="A1233" t="str">
            <v>207 2014 10 1212 00006</v>
          </cell>
          <cell r="B1233">
            <v>1</v>
          </cell>
          <cell r="C1233">
            <v>42010.0625</v>
          </cell>
          <cell r="D1233">
            <v>1</v>
          </cell>
          <cell r="E1233">
            <v>0</v>
          </cell>
          <cell r="F1233">
            <v>0</v>
          </cell>
          <cell r="G1233">
            <v>0</v>
          </cell>
        </row>
        <row r="1234">
          <cell r="A1234" t="str">
            <v>301 2012 10 1212 00026</v>
          </cell>
          <cell r="B1234">
            <v>66</v>
          </cell>
          <cell r="C1234">
            <v>41535.390775462962</v>
          </cell>
          <cell r="D1234">
            <v>0.92129956556192694</v>
          </cell>
          <cell r="E1234">
            <v>0</v>
          </cell>
          <cell r="F1234">
            <v>7.8700434438073064E-2</v>
          </cell>
          <cell r="G1234">
            <v>0</v>
          </cell>
        </row>
        <row r="1235">
          <cell r="A1235" t="str">
            <v>401 2015 10 1212 00002</v>
          </cell>
          <cell r="B1235">
            <v>2</v>
          </cell>
          <cell r="C1235">
            <v>42204.395833333336</v>
          </cell>
          <cell r="D1235">
            <v>0.51183713997750546</v>
          </cell>
          <cell r="E1235">
            <v>0</v>
          </cell>
          <cell r="F1235">
            <v>0.48816286002249454</v>
          </cell>
          <cell r="G1235">
            <v>0</v>
          </cell>
        </row>
        <row r="1236">
          <cell r="A1236" t="str">
            <v>402 2012 10 1212 00001</v>
          </cell>
          <cell r="B1236">
            <v>1</v>
          </cell>
          <cell r="C1236">
            <v>41333.958333333336</v>
          </cell>
          <cell r="D1236">
            <v>0.80645161290322576</v>
          </cell>
          <cell r="E1236">
            <v>0</v>
          </cell>
          <cell r="F1236">
            <v>0.19354838709677424</v>
          </cell>
          <cell r="G1236">
            <v>0</v>
          </cell>
        </row>
        <row r="1237">
          <cell r="A1237" t="str">
            <v>402 2014 10 1212 00002</v>
          </cell>
          <cell r="B1237">
            <v>1</v>
          </cell>
          <cell r="C1237">
            <v>41975.427106481482</v>
          </cell>
          <cell r="D1237">
            <v>0.49381965443507975</v>
          </cell>
          <cell r="E1237">
            <v>0</v>
          </cell>
          <cell r="F1237">
            <v>0.5061803455649202</v>
          </cell>
          <cell r="G1237">
            <v>0</v>
          </cell>
        </row>
        <row r="1238">
          <cell r="A1238" t="str">
            <v>501 2015 10 1212 00002</v>
          </cell>
          <cell r="B1238">
            <v>1</v>
          </cell>
          <cell r="C1238">
            <v>42081.674768518518</v>
          </cell>
          <cell r="D1238">
            <v>0.17669423705422171</v>
          </cell>
          <cell r="E1238">
            <v>0</v>
          </cell>
          <cell r="F1238">
            <v>0.82330576294577829</v>
          </cell>
          <cell r="G1238">
            <v>0</v>
          </cell>
        </row>
        <row r="1239">
          <cell r="A1239" t="str">
            <v>206 2013 10 1212 00002</v>
          </cell>
          <cell r="B1239">
            <v>2</v>
          </cell>
          <cell r="C1239">
            <v>41378.559027777781</v>
          </cell>
          <cell r="D1239">
            <v>0.1457725947521866</v>
          </cell>
          <cell r="E1239">
            <v>0</v>
          </cell>
          <cell r="F1239">
            <v>0.85422740524781338</v>
          </cell>
          <cell r="G1239">
            <v>0</v>
          </cell>
        </row>
        <row r="1240">
          <cell r="A1240" t="str">
            <v>203 2014 10 1211 00005</v>
          </cell>
          <cell r="B1240">
            <v>115</v>
          </cell>
          <cell r="C1240">
            <v>41919.474004629628</v>
          </cell>
          <cell r="D1240">
            <v>5.4945054945054951E-2</v>
          </cell>
          <cell r="E1240">
            <v>0</v>
          </cell>
          <cell r="F1240">
            <v>0.94505494505494503</v>
          </cell>
          <cell r="G1240">
            <v>0</v>
          </cell>
        </row>
        <row r="1241">
          <cell r="A1241" t="str">
            <v>203 2013 10 1211 00009</v>
          </cell>
          <cell r="B1241">
            <v>116</v>
          </cell>
          <cell r="C1241">
            <v>41607.480578703704</v>
          </cell>
          <cell r="D1241">
            <v>5.8823529411764712E-2</v>
          </cell>
          <cell r="E1241">
            <v>0</v>
          </cell>
          <cell r="F1241">
            <v>0.94117647058823528</v>
          </cell>
          <cell r="G1241">
            <v>0</v>
          </cell>
        </row>
        <row r="1242">
          <cell r="A1242" t="str">
            <v>203 2014 10 1211 00005</v>
          </cell>
          <cell r="B1242">
            <v>116</v>
          </cell>
          <cell r="C1242">
            <v>41923.478877314818</v>
          </cell>
          <cell r="D1242">
            <v>5.4945054945054951E-2</v>
          </cell>
          <cell r="E1242">
            <v>0</v>
          </cell>
          <cell r="F1242">
            <v>0.94505494505494503</v>
          </cell>
          <cell r="G1242">
            <v>0</v>
          </cell>
        </row>
        <row r="1243">
          <cell r="A1243" t="str">
            <v>204 2014 10 1211 00018</v>
          </cell>
          <cell r="B1243">
            <v>4</v>
          </cell>
          <cell r="C1243">
            <v>42201.448576388888</v>
          </cell>
          <cell r="D1243">
            <v>3.1250000000000002E-3</v>
          </cell>
          <cell r="E1243">
            <v>0</v>
          </cell>
          <cell r="F1243">
            <v>5.3749999999999999E-2</v>
          </cell>
          <cell r="G1243">
            <v>0.94312499999999999</v>
          </cell>
        </row>
        <row r="1244">
          <cell r="A1244" t="str">
            <v>204 2010 10 1211 00007</v>
          </cell>
          <cell r="B1244">
            <v>11</v>
          </cell>
          <cell r="C1244">
            <v>40388</v>
          </cell>
          <cell r="D1244">
            <v>1.2206495225126183E-2</v>
          </cell>
          <cell r="E1244">
            <v>0</v>
          </cell>
          <cell r="F1244">
            <v>0.10369157810625995</v>
          </cell>
          <cell r="G1244">
            <v>0.88410192666861387</v>
          </cell>
        </row>
        <row r="1245">
          <cell r="A1245" t="str">
            <v>204 2015 13 1211 00035</v>
          </cell>
          <cell r="B1245">
            <v>18</v>
          </cell>
          <cell r="C1245">
            <v>42057.404062499998</v>
          </cell>
          <cell r="D1245">
            <v>8.4459459459459499E-3</v>
          </cell>
          <cell r="E1245">
            <v>0</v>
          </cell>
          <cell r="F1245">
            <v>7.0101351351351246E-2</v>
          </cell>
          <cell r="G1245">
            <v>0.92145270270270285</v>
          </cell>
        </row>
        <row r="1246">
          <cell r="A1246" t="str">
            <v>503 2013 10 1211 00018</v>
          </cell>
          <cell r="B1246">
            <v>25</v>
          </cell>
          <cell r="C1246">
            <v>41742.29210648148</v>
          </cell>
          <cell r="D1246">
            <v>0.18115942028985507</v>
          </cell>
          <cell r="E1246">
            <v>0</v>
          </cell>
          <cell r="F1246">
            <v>0.8188405797101449</v>
          </cell>
          <cell r="G1246">
            <v>0</v>
          </cell>
        </row>
        <row r="1247">
          <cell r="A1247" t="str">
            <v>503 2015 10 1211 00013</v>
          </cell>
          <cell r="B1247">
            <v>25</v>
          </cell>
          <cell r="C1247">
            <v>42152.546284722222</v>
          </cell>
          <cell r="D1247">
            <v>0.86206896551724133</v>
          </cell>
          <cell r="E1247">
            <v>0</v>
          </cell>
          <cell r="F1247">
            <v>0.13793103448275862</v>
          </cell>
          <cell r="G1247">
            <v>0</v>
          </cell>
        </row>
        <row r="1248">
          <cell r="A1248" t="str">
            <v>203 2015 10 1211 00001</v>
          </cell>
          <cell r="B1248">
            <v>59</v>
          </cell>
          <cell r="C1248">
            <v>42126.676666666666</v>
          </cell>
          <cell r="D1248">
            <v>5.8633281100587728E-2</v>
          </cell>
          <cell r="E1248">
            <v>0</v>
          </cell>
          <cell r="F1248">
            <v>0.94136671889941226</v>
          </cell>
          <cell r="G1248">
            <v>0</v>
          </cell>
        </row>
        <row r="1249">
          <cell r="A1249" t="str">
            <v>203 2015 10 1211 00006</v>
          </cell>
          <cell r="B1249">
            <v>86</v>
          </cell>
          <cell r="C1249">
            <v>42180.442546296297</v>
          </cell>
          <cell r="D1249">
            <v>1</v>
          </cell>
          <cell r="E1249">
            <v>0</v>
          </cell>
          <cell r="F1249">
            <v>0</v>
          </cell>
          <cell r="G1249">
            <v>0</v>
          </cell>
        </row>
        <row r="1250">
          <cell r="A1250" t="str">
            <v>203 2014 10 1211 00005</v>
          </cell>
          <cell r="B1250">
            <v>87</v>
          </cell>
          <cell r="C1250">
            <v>41869.562037037038</v>
          </cell>
          <cell r="D1250">
            <v>5.4945054945054951E-2</v>
          </cell>
          <cell r="E1250">
            <v>0</v>
          </cell>
          <cell r="F1250">
            <v>0.94505494505494503</v>
          </cell>
          <cell r="G1250">
            <v>0</v>
          </cell>
        </row>
        <row r="1251">
          <cell r="A1251" t="str">
            <v>203 2015 10 1211 00007</v>
          </cell>
          <cell r="B1251">
            <v>87</v>
          </cell>
          <cell r="C1251">
            <v>42185.563622685186</v>
          </cell>
          <cell r="D1251">
            <v>1</v>
          </cell>
          <cell r="E1251">
            <v>0</v>
          </cell>
          <cell r="F1251">
            <v>0</v>
          </cell>
          <cell r="G1251">
            <v>0</v>
          </cell>
        </row>
        <row r="1252">
          <cell r="A1252" t="str">
            <v>304 2013 10 1212 00001</v>
          </cell>
          <cell r="B1252">
            <v>1</v>
          </cell>
          <cell r="C1252">
            <v>41507.613032407404</v>
          </cell>
          <cell r="D1252">
            <v>0.100779560241988</v>
          </cell>
          <cell r="E1252">
            <v>0</v>
          </cell>
          <cell r="F1252">
            <v>0.89922043975801202</v>
          </cell>
          <cell r="G1252">
            <v>0</v>
          </cell>
        </row>
        <row r="1253">
          <cell r="A1253" t="str">
            <v>304 2015 10 1212 00004</v>
          </cell>
          <cell r="B1253">
            <v>1</v>
          </cell>
          <cell r="C1253">
            <v>42138.621747685182</v>
          </cell>
          <cell r="D1253">
            <v>1</v>
          </cell>
          <cell r="E1253">
            <v>0</v>
          </cell>
          <cell r="F1253">
            <v>0</v>
          </cell>
          <cell r="G1253">
            <v>0</v>
          </cell>
        </row>
        <row r="1254">
          <cell r="A1254" t="str">
            <v>207 2015 15 1212 00002</v>
          </cell>
          <cell r="B1254">
            <v>2</v>
          </cell>
          <cell r="C1254">
            <v>42087</v>
          </cell>
          <cell r="D1254">
            <v>0.13824546342376645</v>
          </cell>
          <cell r="E1254">
            <v>0</v>
          </cell>
          <cell r="F1254">
            <v>0.86175453657623358</v>
          </cell>
          <cell r="G1254">
            <v>0</v>
          </cell>
        </row>
        <row r="1255">
          <cell r="A1255" t="str">
            <v>207 2015 10 1212 00008</v>
          </cell>
          <cell r="B1255">
            <v>7</v>
          </cell>
          <cell r="C1255">
            <v>42224</v>
          </cell>
          <cell r="D1255">
            <v>0.13824546342376645</v>
          </cell>
          <cell r="E1255">
            <v>0</v>
          </cell>
          <cell r="F1255">
            <v>0.86175453657623358</v>
          </cell>
          <cell r="G1255">
            <v>0</v>
          </cell>
        </row>
        <row r="1256">
          <cell r="A1256" t="str">
            <v>301 2012 10 1212 00026</v>
          </cell>
          <cell r="B1256">
            <v>86</v>
          </cell>
          <cell r="C1256">
            <v>41605.487245370372</v>
          </cell>
          <cell r="D1256">
            <v>0.92129956556192694</v>
          </cell>
          <cell r="E1256">
            <v>0</v>
          </cell>
          <cell r="F1256">
            <v>7.8700434438073064E-2</v>
          </cell>
          <cell r="G1256">
            <v>0</v>
          </cell>
        </row>
        <row r="1257">
          <cell r="A1257" t="str">
            <v>302 2015 10 1212 00006</v>
          </cell>
          <cell r="B1257">
            <v>1</v>
          </cell>
          <cell r="C1257">
            <v>42014.420243055552</v>
          </cell>
          <cell r="D1257">
            <v>2.0932663715674302E-2</v>
          </cell>
          <cell r="E1257">
            <v>0</v>
          </cell>
          <cell r="F1257">
            <v>0.36004181590959883</v>
          </cell>
          <cell r="G1257">
            <v>0.61902552037472691</v>
          </cell>
        </row>
        <row r="1258">
          <cell r="A1258" t="str">
            <v>302 2015 10 1212 00016</v>
          </cell>
          <cell r="B1258">
            <v>4</v>
          </cell>
          <cell r="C1258">
            <v>42235.375</v>
          </cell>
          <cell r="D1258">
            <v>7.3028503694809524E-2</v>
          </cell>
          <cell r="E1258">
            <v>0</v>
          </cell>
          <cell r="F1258">
            <v>0.92697149630519049</v>
          </cell>
          <cell r="G1258">
            <v>0</v>
          </cell>
        </row>
        <row r="1259">
          <cell r="A1259" t="str">
            <v>302 2014 10 1212 00021</v>
          </cell>
          <cell r="B1259">
            <v>23</v>
          </cell>
          <cell r="C1259">
            <v>42004.421550925923</v>
          </cell>
          <cell r="D1259">
            <v>1</v>
          </cell>
          <cell r="E1259">
            <v>0</v>
          </cell>
          <cell r="F1259">
            <v>0</v>
          </cell>
          <cell r="G1259">
            <v>0</v>
          </cell>
        </row>
        <row r="1260">
          <cell r="A1260" t="str">
            <v>501 2015 10 1212 00001</v>
          </cell>
          <cell r="B1260">
            <v>12</v>
          </cell>
          <cell r="C1260">
            <v>42149.417118055557</v>
          </cell>
          <cell r="D1260">
            <v>0.21250266962954742</v>
          </cell>
          <cell r="E1260">
            <v>0</v>
          </cell>
          <cell r="F1260">
            <v>0.78749733037045255</v>
          </cell>
          <cell r="G1260">
            <v>0</v>
          </cell>
        </row>
        <row r="1261">
          <cell r="A1261" t="str">
            <v>501 2015 10 1212 00001</v>
          </cell>
          <cell r="B1261">
            <v>13</v>
          </cell>
          <cell r="C1261">
            <v>42245.312685185185</v>
          </cell>
          <cell r="D1261">
            <v>0.21250266962954742</v>
          </cell>
          <cell r="E1261">
            <v>0</v>
          </cell>
          <cell r="F1261">
            <v>0.78749733037045255</v>
          </cell>
          <cell r="G1261">
            <v>0</v>
          </cell>
        </row>
        <row r="1262">
          <cell r="A1262" t="str">
            <v>503 2014 10 1212 00002</v>
          </cell>
          <cell r="B1262">
            <v>1</v>
          </cell>
          <cell r="C1262">
            <v>41721.367708333331</v>
          </cell>
          <cell r="D1262">
            <v>0.30940631356652154</v>
          </cell>
          <cell r="E1262">
            <v>0</v>
          </cell>
          <cell r="F1262">
            <v>0.69059368643347852</v>
          </cell>
          <cell r="G1262">
            <v>0</v>
          </cell>
        </row>
        <row r="1263">
          <cell r="A1263" t="str">
            <v>504 2014 10 1212 00001</v>
          </cell>
          <cell r="B1263">
            <v>3</v>
          </cell>
          <cell r="C1263">
            <v>41971.685752314814</v>
          </cell>
          <cell r="D1263">
            <v>6.6666666666666666E-2</v>
          </cell>
          <cell r="E1263">
            <v>0</v>
          </cell>
          <cell r="F1263">
            <v>0.93333333333333335</v>
          </cell>
          <cell r="G1263">
            <v>0</v>
          </cell>
        </row>
        <row r="1264">
          <cell r="A1264" t="str">
            <v>203 2008 10 1211 00005</v>
          </cell>
          <cell r="B1264">
            <v>88</v>
          </cell>
          <cell r="C1264">
            <v>39674</v>
          </cell>
          <cell r="D1264">
            <v>7.4214000000000002E-2</v>
          </cell>
          <cell r="E1264">
            <v>9.2600000000000002E-2</v>
          </cell>
          <cell r="F1264">
            <v>0.83318599999999998</v>
          </cell>
          <cell r="G1264">
            <v>0</v>
          </cell>
        </row>
        <row r="1265">
          <cell r="A1265" t="str">
            <v>203 2009 11 1211 00014</v>
          </cell>
          <cell r="B1265">
            <v>88</v>
          </cell>
          <cell r="C1265">
            <v>39945.564444444448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A1266" t="str">
            <v>204 2013 10 1211 00011</v>
          </cell>
          <cell r="B1266">
            <v>11</v>
          </cell>
          <cell r="C1266">
            <v>41479.475115740737</v>
          </cell>
          <cell r="D1266">
            <v>0.03</v>
          </cell>
          <cell r="E1266">
            <v>0</v>
          </cell>
          <cell r="F1266">
            <v>0</v>
          </cell>
          <cell r="G1266">
            <v>0.97</v>
          </cell>
        </row>
        <row r="1267">
          <cell r="A1267" t="str">
            <v>204 2014 10 1211 00013</v>
          </cell>
          <cell r="B1267">
            <v>11</v>
          </cell>
          <cell r="C1267">
            <v>41953.424212962964</v>
          </cell>
          <cell r="D1267">
            <v>1.8117267338657241E-2</v>
          </cell>
          <cell r="E1267">
            <v>0</v>
          </cell>
          <cell r="F1267">
            <v>0.24421394845211952</v>
          </cell>
          <cell r="G1267">
            <v>0.73766878420922322</v>
          </cell>
        </row>
        <row r="1268">
          <cell r="A1268" t="str">
            <v>204 2015 10 1211 00009</v>
          </cell>
          <cell r="B1268">
            <v>11</v>
          </cell>
          <cell r="C1268">
            <v>42256.48715277778</v>
          </cell>
          <cell r="D1268">
            <v>0.03</v>
          </cell>
          <cell r="E1268">
            <v>0</v>
          </cell>
          <cell r="F1268">
            <v>0</v>
          </cell>
          <cell r="G1268">
            <v>0.97</v>
          </cell>
        </row>
        <row r="1269">
          <cell r="A1269" t="str">
            <v>503 2015 10 1211 00011</v>
          </cell>
          <cell r="B1269">
            <v>2</v>
          </cell>
          <cell r="C1269">
            <v>42029.616423611114</v>
          </cell>
          <cell r="D1269">
            <v>0.23427661275443901</v>
          </cell>
          <cell r="E1269">
            <v>0</v>
          </cell>
          <cell r="F1269">
            <v>0.76572338724556099</v>
          </cell>
          <cell r="G1269">
            <v>0</v>
          </cell>
        </row>
        <row r="1270">
          <cell r="A1270" t="str">
            <v>503 2014 10 1211 00004</v>
          </cell>
          <cell r="B1270">
            <v>31</v>
          </cell>
          <cell r="C1270">
            <v>41762.579594907409</v>
          </cell>
          <cell r="D1270">
            <v>0.23433295795786754</v>
          </cell>
          <cell r="E1270">
            <v>0</v>
          </cell>
          <cell r="F1270">
            <v>0.76566704204213243</v>
          </cell>
          <cell r="G1270">
            <v>0</v>
          </cell>
        </row>
        <row r="1271">
          <cell r="A1271" t="str">
            <v>503 2015 10 1211 00010</v>
          </cell>
          <cell r="B1271">
            <v>31</v>
          </cell>
          <cell r="C1271">
            <v>42178.68712962963</v>
          </cell>
          <cell r="D1271">
            <v>0.23433295795786754</v>
          </cell>
          <cell r="E1271">
            <v>0</v>
          </cell>
          <cell r="F1271">
            <v>0.76566704204213243</v>
          </cell>
          <cell r="G1271">
            <v>0</v>
          </cell>
        </row>
        <row r="1272">
          <cell r="A1272" t="str">
            <v>503 2015 10 1211 00021</v>
          </cell>
          <cell r="B1272">
            <v>32</v>
          </cell>
          <cell r="C1272">
            <v>42192.632986111108</v>
          </cell>
          <cell r="D1272">
            <v>0.42735042735042733</v>
          </cell>
          <cell r="E1272">
            <v>0</v>
          </cell>
          <cell r="F1272">
            <v>0.57264957264957261</v>
          </cell>
          <cell r="G1272">
            <v>0</v>
          </cell>
        </row>
        <row r="1273">
          <cell r="A1273" t="str">
            <v>204 2011 10 1211 00007</v>
          </cell>
          <cell r="B1273">
            <v>4</v>
          </cell>
          <cell r="C1273">
            <v>40763.54855324074</v>
          </cell>
          <cell r="D1273">
            <v>6.9444444444444397E-3</v>
          </cell>
          <cell r="E1273">
            <v>0</v>
          </cell>
          <cell r="F1273">
            <v>6.0888888888889006E-2</v>
          </cell>
          <cell r="G1273">
            <v>0.93216666666666659</v>
          </cell>
        </row>
        <row r="1274">
          <cell r="A1274" t="str">
            <v>204 2015 10 1211 00010</v>
          </cell>
          <cell r="B1274">
            <v>10</v>
          </cell>
          <cell r="C1274">
            <v>42256.484398148146</v>
          </cell>
          <cell r="D1274">
            <v>7.6530612244897957E-3</v>
          </cell>
          <cell r="E1274">
            <v>0</v>
          </cell>
          <cell r="F1274">
            <v>7.6530612244897961E-2</v>
          </cell>
          <cell r="G1274">
            <v>0.91581632653061218</v>
          </cell>
        </row>
        <row r="1275">
          <cell r="A1275" t="str">
            <v>100 2006 10 1211 00007</v>
          </cell>
          <cell r="B1275">
            <v>11</v>
          </cell>
          <cell r="C1275">
            <v>39130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A1276" t="str">
            <v>504 2014 10 1212 00003</v>
          </cell>
          <cell r="B1276">
            <v>3</v>
          </cell>
          <cell r="C1276">
            <v>42323.669907407406</v>
          </cell>
          <cell r="D1276">
            <v>1</v>
          </cell>
          <cell r="E1276">
            <v>0</v>
          </cell>
          <cell r="F1276">
            <v>0</v>
          </cell>
          <cell r="G1276">
            <v>0</v>
          </cell>
        </row>
        <row r="1277">
          <cell r="A1277" t="str">
            <v>209 2015 10 1212 00001</v>
          </cell>
          <cell r="B1277">
            <v>3</v>
          </cell>
          <cell r="C1277">
            <v>42166.567418981482</v>
          </cell>
          <cell r="D1277">
            <v>5.4945054945054937E-2</v>
          </cell>
          <cell r="E1277">
            <v>0</v>
          </cell>
          <cell r="F1277">
            <v>0.94505494505494503</v>
          </cell>
          <cell r="G1277">
            <v>0</v>
          </cell>
        </row>
        <row r="1278">
          <cell r="A1278" t="str">
            <v>402 2013 10 1212 00002</v>
          </cell>
          <cell r="B1278">
            <v>3</v>
          </cell>
          <cell r="C1278">
            <v>41566.458668981482</v>
          </cell>
          <cell r="D1278">
            <v>0.13752131580394961</v>
          </cell>
          <cell r="E1278">
            <v>0</v>
          </cell>
          <cell r="F1278">
            <v>0.86247868419605034</v>
          </cell>
          <cell r="G1278">
            <v>0</v>
          </cell>
        </row>
        <row r="1279">
          <cell r="A1279" t="str">
            <v>402 2014 10 1212 00001</v>
          </cell>
          <cell r="B1279">
            <v>3</v>
          </cell>
          <cell r="C1279">
            <v>42082.34375</v>
          </cell>
          <cell r="D1279">
            <v>0.11297392561796737</v>
          </cell>
          <cell r="E1279">
            <v>0</v>
          </cell>
          <cell r="F1279">
            <v>0.88702607438203263</v>
          </cell>
          <cell r="G1279">
            <v>0</v>
          </cell>
        </row>
        <row r="1280">
          <cell r="A1280" t="str">
            <v>501 2015 10 1212 00001</v>
          </cell>
          <cell r="B1280">
            <v>2</v>
          </cell>
          <cell r="C1280">
            <v>42120.59165509259</v>
          </cell>
          <cell r="D1280">
            <v>0.21250266962954742</v>
          </cell>
          <cell r="E1280">
            <v>0</v>
          </cell>
          <cell r="F1280">
            <v>0.78749733037045255</v>
          </cell>
          <cell r="G1280">
            <v>0</v>
          </cell>
        </row>
        <row r="1281">
          <cell r="A1281" t="str">
            <v>501 2015 10 1212 00001</v>
          </cell>
          <cell r="B1281">
            <v>4</v>
          </cell>
          <cell r="C1281">
            <v>42121.521365740744</v>
          </cell>
          <cell r="D1281">
            <v>0.21250266962954742</v>
          </cell>
          <cell r="E1281">
            <v>0</v>
          </cell>
          <cell r="F1281">
            <v>0.78749733037045255</v>
          </cell>
          <cell r="G1281">
            <v>0</v>
          </cell>
        </row>
        <row r="1282">
          <cell r="A1282" t="str">
            <v>501 2014 11 1212 00001</v>
          </cell>
          <cell r="B1282">
            <v>6</v>
          </cell>
          <cell r="C1282">
            <v>41777.645740740743</v>
          </cell>
          <cell r="D1282">
            <v>0.24945923791760938</v>
          </cell>
          <cell r="E1282">
            <v>0</v>
          </cell>
          <cell r="F1282">
            <v>0.75054076208239062</v>
          </cell>
          <cell r="G1282">
            <v>0</v>
          </cell>
        </row>
        <row r="1283">
          <cell r="A1283" t="str">
            <v>501 2013 11 1212 00004</v>
          </cell>
          <cell r="B1283">
            <v>62</v>
          </cell>
          <cell r="C1283">
            <v>41597.393969907411</v>
          </cell>
          <cell r="D1283">
            <v>0.21250266963045056</v>
          </cell>
          <cell r="E1283">
            <v>0</v>
          </cell>
          <cell r="F1283">
            <v>0.78749733036954939</v>
          </cell>
          <cell r="G1283">
            <v>0</v>
          </cell>
        </row>
        <row r="1284">
          <cell r="A1284" t="str">
            <v>304 2015 10 1212 00006</v>
          </cell>
          <cell r="B1284">
            <v>6</v>
          </cell>
          <cell r="C1284">
            <v>42276.468182870369</v>
          </cell>
          <cell r="D1284">
            <v>0.65274151436031336</v>
          </cell>
          <cell r="E1284">
            <v>0</v>
          </cell>
          <cell r="F1284">
            <v>0.3472584856396867</v>
          </cell>
          <cell r="G1284">
            <v>0</v>
          </cell>
        </row>
        <row r="1285">
          <cell r="A1285" t="str">
            <v>304 2013 10 1212 00001</v>
          </cell>
          <cell r="B1285">
            <v>7</v>
          </cell>
          <cell r="C1285">
            <v>41606.602395833332</v>
          </cell>
          <cell r="D1285">
            <v>0.100779560241988</v>
          </cell>
          <cell r="E1285">
            <v>0</v>
          </cell>
          <cell r="F1285">
            <v>0.89922043975801202</v>
          </cell>
          <cell r="G1285">
            <v>0</v>
          </cell>
        </row>
        <row r="1286">
          <cell r="A1286" t="str">
            <v>503 2015 10 1212 00002</v>
          </cell>
          <cell r="B1286">
            <v>4</v>
          </cell>
          <cell r="C1286">
            <v>42103.583333333336</v>
          </cell>
          <cell r="D1286">
            <v>0.31716432009892936</v>
          </cell>
          <cell r="E1286">
            <v>0</v>
          </cell>
          <cell r="F1286">
            <v>0.68283567990107064</v>
          </cell>
          <cell r="G1286">
            <v>0</v>
          </cell>
        </row>
        <row r="1287">
          <cell r="A1287" t="str">
            <v>503 2014 10 1212 00003</v>
          </cell>
          <cell r="B1287">
            <v>5</v>
          </cell>
          <cell r="C1287">
            <v>41908.424085648148</v>
          </cell>
          <cell r="D1287">
            <v>0.1539408866995074</v>
          </cell>
          <cell r="E1287">
            <v>0</v>
          </cell>
          <cell r="F1287">
            <v>0.84605911330049266</v>
          </cell>
          <cell r="G1287">
            <v>0</v>
          </cell>
        </row>
        <row r="1288">
          <cell r="A1288" t="str">
            <v>204 2013 10 1211 00012</v>
          </cell>
          <cell r="B1288">
            <v>18</v>
          </cell>
          <cell r="C1288">
            <v>41638.557152777779</v>
          </cell>
          <cell r="D1288">
            <v>8.4459459459459499E-3</v>
          </cell>
          <cell r="E1288">
            <v>0</v>
          </cell>
          <cell r="F1288">
            <v>7.0101351351351246E-2</v>
          </cell>
          <cell r="G1288">
            <v>0.92145270270270285</v>
          </cell>
        </row>
        <row r="1289">
          <cell r="A1289" t="str">
            <v>503 2015 10 1211 00011</v>
          </cell>
          <cell r="B1289">
            <v>7</v>
          </cell>
          <cell r="C1289">
            <v>42042.685833333337</v>
          </cell>
          <cell r="D1289">
            <v>0.23427661275443901</v>
          </cell>
          <cell r="E1289">
            <v>0</v>
          </cell>
          <cell r="F1289">
            <v>0.76572338724556099</v>
          </cell>
          <cell r="G1289">
            <v>0</v>
          </cell>
        </row>
        <row r="1290">
          <cell r="A1290" t="str">
            <v>503 2015 10 1211 00020</v>
          </cell>
          <cell r="B1290">
            <v>13</v>
          </cell>
          <cell r="C1290">
            <v>42086.535891203705</v>
          </cell>
          <cell r="D1290">
            <v>0.50813008130081305</v>
          </cell>
          <cell r="E1290">
            <v>0</v>
          </cell>
          <cell r="F1290">
            <v>0.491869918699187</v>
          </cell>
          <cell r="G1290">
            <v>0</v>
          </cell>
        </row>
        <row r="1291">
          <cell r="A1291" t="str">
            <v>503 2012 10 1211 00003</v>
          </cell>
          <cell r="B1291">
            <v>14</v>
          </cell>
          <cell r="C1291">
            <v>41211.609189814815</v>
          </cell>
          <cell r="D1291">
            <v>0.24075842432216951</v>
          </cell>
          <cell r="E1291">
            <v>0</v>
          </cell>
          <cell r="F1291">
            <v>0.75924157567783046</v>
          </cell>
          <cell r="G1291">
            <v>0</v>
          </cell>
        </row>
        <row r="1292">
          <cell r="A1292" t="str">
            <v>503 2015 10 1211 00009</v>
          </cell>
          <cell r="B1292">
            <v>14</v>
          </cell>
          <cell r="C1292">
            <v>42086.585451388892</v>
          </cell>
          <cell r="D1292">
            <v>0.23427661275443901</v>
          </cell>
          <cell r="E1292">
            <v>0</v>
          </cell>
          <cell r="F1292">
            <v>0.76572338724556099</v>
          </cell>
          <cell r="G1292">
            <v>0</v>
          </cell>
        </row>
        <row r="1293">
          <cell r="A1293" t="str">
            <v>503 2014 10 1211 00004</v>
          </cell>
          <cell r="B1293">
            <v>23</v>
          </cell>
          <cell r="C1293">
            <v>41717.644201388888</v>
          </cell>
          <cell r="D1293">
            <v>0.23433295795786754</v>
          </cell>
          <cell r="E1293">
            <v>0</v>
          </cell>
          <cell r="F1293">
            <v>0.76566704204213243</v>
          </cell>
          <cell r="G1293">
            <v>0</v>
          </cell>
        </row>
        <row r="1294">
          <cell r="A1294" t="str">
            <v>503 2015 10 1211 00014</v>
          </cell>
          <cell r="B1294">
            <v>23</v>
          </cell>
          <cell r="C1294">
            <v>42148.333333333336</v>
          </cell>
          <cell r="D1294">
            <v>0.56219092387413849</v>
          </cell>
          <cell r="E1294">
            <v>0</v>
          </cell>
          <cell r="F1294">
            <v>0.43780907612586145</v>
          </cell>
          <cell r="G1294">
            <v>0</v>
          </cell>
        </row>
        <row r="1295">
          <cell r="A1295" t="str">
            <v>503 2015 10 1211 00016</v>
          </cell>
          <cell r="B1295">
            <v>24</v>
          </cell>
          <cell r="C1295">
            <v>42144.52239583333</v>
          </cell>
          <cell r="D1295">
            <v>1</v>
          </cell>
          <cell r="E1295">
            <v>0</v>
          </cell>
          <cell r="F1295">
            <v>0</v>
          </cell>
          <cell r="G1295">
            <v>0</v>
          </cell>
        </row>
        <row r="1296">
          <cell r="A1296" t="str">
            <v>503 2015 10 1211 00011</v>
          </cell>
          <cell r="B1296">
            <v>42</v>
          </cell>
          <cell r="C1296">
            <v>42284.434884259259</v>
          </cell>
          <cell r="D1296">
            <v>0.23427661275443901</v>
          </cell>
          <cell r="E1296">
            <v>0</v>
          </cell>
          <cell r="F1296">
            <v>0.76572338724556099</v>
          </cell>
          <cell r="G1296">
            <v>0</v>
          </cell>
        </row>
        <row r="1297">
          <cell r="A1297" t="str">
            <v>503 2014 10 1211 00004</v>
          </cell>
          <cell r="B1297">
            <v>43</v>
          </cell>
          <cell r="C1297">
            <v>41937.577222222222</v>
          </cell>
          <cell r="D1297">
            <v>0.23433295795786754</v>
          </cell>
          <cell r="E1297">
            <v>0</v>
          </cell>
          <cell r="F1297">
            <v>0.76566704204213243</v>
          </cell>
          <cell r="G1297">
            <v>0</v>
          </cell>
        </row>
        <row r="1298">
          <cell r="A1298" t="str">
            <v>203 2012 10 1211 00015</v>
          </cell>
          <cell r="B1298">
            <v>65</v>
          </cell>
          <cell r="C1298">
            <v>41169.420624999999</v>
          </cell>
          <cell r="D1298">
            <v>0.77511650551410594</v>
          </cell>
          <cell r="E1298">
            <v>0</v>
          </cell>
          <cell r="F1298">
            <v>0.22488349448589406</v>
          </cell>
          <cell r="G1298">
            <v>0</v>
          </cell>
        </row>
        <row r="1299">
          <cell r="A1299" t="str">
            <v>203 2014 10 1211 00006</v>
          </cell>
          <cell r="B1299">
            <v>93</v>
          </cell>
          <cell r="C1299">
            <v>41676.378993055558</v>
          </cell>
          <cell r="D1299">
            <v>0.28239389219784183</v>
          </cell>
          <cell r="E1299">
            <v>0</v>
          </cell>
          <cell r="F1299">
            <v>0.71760610780215817</v>
          </cell>
          <cell r="G1299">
            <v>0</v>
          </cell>
        </row>
        <row r="1300">
          <cell r="A1300" t="str">
            <v>203 2014 10 1211 00006</v>
          </cell>
          <cell r="B1300">
            <v>94</v>
          </cell>
          <cell r="C1300">
            <v>41677.404456018521</v>
          </cell>
          <cell r="D1300">
            <v>0.28239389219784183</v>
          </cell>
          <cell r="E1300">
            <v>0</v>
          </cell>
          <cell r="F1300">
            <v>0.71760610780215817</v>
          </cell>
          <cell r="G1300">
            <v>0</v>
          </cell>
        </row>
        <row r="1301">
          <cell r="A1301" t="str">
            <v>203 2008 10 1211 00005</v>
          </cell>
          <cell r="B1301">
            <v>125</v>
          </cell>
          <cell r="C1301">
            <v>39746</v>
          </cell>
          <cell r="D1301">
            <v>7.4214000000000002E-2</v>
          </cell>
          <cell r="E1301">
            <v>9.2600000000000002E-2</v>
          </cell>
          <cell r="F1301">
            <v>0.83318599999999998</v>
          </cell>
          <cell r="G1301">
            <v>0</v>
          </cell>
        </row>
        <row r="1302">
          <cell r="A1302" t="str">
            <v>203 2013 10 1211 00009</v>
          </cell>
          <cell r="B1302">
            <v>125</v>
          </cell>
          <cell r="C1302">
            <v>41633.448900462965</v>
          </cell>
          <cell r="D1302">
            <v>5.8823529411764712E-2</v>
          </cell>
          <cell r="E1302">
            <v>0</v>
          </cell>
          <cell r="F1302">
            <v>0.94117647058823528</v>
          </cell>
          <cell r="G1302">
            <v>0</v>
          </cell>
        </row>
        <row r="1303">
          <cell r="A1303" t="str">
            <v>203 2014 10 1211 00005</v>
          </cell>
          <cell r="B1303">
            <v>125</v>
          </cell>
          <cell r="C1303">
            <v>41938.590694444443</v>
          </cell>
          <cell r="D1303">
            <v>5.4945054945054951E-2</v>
          </cell>
          <cell r="E1303">
            <v>0</v>
          </cell>
          <cell r="F1303">
            <v>0.94505494505494503</v>
          </cell>
          <cell r="G1303">
            <v>0</v>
          </cell>
        </row>
        <row r="1304">
          <cell r="A1304" t="str">
            <v>203 2014 10 1211 00005</v>
          </cell>
          <cell r="B1304">
            <v>126</v>
          </cell>
          <cell r="C1304">
            <v>41806.618217592593</v>
          </cell>
          <cell r="D1304">
            <v>5.4945054945054951E-2</v>
          </cell>
          <cell r="E1304">
            <v>0</v>
          </cell>
          <cell r="F1304">
            <v>0.94505494505494503</v>
          </cell>
          <cell r="G1304">
            <v>0</v>
          </cell>
        </row>
        <row r="1305">
          <cell r="A1305" t="str">
            <v>204 2013 10 1211 00012</v>
          </cell>
          <cell r="B1305">
            <v>10</v>
          </cell>
          <cell r="C1305">
            <v>41480.543981481482</v>
          </cell>
          <cell r="D1305">
            <v>8.4459459459459499E-3</v>
          </cell>
          <cell r="E1305">
            <v>0</v>
          </cell>
          <cell r="F1305">
            <v>7.0101351351351246E-2</v>
          </cell>
          <cell r="G1305">
            <v>0.92145270270270285</v>
          </cell>
        </row>
        <row r="1306">
          <cell r="A1306" t="str">
            <v>503 2014 10 1211 00002</v>
          </cell>
          <cell r="B1306">
            <v>51</v>
          </cell>
          <cell r="C1306">
            <v>41973.749756944446</v>
          </cell>
          <cell r="D1306">
            <v>0.23427661275443901</v>
          </cell>
          <cell r="E1306">
            <v>0</v>
          </cell>
          <cell r="F1306">
            <v>0.76572338724556099</v>
          </cell>
          <cell r="G1306">
            <v>0</v>
          </cell>
        </row>
        <row r="1307">
          <cell r="A1307" t="str">
            <v>503 2015 10 1211 00018</v>
          </cell>
          <cell r="B1307">
            <v>51</v>
          </cell>
          <cell r="C1307">
            <v>42340.665173611109</v>
          </cell>
          <cell r="D1307">
            <v>0.51546391752577314</v>
          </cell>
          <cell r="E1307">
            <v>0</v>
          </cell>
          <cell r="F1307">
            <v>0.4845360824742268</v>
          </cell>
          <cell r="G1307">
            <v>0</v>
          </cell>
        </row>
        <row r="1308">
          <cell r="A1308" t="str">
            <v>503 2015 10 1211 00010</v>
          </cell>
          <cell r="B1308">
            <v>52</v>
          </cell>
          <cell r="C1308">
            <v>42036.712361111109</v>
          </cell>
          <cell r="D1308">
            <v>0.23433295795786754</v>
          </cell>
          <cell r="E1308">
            <v>0</v>
          </cell>
          <cell r="F1308">
            <v>0.76566704204213243</v>
          </cell>
          <cell r="G1308">
            <v>0</v>
          </cell>
        </row>
        <row r="1309">
          <cell r="A1309" t="str">
            <v>204 2012 10 1211 00015</v>
          </cell>
          <cell r="B1309">
            <v>5</v>
          </cell>
          <cell r="C1309">
            <v>41308.605219907404</v>
          </cell>
          <cell r="D1309">
            <v>2.5644042960282325E-2</v>
          </cell>
          <cell r="E1309">
            <v>0</v>
          </cell>
          <cell r="F1309">
            <v>0.3143559570397228</v>
          </cell>
          <cell r="G1309">
            <v>0.65999999999999481</v>
          </cell>
        </row>
        <row r="1310">
          <cell r="A1310" t="str">
            <v>204 2014 10 1211 00009</v>
          </cell>
          <cell r="B1310">
            <v>5</v>
          </cell>
          <cell r="C1310">
            <v>41828.515509259261</v>
          </cell>
          <cell r="D1310">
            <v>0.03</v>
          </cell>
          <cell r="E1310">
            <v>0</v>
          </cell>
          <cell r="F1310">
            <v>0</v>
          </cell>
          <cell r="G1310">
            <v>0.97</v>
          </cell>
        </row>
        <row r="1311">
          <cell r="A1311" t="str">
            <v>204 2010 10 1211 00007</v>
          </cell>
          <cell r="B1311">
            <v>12</v>
          </cell>
          <cell r="C1311">
            <v>40370</v>
          </cell>
          <cell r="D1311">
            <v>1.2206495225126183E-2</v>
          </cell>
          <cell r="E1311">
            <v>0</v>
          </cell>
          <cell r="F1311">
            <v>0.10369157810625995</v>
          </cell>
          <cell r="G1311">
            <v>0.88410192666861387</v>
          </cell>
        </row>
        <row r="1312">
          <cell r="A1312" t="str">
            <v>503 2015 10 1212 00003</v>
          </cell>
          <cell r="B1312">
            <v>5</v>
          </cell>
          <cell r="C1312">
            <v>42189.625</v>
          </cell>
          <cell r="D1312">
            <v>0.2001231527093596</v>
          </cell>
          <cell r="E1312">
            <v>0</v>
          </cell>
          <cell r="F1312">
            <v>0.79987684729064035</v>
          </cell>
          <cell r="G1312">
            <v>0</v>
          </cell>
        </row>
        <row r="1313">
          <cell r="A1313" t="str">
            <v>503 2015 10 1212 00003</v>
          </cell>
          <cell r="B1313">
            <v>9</v>
          </cell>
          <cell r="C1313">
            <v>42218.458333333336</v>
          </cell>
          <cell r="D1313">
            <v>0.2001231527093596</v>
          </cell>
          <cell r="E1313">
            <v>0</v>
          </cell>
          <cell r="F1313">
            <v>0.79987684729064035</v>
          </cell>
          <cell r="G1313">
            <v>0</v>
          </cell>
        </row>
        <row r="1314">
          <cell r="A1314" t="str">
            <v>503 2015 10 1212 00003</v>
          </cell>
          <cell r="B1314">
            <v>10</v>
          </cell>
          <cell r="C1314">
            <v>42223.583333333336</v>
          </cell>
          <cell r="D1314">
            <v>0.2001231527093596</v>
          </cell>
          <cell r="E1314">
            <v>0</v>
          </cell>
          <cell r="F1314">
            <v>0.79987684729064035</v>
          </cell>
          <cell r="G1314">
            <v>0</v>
          </cell>
        </row>
        <row r="1315">
          <cell r="A1315" t="str">
            <v>503 2015 10 1212 00003</v>
          </cell>
          <cell r="B1315">
            <v>6</v>
          </cell>
          <cell r="C1315">
            <v>42185.125393518516</v>
          </cell>
          <cell r="D1315">
            <v>0.2001231527093596</v>
          </cell>
          <cell r="E1315">
            <v>0</v>
          </cell>
          <cell r="F1315">
            <v>0.79987684729064035</v>
          </cell>
          <cell r="G1315">
            <v>0</v>
          </cell>
        </row>
        <row r="1316">
          <cell r="A1316" t="str">
            <v>503 2015 10 1212 00003</v>
          </cell>
          <cell r="B1316">
            <v>7</v>
          </cell>
          <cell r="C1316">
            <v>42205.437569444446</v>
          </cell>
          <cell r="D1316">
            <v>0.2001231527093596</v>
          </cell>
          <cell r="E1316">
            <v>0</v>
          </cell>
          <cell r="F1316">
            <v>0.79987684729064035</v>
          </cell>
          <cell r="G1316">
            <v>0</v>
          </cell>
        </row>
        <row r="1317">
          <cell r="A1317" t="str">
            <v>503 2015 10 1212 00003</v>
          </cell>
          <cell r="B1317">
            <v>13</v>
          </cell>
          <cell r="C1317">
            <v>42290.66678240741</v>
          </cell>
          <cell r="D1317">
            <v>0.2001231527093596</v>
          </cell>
          <cell r="E1317">
            <v>0</v>
          </cell>
          <cell r="F1317">
            <v>0.79987684729064035</v>
          </cell>
          <cell r="G1317">
            <v>0</v>
          </cell>
        </row>
        <row r="1318">
          <cell r="A1318" t="str">
            <v>503 2015 10 1212 00003</v>
          </cell>
          <cell r="B1318">
            <v>14</v>
          </cell>
          <cell r="C1318">
            <v>42291.417002314818</v>
          </cell>
          <cell r="D1318">
            <v>0.2001231527093596</v>
          </cell>
          <cell r="E1318">
            <v>0</v>
          </cell>
          <cell r="F1318">
            <v>0.79987684729064035</v>
          </cell>
          <cell r="G1318">
            <v>0</v>
          </cell>
        </row>
        <row r="1319">
          <cell r="A1319" t="str">
            <v>110 2014 11 1212 00001</v>
          </cell>
          <cell r="B1319">
            <v>1</v>
          </cell>
          <cell r="C1319">
            <v>41874.336145833331</v>
          </cell>
          <cell r="D1319">
            <v>0.19263368777931886</v>
          </cell>
          <cell r="E1319">
            <v>0</v>
          </cell>
          <cell r="F1319">
            <v>0.80736631222068111</v>
          </cell>
          <cell r="G1319">
            <v>0</v>
          </cell>
        </row>
        <row r="1320">
          <cell r="A1320" t="str">
            <v>110 2014 11 1212 00004</v>
          </cell>
          <cell r="B1320">
            <v>4</v>
          </cell>
          <cell r="C1320">
            <v>42001.624259259261</v>
          </cell>
          <cell r="D1320">
            <v>1</v>
          </cell>
          <cell r="E1320">
            <v>0</v>
          </cell>
          <cell r="F1320">
            <v>0</v>
          </cell>
          <cell r="G1320">
            <v>0</v>
          </cell>
        </row>
        <row r="1321">
          <cell r="A1321" t="str">
            <v>207 2015 10 1212 00008</v>
          </cell>
          <cell r="B1321">
            <v>4</v>
          </cell>
          <cell r="C1321">
            <v>42157</v>
          </cell>
          <cell r="D1321">
            <v>0.13824546342376645</v>
          </cell>
          <cell r="E1321">
            <v>0</v>
          </cell>
          <cell r="F1321">
            <v>0.86175453657623358</v>
          </cell>
          <cell r="G1321">
            <v>0</v>
          </cell>
        </row>
        <row r="1322">
          <cell r="A1322" t="str">
            <v>203 2012 10 1212 00010</v>
          </cell>
          <cell r="B1322">
            <v>38</v>
          </cell>
          <cell r="C1322">
            <v>41258.624456018515</v>
          </cell>
          <cell r="D1322">
            <v>0.48078258912855332</v>
          </cell>
          <cell r="E1322">
            <v>0</v>
          </cell>
          <cell r="F1322">
            <v>0.51921741087144668</v>
          </cell>
          <cell r="G1322">
            <v>0</v>
          </cell>
        </row>
        <row r="1323">
          <cell r="A1323" t="str">
            <v>203 2015 10 1212 00005</v>
          </cell>
          <cell r="B1323">
            <v>38</v>
          </cell>
          <cell r="C1323">
            <v>42236.625</v>
          </cell>
          <cell r="D1323">
            <v>5.9565902215354301E-2</v>
          </cell>
          <cell r="E1323">
            <v>0</v>
          </cell>
          <cell r="F1323">
            <v>0.83392263101496</v>
          </cell>
          <cell r="G1323">
            <v>0.1065114667696857</v>
          </cell>
        </row>
        <row r="1324">
          <cell r="A1324" t="str">
            <v>204 2011 10 1211 00005</v>
          </cell>
          <cell r="B1324">
            <v>12</v>
          </cell>
          <cell r="C1324">
            <v>40932.458229166667</v>
          </cell>
          <cell r="D1324">
            <v>0.03</v>
          </cell>
          <cell r="E1324">
            <v>0</v>
          </cell>
          <cell r="F1324">
            <v>0</v>
          </cell>
          <cell r="G1324">
            <v>0.97</v>
          </cell>
        </row>
        <row r="1325">
          <cell r="A1325" t="str">
            <v>204 2012 10 1211 00014</v>
          </cell>
          <cell r="B1325">
            <v>27</v>
          </cell>
          <cell r="C1325">
            <v>41093.391481481478</v>
          </cell>
          <cell r="D1325">
            <v>5.8823999999999994E-2</v>
          </cell>
          <cell r="E1325">
            <v>0</v>
          </cell>
          <cell r="F1325">
            <v>0.94117600000000001</v>
          </cell>
          <cell r="G1325">
            <v>0</v>
          </cell>
        </row>
        <row r="1326">
          <cell r="A1326" t="str">
            <v>204 2009 10 1211 00012</v>
          </cell>
          <cell r="B1326">
            <v>43</v>
          </cell>
          <cell r="C1326">
            <v>40080</v>
          </cell>
          <cell r="D1326">
            <v>9.2592592592592501E-3</v>
          </cell>
          <cell r="E1326">
            <v>0</v>
          </cell>
          <cell r="F1326">
            <v>8.101851851851849E-2</v>
          </cell>
          <cell r="G1326">
            <v>0.90972222222222221</v>
          </cell>
        </row>
        <row r="1327">
          <cell r="A1327" t="str">
            <v>503 2015 10 1211 00011</v>
          </cell>
          <cell r="B1327">
            <v>1</v>
          </cell>
          <cell r="C1327">
            <v>42011.607511574075</v>
          </cell>
          <cell r="D1327">
            <v>0.23427661275443901</v>
          </cell>
          <cell r="E1327">
            <v>0</v>
          </cell>
          <cell r="F1327">
            <v>0.76572338724556099</v>
          </cell>
          <cell r="G1327">
            <v>0</v>
          </cell>
        </row>
        <row r="1328">
          <cell r="A1328" t="str">
            <v>503 2014 10 1211 00003</v>
          </cell>
          <cell r="B1328">
            <v>54</v>
          </cell>
          <cell r="C1328">
            <v>41985.638703703706</v>
          </cell>
          <cell r="D1328">
            <v>0.23526704079101265</v>
          </cell>
          <cell r="E1328">
            <v>0</v>
          </cell>
          <cell r="F1328">
            <v>0.76473295920898732</v>
          </cell>
          <cell r="G1328">
            <v>0</v>
          </cell>
        </row>
        <row r="1329">
          <cell r="A1329" t="str">
            <v>503 2015 10 1211 00010</v>
          </cell>
          <cell r="B1329">
            <v>54</v>
          </cell>
          <cell r="C1329">
            <v>42306.439814814818</v>
          </cell>
          <cell r="D1329">
            <v>0.23433295795786754</v>
          </cell>
          <cell r="E1329">
            <v>0</v>
          </cell>
          <cell r="F1329">
            <v>0.76566704204213243</v>
          </cell>
          <cell r="G1329">
            <v>0</v>
          </cell>
        </row>
        <row r="1330">
          <cell r="A1330" t="str">
            <v>503 2014 10 1211 00004</v>
          </cell>
          <cell r="B1330">
            <v>55</v>
          </cell>
          <cell r="C1330">
            <v>41983.662499999999</v>
          </cell>
          <cell r="D1330">
            <v>0.23433295795786754</v>
          </cell>
          <cell r="E1330">
            <v>0</v>
          </cell>
          <cell r="F1330">
            <v>0.76566704204213243</v>
          </cell>
          <cell r="G1330">
            <v>0</v>
          </cell>
        </row>
        <row r="1331">
          <cell r="A1331" t="str">
            <v>503 2015 10 1211 00011</v>
          </cell>
          <cell r="B1331">
            <v>55</v>
          </cell>
          <cell r="C1331">
            <v>42101.61037037037</v>
          </cell>
          <cell r="D1331">
            <v>0.23427661275443901</v>
          </cell>
          <cell r="E1331">
            <v>0</v>
          </cell>
          <cell r="F1331">
            <v>0.76572338724556099</v>
          </cell>
          <cell r="G1331">
            <v>0</v>
          </cell>
        </row>
        <row r="1332">
          <cell r="A1332" t="str">
            <v>503 2014 10 1211 00006</v>
          </cell>
          <cell r="B1332">
            <v>56</v>
          </cell>
          <cell r="C1332">
            <v>41991.792060185187</v>
          </cell>
          <cell r="D1332">
            <v>0.19722841456988308</v>
          </cell>
          <cell r="E1332">
            <v>0</v>
          </cell>
          <cell r="F1332">
            <v>0.80277158543011695</v>
          </cell>
          <cell r="G1332">
            <v>0</v>
          </cell>
        </row>
        <row r="1333">
          <cell r="A1333" t="str">
            <v>503 2015 10 1211 00016</v>
          </cell>
          <cell r="B1333">
            <v>56</v>
          </cell>
          <cell r="C1333">
            <v>42144.620763888888</v>
          </cell>
          <cell r="D1333">
            <v>1</v>
          </cell>
          <cell r="E1333">
            <v>0</v>
          </cell>
          <cell r="F1333">
            <v>0</v>
          </cell>
          <cell r="G1333">
            <v>0</v>
          </cell>
        </row>
        <row r="1334">
          <cell r="A1334" t="str">
            <v>502 2012 10 1211 00008</v>
          </cell>
          <cell r="B1334">
            <v>1</v>
          </cell>
          <cell r="C1334">
            <v>41252</v>
          </cell>
          <cell r="D1334">
            <v>0.14905974796491736</v>
          </cell>
          <cell r="E1334">
            <v>0</v>
          </cell>
          <cell r="F1334">
            <v>0.85094025203508261</v>
          </cell>
          <cell r="G1334">
            <v>0</v>
          </cell>
        </row>
        <row r="1335">
          <cell r="A1335" t="str">
            <v>502 2013 10 1211 00004</v>
          </cell>
          <cell r="B1335">
            <v>1</v>
          </cell>
          <cell r="C1335">
            <v>41699</v>
          </cell>
          <cell r="D1335">
            <v>0.14905974796491736</v>
          </cell>
          <cell r="E1335">
            <v>0</v>
          </cell>
          <cell r="F1335">
            <v>0.85094025203508261</v>
          </cell>
          <cell r="G1335">
            <v>0</v>
          </cell>
        </row>
        <row r="1336">
          <cell r="A1336" t="str">
            <v>203 2015 10 1212 00005</v>
          </cell>
          <cell r="B1336">
            <v>61</v>
          </cell>
          <cell r="C1336">
            <v>42337.592175925929</v>
          </cell>
          <cell r="D1336">
            <v>5.9565902215354301E-2</v>
          </cell>
          <cell r="E1336">
            <v>0</v>
          </cell>
          <cell r="F1336">
            <v>0.83392263101496</v>
          </cell>
          <cell r="G1336">
            <v>0.1065114667696857</v>
          </cell>
        </row>
        <row r="1337">
          <cell r="A1337" t="str">
            <v>203 2015 10 1212 00005</v>
          </cell>
          <cell r="B1337">
            <v>62</v>
          </cell>
          <cell r="C1337">
            <v>42348.607847222222</v>
          </cell>
          <cell r="D1337">
            <v>5.9565902215354301E-2</v>
          </cell>
          <cell r="E1337">
            <v>0</v>
          </cell>
          <cell r="F1337">
            <v>0.83392263101496</v>
          </cell>
          <cell r="G1337">
            <v>0.1065114667696857</v>
          </cell>
        </row>
        <row r="1338">
          <cell r="A1338" t="str">
            <v>203 2014 10 1212 00009</v>
          </cell>
          <cell r="B1338">
            <v>123</v>
          </cell>
          <cell r="C1338">
            <v>41999.587245370371</v>
          </cell>
          <cell r="D1338">
            <v>5.9565902215354273E-2</v>
          </cell>
          <cell r="E1338">
            <v>0</v>
          </cell>
          <cell r="F1338">
            <v>0.83392263101495978</v>
          </cell>
          <cell r="G1338">
            <v>0.10651146676968593</v>
          </cell>
        </row>
        <row r="1339">
          <cell r="A1339" t="str">
            <v>203 2014 10 1212 00009</v>
          </cell>
          <cell r="B1339">
            <v>124</v>
          </cell>
          <cell r="C1339">
            <v>42003.553298611114</v>
          </cell>
          <cell r="D1339">
            <v>5.9565902215354273E-2</v>
          </cell>
          <cell r="E1339">
            <v>0</v>
          </cell>
          <cell r="F1339">
            <v>0.83392263101495978</v>
          </cell>
          <cell r="G1339">
            <v>0.10651146676968593</v>
          </cell>
        </row>
        <row r="1340">
          <cell r="A1340" t="str">
            <v>205 2013 10 1212 00016</v>
          </cell>
          <cell r="B1340">
            <v>16</v>
          </cell>
          <cell r="C1340">
            <v>41610.431504629632</v>
          </cell>
          <cell r="D1340">
            <v>8.3459831647504992E-2</v>
          </cell>
          <cell r="E1340">
            <v>0</v>
          </cell>
          <cell r="F1340">
            <v>0.91654016835249497</v>
          </cell>
          <cell r="G1340">
            <v>0</v>
          </cell>
        </row>
        <row r="1341">
          <cell r="A1341" t="str">
            <v>205 2014 10 1212 00020</v>
          </cell>
          <cell r="B1341">
            <v>16</v>
          </cell>
          <cell r="C1341">
            <v>41896.450243055559</v>
          </cell>
          <cell r="D1341">
            <v>7.7510167556295445E-2</v>
          </cell>
          <cell r="E1341">
            <v>0</v>
          </cell>
          <cell r="F1341">
            <v>0.92248983244370453</v>
          </cell>
          <cell r="G1341">
            <v>0</v>
          </cell>
        </row>
        <row r="1342">
          <cell r="A1342" t="str">
            <v>112 2010 10 1212 00004</v>
          </cell>
          <cell r="B1342">
            <v>3</v>
          </cell>
          <cell r="C1342">
            <v>40602</v>
          </cell>
          <cell r="D1342">
            <v>1</v>
          </cell>
          <cell r="E1342">
            <v>0</v>
          </cell>
          <cell r="F1342">
            <v>0</v>
          </cell>
          <cell r="G1342">
            <v>0</v>
          </cell>
        </row>
        <row r="1343">
          <cell r="A1343" t="str">
            <v>203 2015 10 1212 00005</v>
          </cell>
          <cell r="B1343">
            <v>46</v>
          </cell>
          <cell r="C1343">
            <v>42278.4606712963</v>
          </cell>
          <cell r="D1343">
            <v>5.9565902215354301E-2</v>
          </cell>
          <cell r="E1343">
            <v>0</v>
          </cell>
          <cell r="F1343">
            <v>0.83392263101496</v>
          </cell>
          <cell r="G1343">
            <v>0.1065114667696857</v>
          </cell>
        </row>
        <row r="1344">
          <cell r="A1344" t="str">
            <v>205 2014 10 1212 00003</v>
          </cell>
          <cell r="B1344">
            <v>3</v>
          </cell>
          <cell r="C1344">
            <v>41779.64539351852</v>
          </cell>
          <cell r="D1344">
            <v>0.75</v>
          </cell>
          <cell r="E1344">
            <v>0</v>
          </cell>
          <cell r="F1344">
            <v>0.25</v>
          </cell>
          <cell r="G1344">
            <v>0</v>
          </cell>
        </row>
        <row r="1345">
          <cell r="A1345" t="str">
            <v>205 2014 10 1212 00020</v>
          </cell>
          <cell r="B1345">
            <v>3</v>
          </cell>
          <cell r="C1345">
            <v>42101.687222222223</v>
          </cell>
          <cell r="D1345">
            <v>7.7510167556295445E-2</v>
          </cell>
          <cell r="E1345">
            <v>0</v>
          </cell>
          <cell r="F1345">
            <v>0.92248983244370453</v>
          </cell>
          <cell r="G1345">
            <v>0</v>
          </cell>
        </row>
        <row r="1346">
          <cell r="A1346" t="str">
            <v>205 2013 10 1212 00015</v>
          </cell>
          <cell r="B1346">
            <v>4</v>
          </cell>
          <cell r="C1346">
            <v>41807.465555555558</v>
          </cell>
          <cell r="D1346">
            <v>7.2463768115942032E-2</v>
          </cell>
          <cell r="E1346">
            <v>0</v>
          </cell>
          <cell r="F1346">
            <v>0.92753623188405798</v>
          </cell>
          <cell r="G1346">
            <v>0</v>
          </cell>
        </row>
        <row r="1347">
          <cell r="A1347" t="str">
            <v>205 2014 10 1212 00020</v>
          </cell>
          <cell r="B1347">
            <v>4</v>
          </cell>
          <cell r="C1347">
            <v>42221.380300925928</v>
          </cell>
          <cell r="D1347">
            <v>7.7510167556295445E-2</v>
          </cell>
          <cell r="E1347">
            <v>0</v>
          </cell>
          <cell r="F1347">
            <v>0.92248983244370453</v>
          </cell>
          <cell r="G1347">
            <v>0</v>
          </cell>
        </row>
        <row r="1348">
          <cell r="A1348" t="str">
            <v>205 2015 10 1212 00020</v>
          </cell>
          <cell r="B1348">
            <v>6</v>
          </cell>
          <cell r="C1348">
            <v>42222.482442129629</v>
          </cell>
          <cell r="D1348">
            <v>3.4090909090909088E-2</v>
          </cell>
          <cell r="E1348">
            <v>0</v>
          </cell>
          <cell r="F1348">
            <v>0.96590909090909094</v>
          </cell>
          <cell r="G1348">
            <v>0</v>
          </cell>
        </row>
        <row r="1349">
          <cell r="A1349" t="str">
            <v>503 2015 10 1211 00019</v>
          </cell>
          <cell r="B1349">
            <v>19</v>
          </cell>
          <cell r="C1349">
            <v>42091.75</v>
          </cell>
          <cell r="D1349">
            <v>0.36496350364963503</v>
          </cell>
          <cell r="E1349">
            <v>0</v>
          </cell>
          <cell r="F1349">
            <v>0.63503649635036497</v>
          </cell>
          <cell r="G1349">
            <v>0</v>
          </cell>
        </row>
        <row r="1350">
          <cell r="A1350" t="str">
            <v>503 2015 10 1211 00011</v>
          </cell>
          <cell r="B1350">
            <v>20</v>
          </cell>
          <cell r="C1350">
            <v>42116.432395833333</v>
          </cell>
          <cell r="D1350">
            <v>0.23427661275443901</v>
          </cell>
          <cell r="E1350">
            <v>0</v>
          </cell>
          <cell r="F1350">
            <v>0.76572338724556099</v>
          </cell>
          <cell r="G1350">
            <v>0</v>
          </cell>
        </row>
        <row r="1351">
          <cell r="A1351" t="str">
            <v>503 2015 10 1211 00019</v>
          </cell>
          <cell r="B1351">
            <v>39</v>
          </cell>
          <cell r="C1351">
            <v>42278.500532407408</v>
          </cell>
          <cell r="D1351">
            <v>0.36496350364963503</v>
          </cell>
          <cell r="E1351">
            <v>0</v>
          </cell>
          <cell r="F1351">
            <v>0.63503649635036497</v>
          </cell>
          <cell r="G1351">
            <v>0</v>
          </cell>
        </row>
        <row r="1352">
          <cell r="A1352" t="str">
            <v>503 2015 10 1211 00012</v>
          </cell>
          <cell r="B1352">
            <v>40</v>
          </cell>
          <cell r="C1352">
            <v>42280.690069444441</v>
          </cell>
          <cell r="D1352">
            <v>1</v>
          </cell>
          <cell r="E1352">
            <v>0</v>
          </cell>
          <cell r="F1352">
            <v>0</v>
          </cell>
          <cell r="G1352">
            <v>0</v>
          </cell>
        </row>
        <row r="1353">
          <cell r="A1353" t="str">
            <v>503 2015 10 1211 00020</v>
          </cell>
          <cell r="B1353">
            <v>41</v>
          </cell>
          <cell r="C1353">
            <v>42283.572916666664</v>
          </cell>
          <cell r="D1353">
            <v>0.50813008130081305</v>
          </cell>
          <cell r="E1353">
            <v>0</v>
          </cell>
          <cell r="F1353">
            <v>0.491869918699187</v>
          </cell>
          <cell r="G1353">
            <v>0</v>
          </cell>
        </row>
        <row r="1354">
          <cell r="A1354" t="str">
            <v>207 2014 10 1211 00001</v>
          </cell>
          <cell r="B1354">
            <v>1</v>
          </cell>
          <cell r="C1354">
            <v>42067.833333333336</v>
          </cell>
          <cell r="D1354">
            <v>2.4853890193205642E-2</v>
          </cell>
          <cell r="E1354">
            <v>0</v>
          </cell>
          <cell r="F1354">
            <v>0.34795446270487901</v>
          </cell>
          <cell r="G1354">
            <v>0.62719164710191544</v>
          </cell>
        </row>
        <row r="1355">
          <cell r="A1355" t="str">
            <v>207 2014 10 1211 00001</v>
          </cell>
          <cell r="B1355">
            <v>2</v>
          </cell>
          <cell r="C1355">
            <v>42082</v>
          </cell>
          <cell r="D1355">
            <v>2.4853890193205642E-2</v>
          </cell>
          <cell r="E1355">
            <v>0</v>
          </cell>
          <cell r="F1355">
            <v>0.34795446270487901</v>
          </cell>
          <cell r="G1355">
            <v>0.62719164710191544</v>
          </cell>
        </row>
        <row r="1356">
          <cell r="A1356" t="str">
            <v>207 2014 10 1211 00001</v>
          </cell>
          <cell r="B1356">
            <v>4</v>
          </cell>
          <cell r="C1356">
            <v>41898.465277777781</v>
          </cell>
          <cell r="D1356">
            <v>2.4853890193205642E-2</v>
          </cell>
          <cell r="E1356">
            <v>0</v>
          </cell>
          <cell r="F1356">
            <v>0.34795446270487901</v>
          </cell>
          <cell r="G1356">
            <v>0.62719164710191544</v>
          </cell>
        </row>
        <row r="1357">
          <cell r="A1357" t="str">
            <v>302 2014 10 1211 00001</v>
          </cell>
          <cell r="B1357">
            <v>1</v>
          </cell>
          <cell r="C1357">
            <v>42034.569444444445</v>
          </cell>
          <cell r="D1357">
            <v>8.4048101429237496E-3</v>
          </cell>
          <cell r="E1357">
            <v>0</v>
          </cell>
          <cell r="F1357">
            <v>0.14456273445828852</v>
          </cell>
          <cell r="G1357">
            <v>0.8470324553987878</v>
          </cell>
        </row>
        <row r="1358">
          <cell r="A1358" t="str">
            <v>302 2014 10 1211 00001</v>
          </cell>
          <cell r="B1358">
            <v>5</v>
          </cell>
          <cell r="C1358">
            <v>41832.491608796299</v>
          </cell>
          <cell r="D1358">
            <v>8.4048101429237496E-3</v>
          </cell>
          <cell r="E1358">
            <v>0</v>
          </cell>
          <cell r="F1358">
            <v>0.14456273445828852</v>
          </cell>
          <cell r="G1358">
            <v>0.8470324553987878</v>
          </cell>
        </row>
        <row r="1359">
          <cell r="A1359" t="str">
            <v>505 2013 10 1211 00016</v>
          </cell>
          <cell r="B1359">
            <v>4</v>
          </cell>
          <cell r="C1359">
            <v>41311</v>
          </cell>
          <cell r="D1359">
            <v>8.0904816241931299E-2</v>
          </cell>
          <cell r="E1359">
            <v>0</v>
          </cell>
          <cell r="F1359">
            <v>0.91909518375806876</v>
          </cell>
          <cell r="G1359">
            <v>0</v>
          </cell>
        </row>
        <row r="1360">
          <cell r="A1360" t="str">
            <v>505 2014 10 1211 00006</v>
          </cell>
          <cell r="B1360">
            <v>46</v>
          </cell>
          <cell r="C1360">
            <v>41764</v>
          </cell>
          <cell r="D1360">
            <v>5.8823529411764705E-2</v>
          </cell>
          <cell r="E1360">
            <v>0</v>
          </cell>
          <cell r="F1360">
            <v>0.94117647058823528</v>
          </cell>
          <cell r="G1360">
            <v>0</v>
          </cell>
        </row>
        <row r="1361">
          <cell r="A1361" t="str">
            <v>505 2014 10 1211 00006</v>
          </cell>
          <cell r="B1361">
            <v>47</v>
          </cell>
          <cell r="C1361">
            <v>41779</v>
          </cell>
          <cell r="D1361">
            <v>5.8823529411764705E-2</v>
          </cell>
          <cell r="E1361">
            <v>0</v>
          </cell>
          <cell r="F1361">
            <v>0.94117647058823528</v>
          </cell>
          <cell r="G1361">
            <v>0</v>
          </cell>
        </row>
        <row r="1362">
          <cell r="A1362" t="str">
            <v>505 2013 10 1211 00001</v>
          </cell>
          <cell r="B1362">
            <v>48</v>
          </cell>
          <cell r="C1362">
            <v>41533</v>
          </cell>
          <cell r="D1362">
            <v>1</v>
          </cell>
          <cell r="E1362">
            <v>0</v>
          </cell>
          <cell r="F1362">
            <v>0</v>
          </cell>
          <cell r="G1362">
            <v>0</v>
          </cell>
        </row>
        <row r="1363">
          <cell r="A1363" t="str">
            <v>505 2014 10 1211 00006</v>
          </cell>
          <cell r="B1363">
            <v>50</v>
          </cell>
          <cell r="C1363">
            <v>41786</v>
          </cell>
          <cell r="D1363">
            <v>5.8823529411764705E-2</v>
          </cell>
          <cell r="E1363">
            <v>0</v>
          </cell>
          <cell r="F1363">
            <v>0.94117647058823528</v>
          </cell>
          <cell r="G1363">
            <v>0</v>
          </cell>
        </row>
        <row r="1364">
          <cell r="A1364" t="str">
            <v>505 2014 10 1211 00006</v>
          </cell>
          <cell r="B1364">
            <v>55</v>
          </cell>
          <cell r="C1364">
            <v>41798</v>
          </cell>
          <cell r="D1364">
            <v>5.8823529411764705E-2</v>
          </cell>
          <cell r="E1364">
            <v>0</v>
          </cell>
          <cell r="F1364">
            <v>0.94117647058823528</v>
          </cell>
          <cell r="G1364">
            <v>0</v>
          </cell>
        </row>
        <row r="1365">
          <cell r="A1365" t="str">
            <v>505 2014 10 1211 00023</v>
          </cell>
          <cell r="B1365">
            <v>57</v>
          </cell>
          <cell r="C1365">
            <v>41807.833333333336</v>
          </cell>
          <cell r="D1365">
            <v>0.32341549364147415</v>
          </cell>
          <cell r="E1365">
            <v>0</v>
          </cell>
          <cell r="F1365">
            <v>0.67658450635852585</v>
          </cell>
          <cell r="G1365">
            <v>0</v>
          </cell>
        </row>
        <row r="1366">
          <cell r="A1366" t="str">
            <v>505 2014 10 1211 00006</v>
          </cell>
          <cell r="B1366">
            <v>59</v>
          </cell>
          <cell r="C1366">
            <v>41807</v>
          </cell>
          <cell r="D1366">
            <v>5.8823529411764705E-2</v>
          </cell>
          <cell r="E1366">
            <v>0</v>
          </cell>
          <cell r="F1366">
            <v>0.94117647058823528</v>
          </cell>
          <cell r="G1366">
            <v>0</v>
          </cell>
        </row>
        <row r="1367">
          <cell r="A1367" t="str">
            <v>301 2014 10 1211 00003</v>
          </cell>
          <cell r="B1367">
            <v>6</v>
          </cell>
          <cell r="C1367">
            <v>41835.462210648147</v>
          </cell>
          <cell r="D1367">
            <v>0.11008851116297504</v>
          </cell>
          <cell r="E1367">
            <v>0</v>
          </cell>
          <cell r="F1367">
            <v>0.88991148883702498</v>
          </cell>
          <cell r="G1367">
            <v>0</v>
          </cell>
        </row>
        <row r="1368">
          <cell r="A1368" t="str">
            <v>401 2015 10 1211 00006</v>
          </cell>
          <cell r="B1368">
            <v>14</v>
          </cell>
          <cell r="C1368">
            <v>42175.555625000001</v>
          </cell>
          <cell r="D1368">
            <v>1</v>
          </cell>
          <cell r="E1368">
            <v>0</v>
          </cell>
          <cell r="F1368">
            <v>0</v>
          </cell>
          <cell r="G1368">
            <v>0</v>
          </cell>
        </row>
        <row r="1369">
          <cell r="A1369" t="str">
            <v>401 2015 10 1211 00005</v>
          </cell>
          <cell r="B1369">
            <v>15</v>
          </cell>
          <cell r="C1369">
            <v>42182.625</v>
          </cell>
          <cell r="D1369">
            <v>1</v>
          </cell>
          <cell r="E1369">
            <v>0</v>
          </cell>
          <cell r="F1369">
            <v>0</v>
          </cell>
          <cell r="G1369">
            <v>0</v>
          </cell>
        </row>
        <row r="1370">
          <cell r="A1370" t="str">
            <v>401 2015 10 1211 00019</v>
          </cell>
          <cell r="B1370">
            <v>16</v>
          </cell>
          <cell r="C1370">
            <v>42200.541666666664</v>
          </cell>
          <cell r="D1370">
            <v>8.6430000000000007E-2</v>
          </cell>
          <cell r="E1370">
            <v>0</v>
          </cell>
          <cell r="F1370">
            <v>0</v>
          </cell>
          <cell r="G1370">
            <v>0.91356999999999999</v>
          </cell>
        </row>
        <row r="1371">
          <cell r="A1371" t="str">
            <v>401 2015 10 1211 00004</v>
          </cell>
          <cell r="B1371">
            <v>20</v>
          </cell>
          <cell r="C1371">
            <v>42291.791666666664</v>
          </cell>
          <cell r="D1371">
            <v>0.19604458689008789</v>
          </cell>
          <cell r="E1371">
            <v>0</v>
          </cell>
          <cell r="F1371">
            <v>0.80395541310991214</v>
          </cell>
          <cell r="G1371">
            <v>0</v>
          </cell>
        </row>
        <row r="1372">
          <cell r="A1372" t="str">
            <v>401 2014 10 1211 00014</v>
          </cell>
          <cell r="B1372">
            <v>21</v>
          </cell>
          <cell r="C1372">
            <v>41702.666064814817</v>
          </cell>
          <cell r="D1372">
            <v>5.4945054945054951E-2</v>
          </cell>
          <cell r="E1372">
            <v>0</v>
          </cell>
          <cell r="F1372">
            <v>0.94505494505494503</v>
          </cell>
          <cell r="G1372">
            <v>0</v>
          </cell>
        </row>
        <row r="1373">
          <cell r="A1373" t="str">
            <v>205 2014 10 1212 00002</v>
          </cell>
          <cell r="B1373">
            <v>8</v>
          </cell>
          <cell r="C1373">
            <v>41852.217719907407</v>
          </cell>
          <cell r="D1373">
            <v>0.26906603940095325</v>
          </cell>
          <cell r="E1373">
            <v>0</v>
          </cell>
          <cell r="F1373">
            <v>0.73093396059904681</v>
          </cell>
          <cell r="G1373">
            <v>0</v>
          </cell>
        </row>
        <row r="1374">
          <cell r="A1374" t="str">
            <v>205 2015 10 1212 00018</v>
          </cell>
          <cell r="B1374">
            <v>8</v>
          </cell>
          <cell r="C1374">
            <v>42304.43949074074</v>
          </cell>
          <cell r="D1374">
            <v>1</v>
          </cell>
          <cell r="E1374">
            <v>0</v>
          </cell>
          <cell r="F1374">
            <v>0</v>
          </cell>
          <cell r="G1374">
            <v>0</v>
          </cell>
        </row>
        <row r="1375">
          <cell r="A1375" t="str">
            <v>205 2013 10 1212 00013</v>
          </cell>
          <cell r="B1375">
            <v>19</v>
          </cell>
          <cell r="C1375">
            <v>41569.681516203702</v>
          </cell>
          <cell r="D1375">
            <v>1</v>
          </cell>
          <cell r="E1375">
            <v>0</v>
          </cell>
          <cell r="F1375">
            <v>0</v>
          </cell>
          <cell r="G1375">
            <v>0</v>
          </cell>
        </row>
        <row r="1376">
          <cell r="A1376" t="str">
            <v>205 2014 10 1212 00004</v>
          </cell>
          <cell r="B1376">
            <v>19</v>
          </cell>
          <cell r="C1376">
            <v>41975.511099537034</v>
          </cell>
          <cell r="D1376">
            <v>1</v>
          </cell>
          <cell r="E1376">
            <v>0</v>
          </cell>
          <cell r="F1376">
            <v>0</v>
          </cell>
          <cell r="G1376">
            <v>0</v>
          </cell>
        </row>
        <row r="1377">
          <cell r="A1377" t="str">
            <v>201 2014 10 1212 00004</v>
          </cell>
          <cell r="B1377">
            <v>6</v>
          </cell>
          <cell r="C1377">
            <v>41676.601990740739</v>
          </cell>
          <cell r="D1377">
            <v>0.11839683618058792</v>
          </cell>
          <cell r="E1377">
            <v>0</v>
          </cell>
          <cell r="F1377">
            <v>0.88160316381941206</v>
          </cell>
          <cell r="G1377">
            <v>0</v>
          </cell>
        </row>
        <row r="1378">
          <cell r="A1378" t="str">
            <v>201 2015 10 1212 00007</v>
          </cell>
          <cell r="B1378">
            <v>12</v>
          </cell>
          <cell r="C1378">
            <v>42197.464571759258</v>
          </cell>
          <cell r="D1378">
            <v>2.8799999999999999E-2</v>
          </cell>
          <cell r="E1378">
            <v>0</v>
          </cell>
          <cell r="F1378">
            <v>0.414750109230765</v>
          </cell>
          <cell r="G1378">
            <v>0.55644989076923501</v>
          </cell>
        </row>
        <row r="1379">
          <cell r="A1379" t="str">
            <v>201 2015 10 1212 00015</v>
          </cell>
          <cell r="B1379">
            <v>23</v>
          </cell>
          <cell r="C1379">
            <v>42317.401736111111</v>
          </cell>
          <cell r="D1379">
            <v>0.18166728599505447</v>
          </cell>
          <cell r="E1379">
            <v>0</v>
          </cell>
          <cell r="F1379">
            <v>0.81833271400494556</v>
          </cell>
          <cell r="G1379">
            <v>0</v>
          </cell>
        </row>
        <row r="1380">
          <cell r="A1380" t="str">
            <v>201 2013 10 1212 00015</v>
          </cell>
          <cell r="B1380">
            <v>39</v>
          </cell>
          <cell r="C1380">
            <v>41626.427094907405</v>
          </cell>
          <cell r="D1380">
            <v>0.15175409523601405</v>
          </cell>
          <cell r="E1380">
            <v>0</v>
          </cell>
          <cell r="F1380">
            <v>0.84824590476398598</v>
          </cell>
          <cell r="G1380">
            <v>0</v>
          </cell>
        </row>
        <row r="1381">
          <cell r="A1381" t="str">
            <v>202 2011 11 1212 00001</v>
          </cell>
          <cell r="B1381">
            <v>3</v>
          </cell>
          <cell r="C1381">
            <v>40645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A1382" t="str">
            <v>202 2015 10 1212 00008</v>
          </cell>
          <cell r="B1382">
            <v>14</v>
          </cell>
          <cell r="C1382">
            <v>42297.621261574073</v>
          </cell>
          <cell r="D1382">
            <v>0.27379531968513304</v>
          </cell>
          <cell r="E1382">
            <v>0</v>
          </cell>
          <cell r="F1382">
            <v>0.72620468031486696</v>
          </cell>
          <cell r="G1382">
            <v>0</v>
          </cell>
        </row>
        <row r="1383">
          <cell r="A1383" t="str">
            <v>203 2015 10 1212 00005</v>
          </cell>
          <cell r="B1383">
            <v>6</v>
          </cell>
          <cell r="C1383">
            <v>42023.571423611109</v>
          </cell>
          <cell r="D1383">
            <v>5.9565902215354301E-2</v>
          </cell>
          <cell r="E1383">
            <v>0</v>
          </cell>
          <cell r="F1383">
            <v>0.83392263101496</v>
          </cell>
          <cell r="G1383">
            <v>0.1065114667696857</v>
          </cell>
        </row>
        <row r="1384">
          <cell r="A1384" t="str">
            <v>203 2015 10 1212 00005</v>
          </cell>
          <cell r="B1384">
            <v>17</v>
          </cell>
          <cell r="C1384">
            <v>42117.591898148145</v>
          </cell>
          <cell r="D1384">
            <v>5.9565902215354301E-2</v>
          </cell>
          <cell r="E1384">
            <v>0</v>
          </cell>
          <cell r="F1384">
            <v>0.83392263101496</v>
          </cell>
          <cell r="G1384">
            <v>0.1065114667696857</v>
          </cell>
        </row>
        <row r="1385">
          <cell r="A1385" t="str">
            <v>505 2014 10 1211 00006</v>
          </cell>
          <cell r="B1385">
            <v>109</v>
          </cell>
          <cell r="C1385">
            <v>41981</v>
          </cell>
          <cell r="D1385">
            <v>5.8823529411764705E-2</v>
          </cell>
          <cell r="E1385">
            <v>0</v>
          </cell>
          <cell r="F1385">
            <v>0.94117647058823528</v>
          </cell>
          <cell r="G1385">
            <v>0</v>
          </cell>
        </row>
        <row r="1386">
          <cell r="A1386" t="str">
            <v>505 2014 10 1211 00022</v>
          </cell>
          <cell r="B1386">
            <v>110</v>
          </cell>
          <cell r="C1386">
            <v>41989</v>
          </cell>
          <cell r="D1386">
            <v>0.32341549364147415</v>
          </cell>
          <cell r="E1386">
            <v>0</v>
          </cell>
          <cell r="F1386">
            <v>0.67658450635852585</v>
          </cell>
          <cell r="G1386">
            <v>0</v>
          </cell>
        </row>
        <row r="1387">
          <cell r="A1387" t="str">
            <v>505 2014 10 1211 00012</v>
          </cell>
          <cell r="B1387">
            <v>111</v>
          </cell>
          <cell r="C1387">
            <v>41989</v>
          </cell>
          <cell r="D1387">
            <v>1</v>
          </cell>
          <cell r="E1387">
            <v>0</v>
          </cell>
          <cell r="F1387">
            <v>0</v>
          </cell>
          <cell r="G1387">
            <v>0</v>
          </cell>
        </row>
        <row r="1388">
          <cell r="A1388" t="str">
            <v>505 2014 10 1211 00006</v>
          </cell>
          <cell r="B1388">
            <v>112</v>
          </cell>
          <cell r="C1388">
            <v>41994.639016203706</v>
          </cell>
          <cell r="D1388">
            <v>5.8823529411764705E-2</v>
          </cell>
          <cell r="E1388">
            <v>0</v>
          </cell>
          <cell r="F1388">
            <v>0.94117647058823528</v>
          </cell>
          <cell r="G1388">
            <v>0</v>
          </cell>
        </row>
        <row r="1389">
          <cell r="A1389" t="str">
            <v>505 2014 10 1211 00024</v>
          </cell>
          <cell r="B1389">
            <v>113</v>
          </cell>
          <cell r="C1389">
            <v>42003</v>
          </cell>
          <cell r="D1389">
            <v>0.32341549364147415</v>
          </cell>
          <cell r="E1389">
            <v>0</v>
          </cell>
          <cell r="F1389">
            <v>0.67658450635852585</v>
          </cell>
          <cell r="G1389">
            <v>0</v>
          </cell>
        </row>
        <row r="1390">
          <cell r="A1390" t="str">
            <v>208 2014 10 1211 00001</v>
          </cell>
          <cell r="B1390">
            <v>11</v>
          </cell>
          <cell r="C1390">
            <v>41812.451932870368</v>
          </cell>
          <cell r="D1390">
            <v>0.28167066700793586</v>
          </cell>
          <cell r="E1390">
            <v>0</v>
          </cell>
          <cell r="F1390">
            <v>0.71832933299206414</v>
          </cell>
          <cell r="G1390">
            <v>0</v>
          </cell>
        </row>
        <row r="1391">
          <cell r="A1391" t="str">
            <v>208 2014 10 1211 00001</v>
          </cell>
          <cell r="B1391">
            <v>12</v>
          </cell>
          <cell r="C1391">
            <v>41818.418645833335</v>
          </cell>
          <cell r="D1391">
            <v>0.28167066700793586</v>
          </cell>
          <cell r="E1391">
            <v>0</v>
          </cell>
          <cell r="F1391">
            <v>0.71832933299206414</v>
          </cell>
          <cell r="G1391">
            <v>0</v>
          </cell>
        </row>
        <row r="1392">
          <cell r="A1392" t="str">
            <v>208 2014 10 1211 00001</v>
          </cell>
          <cell r="B1392">
            <v>13</v>
          </cell>
          <cell r="C1392">
            <v>41818.422083333331</v>
          </cell>
          <cell r="D1392">
            <v>0.28167066700793586</v>
          </cell>
          <cell r="E1392">
            <v>0</v>
          </cell>
          <cell r="F1392">
            <v>0.71832933299206414</v>
          </cell>
          <cell r="G1392">
            <v>0</v>
          </cell>
        </row>
        <row r="1393">
          <cell r="A1393" t="str">
            <v>208 2014 10 1211 00001</v>
          </cell>
          <cell r="B1393">
            <v>14</v>
          </cell>
          <cell r="C1393">
            <v>41830.424490740741</v>
          </cell>
          <cell r="D1393">
            <v>0.28167066700793586</v>
          </cell>
          <cell r="E1393">
            <v>0</v>
          </cell>
          <cell r="F1393">
            <v>0.71832933299206414</v>
          </cell>
          <cell r="G1393">
            <v>0</v>
          </cell>
        </row>
        <row r="1394">
          <cell r="A1394" t="str">
            <v>401 2015 10 1211 00006</v>
          </cell>
          <cell r="B1394">
            <v>2</v>
          </cell>
          <cell r="C1394">
            <v>42059.458333333336</v>
          </cell>
          <cell r="D1394">
            <v>1</v>
          </cell>
          <cell r="E1394">
            <v>0</v>
          </cell>
          <cell r="F1394">
            <v>0</v>
          </cell>
          <cell r="G1394">
            <v>0</v>
          </cell>
        </row>
        <row r="1395">
          <cell r="A1395" t="str">
            <v>401 2013 10 1211 00010</v>
          </cell>
          <cell r="B1395">
            <v>38</v>
          </cell>
          <cell r="C1395">
            <v>41578</v>
          </cell>
          <cell r="D1395">
            <v>5.8823529411764705E-2</v>
          </cell>
          <cell r="E1395">
            <v>0</v>
          </cell>
          <cell r="F1395">
            <v>0.94117647058823528</v>
          </cell>
          <cell r="G1395">
            <v>0</v>
          </cell>
        </row>
        <row r="1396">
          <cell r="A1396" t="str">
            <v>401 2014 10 1211 00018</v>
          </cell>
          <cell r="B1396">
            <v>38</v>
          </cell>
          <cell r="C1396">
            <v>41846.154166666667</v>
          </cell>
          <cell r="D1396">
            <v>0.13601398870190207</v>
          </cell>
          <cell r="E1396">
            <v>0</v>
          </cell>
          <cell r="F1396">
            <v>0.86398601129809793</v>
          </cell>
          <cell r="G1396">
            <v>0</v>
          </cell>
        </row>
        <row r="1397">
          <cell r="A1397" t="str">
            <v>203 2015 10 1212 00003</v>
          </cell>
          <cell r="B1397">
            <v>36</v>
          </cell>
          <cell r="C1397">
            <v>42240.361111111109</v>
          </cell>
          <cell r="D1397">
            <v>2.31076272069227E-2</v>
          </cell>
          <cell r="E1397">
            <v>0</v>
          </cell>
          <cell r="F1397">
            <v>0.39745118795907064</v>
          </cell>
          <cell r="G1397">
            <v>0.57944118483400664</v>
          </cell>
        </row>
        <row r="1398">
          <cell r="A1398" t="str">
            <v>203 2012 10 1212 00010</v>
          </cell>
          <cell r="B1398">
            <v>37</v>
          </cell>
          <cell r="C1398">
            <v>41255.403043981481</v>
          </cell>
          <cell r="D1398">
            <v>0.48078258912855332</v>
          </cell>
          <cell r="E1398">
            <v>0</v>
          </cell>
          <cell r="F1398">
            <v>0.51921741087144668</v>
          </cell>
          <cell r="G1398">
            <v>0</v>
          </cell>
        </row>
        <row r="1399">
          <cell r="A1399" t="str">
            <v>203 2014 10 1212 00010</v>
          </cell>
          <cell r="B1399">
            <v>60</v>
          </cell>
          <cell r="C1399">
            <v>41801.425381944442</v>
          </cell>
          <cell r="D1399">
            <v>7.1108383038868087E-2</v>
          </cell>
          <cell r="E1399">
            <v>0</v>
          </cell>
          <cell r="F1399">
            <v>0.92889161696113187</v>
          </cell>
          <cell r="G1399">
            <v>0</v>
          </cell>
        </row>
        <row r="1400">
          <cell r="A1400" t="str">
            <v>203 2015 10 1212 00005</v>
          </cell>
          <cell r="B1400">
            <v>60</v>
          </cell>
          <cell r="C1400">
            <v>42057.625185185185</v>
          </cell>
          <cell r="D1400">
            <v>5.9565902215354301E-2</v>
          </cell>
          <cell r="E1400">
            <v>0</v>
          </cell>
          <cell r="F1400">
            <v>0.83392263101496</v>
          </cell>
          <cell r="G1400">
            <v>0.1065114667696857</v>
          </cell>
        </row>
        <row r="1401">
          <cell r="A1401" t="str">
            <v>205 2013 10 1212 00013</v>
          </cell>
          <cell r="B1401">
            <v>5</v>
          </cell>
          <cell r="C1401">
            <v>41308.736006944448</v>
          </cell>
          <cell r="D1401">
            <v>1</v>
          </cell>
          <cell r="E1401">
            <v>0</v>
          </cell>
          <cell r="F1401">
            <v>0</v>
          </cell>
          <cell r="G1401">
            <v>0</v>
          </cell>
        </row>
        <row r="1402">
          <cell r="A1402" t="str">
            <v>203 2015 10 1212 00003</v>
          </cell>
          <cell r="B1402">
            <v>47</v>
          </cell>
          <cell r="C1402">
            <v>42266.597303240742</v>
          </cell>
          <cell r="D1402">
            <v>2.31076272069227E-2</v>
          </cell>
          <cell r="E1402">
            <v>0</v>
          </cell>
          <cell r="F1402">
            <v>0.39745118795907064</v>
          </cell>
          <cell r="G1402">
            <v>0.57944118483400664</v>
          </cell>
        </row>
        <row r="1403">
          <cell r="A1403" t="str">
            <v>203 2015 11 1212 00002</v>
          </cell>
          <cell r="B1403">
            <v>48</v>
          </cell>
          <cell r="C1403">
            <v>42290.53465277778</v>
          </cell>
          <cell r="D1403">
            <v>0.5527220306102355</v>
          </cell>
          <cell r="E1403">
            <v>0</v>
          </cell>
          <cell r="F1403">
            <v>0.4472779693897645</v>
          </cell>
          <cell r="G1403">
            <v>0</v>
          </cell>
        </row>
        <row r="1404">
          <cell r="A1404" t="str">
            <v>203 2014 10 1212 00003</v>
          </cell>
          <cell r="B1404">
            <v>71</v>
          </cell>
          <cell r="C1404">
            <v>41844.605879629627</v>
          </cell>
          <cell r="D1404">
            <v>2.3934698565896376E-2</v>
          </cell>
          <cell r="E1404">
            <v>0</v>
          </cell>
          <cell r="F1404">
            <v>0.41167681533341766</v>
          </cell>
          <cell r="G1404">
            <v>0.56438848610068604</v>
          </cell>
        </row>
        <row r="1405">
          <cell r="A1405" t="str">
            <v>203 2014 10 1212 00009</v>
          </cell>
          <cell r="B1405">
            <v>104</v>
          </cell>
          <cell r="C1405">
            <v>41951.348356481481</v>
          </cell>
          <cell r="D1405">
            <v>5.9565902215354273E-2</v>
          </cell>
          <cell r="E1405">
            <v>0</v>
          </cell>
          <cell r="F1405">
            <v>0.83392263101495978</v>
          </cell>
          <cell r="G1405">
            <v>0.10651146676968593</v>
          </cell>
        </row>
        <row r="1406">
          <cell r="A1406" t="str">
            <v>205 2012 10 1212 00023</v>
          </cell>
          <cell r="B1406">
            <v>1</v>
          </cell>
          <cell r="C1406">
            <v>41305.56863425926</v>
          </cell>
          <cell r="D1406">
            <v>1</v>
          </cell>
          <cell r="E1406">
            <v>0</v>
          </cell>
          <cell r="F1406">
            <v>0</v>
          </cell>
          <cell r="G1406">
            <v>0</v>
          </cell>
        </row>
        <row r="1407">
          <cell r="A1407" t="str">
            <v>205 2013 10 1212 00015</v>
          </cell>
          <cell r="B1407">
            <v>1</v>
          </cell>
          <cell r="C1407">
            <v>41675.654583333337</v>
          </cell>
          <cell r="D1407">
            <v>7.2463768115942032E-2</v>
          </cell>
          <cell r="E1407">
            <v>0</v>
          </cell>
          <cell r="F1407">
            <v>0.92753623188405798</v>
          </cell>
          <cell r="G1407">
            <v>0</v>
          </cell>
        </row>
        <row r="1408">
          <cell r="A1408" t="str">
            <v>205 2014 10 1212 00020</v>
          </cell>
          <cell r="B1408">
            <v>1</v>
          </cell>
          <cell r="C1408">
            <v>42010.542326388888</v>
          </cell>
          <cell r="D1408">
            <v>7.7510167556295445E-2</v>
          </cell>
          <cell r="E1408">
            <v>0</v>
          </cell>
          <cell r="F1408">
            <v>0.92248983244370453</v>
          </cell>
          <cell r="G1408">
            <v>0</v>
          </cell>
        </row>
        <row r="1409">
          <cell r="A1409" t="str">
            <v>205 2013 10 1212 00015</v>
          </cell>
          <cell r="B1409">
            <v>2</v>
          </cell>
          <cell r="C1409">
            <v>41680.333865740744</v>
          </cell>
          <cell r="D1409">
            <v>7.2463768115942032E-2</v>
          </cell>
          <cell r="E1409">
            <v>0</v>
          </cell>
          <cell r="F1409">
            <v>0.92753623188405798</v>
          </cell>
          <cell r="G1409">
            <v>0</v>
          </cell>
        </row>
        <row r="1410">
          <cell r="A1410" t="str">
            <v>401 2013 10 1211 00016</v>
          </cell>
          <cell r="B1410">
            <v>40</v>
          </cell>
          <cell r="C1410">
            <v>41606.75</v>
          </cell>
          <cell r="D1410">
            <v>0.1446205422531327</v>
          </cell>
          <cell r="E1410">
            <v>0</v>
          </cell>
          <cell r="F1410">
            <v>0.8553794577468673</v>
          </cell>
          <cell r="G1410">
            <v>0</v>
          </cell>
        </row>
        <row r="1411">
          <cell r="A1411" t="str">
            <v>302 2014 10 1211 00001</v>
          </cell>
          <cell r="B1411">
            <v>6</v>
          </cell>
          <cell r="C1411">
            <v>41903.387002314812</v>
          </cell>
          <cell r="D1411">
            <v>8.4048101429237496E-3</v>
          </cell>
          <cell r="E1411">
            <v>0</v>
          </cell>
          <cell r="F1411">
            <v>0.14456273445828852</v>
          </cell>
          <cell r="G1411">
            <v>0.8470324553987878</v>
          </cell>
        </row>
        <row r="1412">
          <cell r="A1412" t="str">
            <v>401 2015 10 1211 00008</v>
          </cell>
          <cell r="B1412">
            <v>3</v>
          </cell>
          <cell r="C1412">
            <v>42074</v>
          </cell>
          <cell r="D1412">
            <v>1</v>
          </cell>
          <cell r="E1412">
            <v>0</v>
          </cell>
          <cell r="F1412">
            <v>0</v>
          </cell>
          <cell r="G1412">
            <v>0</v>
          </cell>
        </row>
        <row r="1413">
          <cell r="A1413" t="str">
            <v>401 2015 10 1211 00008</v>
          </cell>
          <cell r="B1413">
            <v>4</v>
          </cell>
          <cell r="C1413">
            <v>42075.422858796293</v>
          </cell>
          <cell r="D1413">
            <v>1</v>
          </cell>
          <cell r="E1413">
            <v>0</v>
          </cell>
          <cell r="F1413">
            <v>0</v>
          </cell>
          <cell r="G1413">
            <v>0</v>
          </cell>
        </row>
        <row r="1414">
          <cell r="A1414" t="str">
            <v>208 2015 10 1211 00001</v>
          </cell>
          <cell r="B1414">
            <v>7</v>
          </cell>
          <cell r="C1414">
            <v>42172</v>
          </cell>
          <cell r="D1414">
            <v>0.28167066690320919</v>
          </cell>
          <cell r="E1414">
            <v>0</v>
          </cell>
          <cell r="F1414">
            <v>0.71832933309679081</v>
          </cell>
          <cell r="G1414">
            <v>0</v>
          </cell>
        </row>
        <row r="1415">
          <cell r="A1415" t="str">
            <v>208 2014 10 1211 00004</v>
          </cell>
          <cell r="B1415">
            <v>8</v>
          </cell>
          <cell r="C1415">
            <v>41794.385324074072</v>
          </cell>
          <cell r="D1415">
            <v>1</v>
          </cell>
          <cell r="E1415">
            <v>0</v>
          </cell>
          <cell r="F1415">
            <v>0</v>
          </cell>
          <cell r="G1415">
            <v>0</v>
          </cell>
        </row>
        <row r="1416">
          <cell r="A1416" t="str">
            <v>208 2015 10 1211 00001</v>
          </cell>
          <cell r="B1416">
            <v>8</v>
          </cell>
          <cell r="C1416">
            <v>42172</v>
          </cell>
          <cell r="D1416">
            <v>0.28167066690320919</v>
          </cell>
          <cell r="E1416">
            <v>0</v>
          </cell>
          <cell r="F1416">
            <v>0.71832933309679081</v>
          </cell>
          <cell r="G1416">
            <v>0</v>
          </cell>
        </row>
        <row r="1417">
          <cell r="A1417" t="str">
            <v>208 2014 10 1211 00001</v>
          </cell>
          <cell r="B1417">
            <v>9</v>
          </cell>
          <cell r="C1417">
            <v>41800.446666666663</v>
          </cell>
          <cell r="D1417">
            <v>0.28167066700793586</v>
          </cell>
          <cell r="E1417">
            <v>0</v>
          </cell>
          <cell r="F1417">
            <v>0.71832933299206414</v>
          </cell>
          <cell r="G1417">
            <v>0</v>
          </cell>
        </row>
        <row r="1418">
          <cell r="A1418" t="str">
            <v>208 2015 10 1211 00001</v>
          </cell>
          <cell r="B1418">
            <v>9</v>
          </cell>
          <cell r="C1418">
            <v>42169</v>
          </cell>
          <cell r="D1418">
            <v>0.28167066690320919</v>
          </cell>
          <cell r="E1418">
            <v>0</v>
          </cell>
          <cell r="F1418">
            <v>0.71832933309679081</v>
          </cell>
          <cell r="G1418">
            <v>0</v>
          </cell>
        </row>
        <row r="1419">
          <cell r="A1419" t="str">
            <v>208 2014 10 1211 00001</v>
          </cell>
          <cell r="B1419">
            <v>10</v>
          </cell>
          <cell r="C1419">
            <v>41794.481678240743</v>
          </cell>
          <cell r="D1419">
            <v>0.28167066700793586</v>
          </cell>
          <cell r="E1419">
            <v>0</v>
          </cell>
          <cell r="F1419">
            <v>0.71832933299206414</v>
          </cell>
          <cell r="G1419">
            <v>0</v>
          </cell>
        </row>
        <row r="1420">
          <cell r="A1420" t="str">
            <v>505 2014 10 1211 00025</v>
          </cell>
          <cell r="B1420">
            <v>101</v>
          </cell>
          <cell r="C1420">
            <v>41971</v>
          </cell>
          <cell r="D1420">
            <v>0.32341549364147415</v>
          </cell>
          <cell r="E1420">
            <v>0</v>
          </cell>
          <cell r="F1420">
            <v>0.67658450635852585</v>
          </cell>
          <cell r="G1420">
            <v>0</v>
          </cell>
        </row>
        <row r="1421">
          <cell r="A1421" t="str">
            <v>505 2014 10 1211 00006</v>
          </cell>
          <cell r="B1421">
            <v>102</v>
          </cell>
          <cell r="C1421">
            <v>41972.661099537036</v>
          </cell>
          <cell r="D1421">
            <v>5.8823529411764705E-2</v>
          </cell>
          <cell r="E1421">
            <v>0</v>
          </cell>
          <cell r="F1421">
            <v>0.94117647058823528</v>
          </cell>
          <cell r="G1421">
            <v>0</v>
          </cell>
        </row>
        <row r="1422">
          <cell r="A1422" t="str">
            <v>205 2011 10 1212 00019</v>
          </cell>
          <cell r="B1422">
            <v>5</v>
          </cell>
          <cell r="C1422">
            <v>41086.65829861111</v>
          </cell>
          <cell r="D1422">
            <v>7.335538251132484E-2</v>
          </cell>
          <cell r="E1422">
            <v>0</v>
          </cell>
          <cell r="F1422">
            <v>0.9266446174886751</v>
          </cell>
          <cell r="G1422">
            <v>0</v>
          </cell>
        </row>
        <row r="1423">
          <cell r="A1423" t="str">
            <v>205 2011 10 1212 00019</v>
          </cell>
          <cell r="B1423">
            <v>6</v>
          </cell>
          <cell r="C1423">
            <v>40891.39806712963</v>
          </cell>
          <cell r="D1423">
            <v>7.335538251132484E-2</v>
          </cell>
          <cell r="E1423">
            <v>0</v>
          </cell>
          <cell r="F1423">
            <v>0.9266446174886751</v>
          </cell>
          <cell r="G1423">
            <v>0</v>
          </cell>
        </row>
        <row r="1424">
          <cell r="A1424" t="str">
            <v>206 2014 10 1212 00012</v>
          </cell>
          <cell r="B1424">
            <v>12</v>
          </cell>
          <cell r="C1424">
            <v>41986.425393518519</v>
          </cell>
          <cell r="D1424">
            <v>1</v>
          </cell>
          <cell r="E1424">
            <v>0</v>
          </cell>
          <cell r="F1424">
            <v>0</v>
          </cell>
          <cell r="G1424">
            <v>0</v>
          </cell>
        </row>
        <row r="1425">
          <cell r="A1425" t="str">
            <v>303 2015 10 1212 00003</v>
          </cell>
          <cell r="B1425">
            <v>1</v>
          </cell>
          <cell r="C1425">
            <v>42038</v>
          </cell>
          <cell r="D1425">
            <v>7.298700775874703E-2</v>
          </cell>
          <cell r="E1425">
            <v>0</v>
          </cell>
          <cell r="F1425">
            <v>0.927012992241253</v>
          </cell>
          <cell r="G1425">
            <v>0</v>
          </cell>
        </row>
        <row r="1426">
          <cell r="A1426" t="str">
            <v>303 2014 10 1212 00001</v>
          </cell>
          <cell r="B1426">
            <v>2</v>
          </cell>
          <cell r="C1426">
            <v>41745.979166666664</v>
          </cell>
          <cell r="D1426">
            <v>7.7277041592788434E-2</v>
          </cell>
          <cell r="E1426">
            <v>0</v>
          </cell>
          <cell r="F1426">
            <v>0.92272295840721152</v>
          </cell>
          <cell r="G1426">
            <v>0</v>
          </cell>
        </row>
        <row r="1427">
          <cell r="A1427" t="str">
            <v>303 2015 10 1212 00003</v>
          </cell>
          <cell r="B1427">
            <v>2</v>
          </cell>
          <cell r="C1427">
            <v>42078.354166666664</v>
          </cell>
          <cell r="D1427">
            <v>7.298700775874703E-2</v>
          </cell>
          <cell r="E1427">
            <v>0</v>
          </cell>
          <cell r="F1427">
            <v>0.927012992241253</v>
          </cell>
          <cell r="G1427">
            <v>0</v>
          </cell>
        </row>
        <row r="1428">
          <cell r="A1428" t="str">
            <v>303 2015 10 1212 00003</v>
          </cell>
          <cell r="B1428">
            <v>3</v>
          </cell>
          <cell r="C1428">
            <v>42110</v>
          </cell>
          <cell r="D1428">
            <v>7.298700775874703E-2</v>
          </cell>
          <cell r="E1428">
            <v>0</v>
          </cell>
          <cell r="F1428">
            <v>0.927012992241253</v>
          </cell>
          <cell r="G1428">
            <v>0</v>
          </cell>
        </row>
        <row r="1429">
          <cell r="A1429" t="str">
            <v>303 2014 10 1212 00001</v>
          </cell>
          <cell r="B1429">
            <v>4</v>
          </cell>
          <cell r="C1429">
            <v>41865</v>
          </cell>
          <cell r="D1429">
            <v>7.7277041592788434E-2</v>
          </cell>
          <cell r="E1429">
            <v>0</v>
          </cell>
          <cell r="F1429">
            <v>0.92272295840721152</v>
          </cell>
          <cell r="G1429">
            <v>0</v>
          </cell>
        </row>
        <row r="1430">
          <cell r="A1430" t="str">
            <v>303 2015 10 1212 00003</v>
          </cell>
          <cell r="B1430">
            <v>4</v>
          </cell>
          <cell r="C1430">
            <v>42152</v>
          </cell>
          <cell r="D1430">
            <v>7.298700775874703E-2</v>
          </cell>
          <cell r="E1430">
            <v>0</v>
          </cell>
          <cell r="F1430">
            <v>0.927012992241253</v>
          </cell>
          <cell r="G1430">
            <v>0</v>
          </cell>
        </row>
        <row r="1431">
          <cell r="A1431" t="str">
            <v>203 2015 10 1212 00005</v>
          </cell>
          <cell r="B1431">
            <v>33</v>
          </cell>
          <cell r="C1431">
            <v>42214.498090277775</v>
          </cell>
          <cell r="D1431">
            <v>5.9565902215354301E-2</v>
          </cell>
          <cell r="E1431">
            <v>0</v>
          </cell>
          <cell r="F1431">
            <v>0.83392263101496</v>
          </cell>
          <cell r="G1431">
            <v>0.1065114667696857</v>
          </cell>
        </row>
        <row r="1432">
          <cell r="A1432" t="str">
            <v>203 2015 10 1212 00011</v>
          </cell>
          <cell r="B1432">
            <v>55</v>
          </cell>
          <cell r="C1432">
            <v>42334.370821759258</v>
          </cell>
          <cell r="D1432">
            <v>1</v>
          </cell>
          <cell r="E1432">
            <v>0</v>
          </cell>
          <cell r="F1432">
            <v>0</v>
          </cell>
          <cell r="G1432">
            <v>0</v>
          </cell>
        </row>
        <row r="1433">
          <cell r="A1433" t="str">
            <v>203 2015 10 1212 00005</v>
          </cell>
          <cell r="B1433">
            <v>56</v>
          </cell>
          <cell r="C1433">
            <v>42332.482175925928</v>
          </cell>
          <cell r="D1433">
            <v>5.9565902215354301E-2</v>
          </cell>
          <cell r="E1433">
            <v>0</v>
          </cell>
          <cell r="F1433">
            <v>0.83392263101496</v>
          </cell>
          <cell r="G1433">
            <v>0.1065114667696857</v>
          </cell>
        </row>
        <row r="1434">
          <cell r="A1434" t="str">
            <v>302 2014 10 1211 00001</v>
          </cell>
          <cell r="B1434">
            <v>9</v>
          </cell>
          <cell r="C1434">
            <v>41913.431851851848</v>
          </cell>
          <cell r="D1434">
            <v>8.4048101429237496E-3</v>
          </cell>
          <cell r="E1434">
            <v>0</v>
          </cell>
          <cell r="F1434">
            <v>0.14456273445828852</v>
          </cell>
          <cell r="G1434">
            <v>0.8470324553987878</v>
          </cell>
        </row>
        <row r="1435">
          <cell r="A1435" t="str">
            <v>305 2015 10 1211 00001</v>
          </cell>
          <cell r="B1435">
            <v>1</v>
          </cell>
          <cell r="C1435">
            <v>42026.309027777781</v>
          </cell>
          <cell r="D1435">
            <v>5.6281881563473739E-2</v>
          </cell>
          <cell r="E1435">
            <v>0</v>
          </cell>
          <cell r="F1435">
            <v>0.94371811843652631</v>
          </cell>
          <cell r="G1435">
            <v>0</v>
          </cell>
        </row>
        <row r="1436">
          <cell r="A1436" t="str">
            <v>305 2015 10 1211 00001</v>
          </cell>
          <cell r="B1436">
            <v>2</v>
          </cell>
          <cell r="C1436">
            <v>42056.542245370372</v>
          </cell>
          <cell r="D1436">
            <v>5.6281881563473739E-2</v>
          </cell>
          <cell r="E1436">
            <v>0</v>
          </cell>
          <cell r="F1436">
            <v>0.94371811843652631</v>
          </cell>
          <cell r="G1436">
            <v>0</v>
          </cell>
        </row>
        <row r="1437">
          <cell r="A1437" t="str">
            <v>401 2015 10 1211 00008</v>
          </cell>
          <cell r="B1437">
            <v>11</v>
          </cell>
          <cell r="C1437">
            <v>42125.958333333336</v>
          </cell>
          <cell r="D1437">
            <v>1</v>
          </cell>
          <cell r="E1437">
            <v>0</v>
          </cell>
          <cell r="F1437">
            <v>0</v>
          </cell>
          <cell r="G1437">
            <v>0</v>
          </cell>
        </row>
        <row r="1438">
          <cell r="A1438" t="str">
            <v>401 2014 10 1211 00019</v>
          </cell>
          <cell r="B1438">
            <v>12</v>
          </cell>
          <cell r="C1438">
            <v>42127.958333333336</v>
          </cell>
          <cell r="D1438">
            <v>0.1</v>
          </cell>
          <cell r="E1438">
            <v>0</v>
          </cell>
          <cell r="F1438">
            <v>0</v>
          </cell>
          <cell r="G1438">
            <v>0.9</v>
          </cell>
        </row>
        <row r="1439">
          <cell r="A1439" t="str">
            <v>401 2015 10 1211 00019</v>
          </cell>
          <cell r="B1439">
            <v>17</v>
          </cell>
          <cell r="C1439">
            <v>42203.208333333336</v>
          </cell>
          <cell r="D1439">
            <v>8.6430000000000007E-2</v>
          </cell>
          <cell r="E1439">
            <v>0</v>
          </cell>
          <cell r="F1439">
            <v>0</v>
          </cell>
          <cell r="G1439">
            <v>0.91356999999999999</v>
          </cell>
        </row>
        <row r="1440">
          <cell r="A1440" t="str">
            <v>401 2015 10 1211 00019</v>
          </cell>
          <cell r="B1440">
            <v>18</v>
          </cell>
          <cell r="C1440">
            <v>42233.666666666664</v>
          </cell>
          <cell r="D1440">
            <v>8.6430000000000007E-2</v>
          </cell>
          <cell r="E1440">
            <v>0</v>
          </cell>
          <cell r="F1440">
            <v>0</v>
          </cell>
          <cell r="G1440">
            <v>0.91356999999999999</v>
          </cell>
        </row>
        <row r="1441">
          <cell r="A1441" t="str">
            <v>401 2013 10 1211 00010</v>
          </cell>
          <cell r="B1441">
            <v>33</v>
          </cell>
          <cell r="C1441">
            <v>41523</v>
          </cell>
          <cell r="D1441">
            <v>5.8823529411764705E-2</v>
          </cell>
          <cell r="E1441">
            <v>0</v>
          </cell>
          <cell r="F1441">
            <v>0.94117647058823528</v>
          </cell>
          <cell r="G1441">
            <v>0</v>
          </cell>
        </row>
        <row r="1442">
          <cell r="A1442" t="str">
            <v>401 2014 10 1211 00014</v>
          </cell>
          <cell r="B1442">
            <v>49</v>
          </cell>
          <cell r="C1442">
            <v>41991</v>
          </cell>
          <cell r="D1442">
            <v>5.4945054945054951E-2</v>
          </cell>
          <cell r="E1442">
            <v>0</v>
          </cell>
          <cell r="F1442">
            <v>0.94505494505494503</v>
          </cell>
          <cell r="G1442">
            <v>0</v>
          </cell>
        </row>
        <row r="1443">
          <cell r="A1443" t="str">
            <v>401 2014 10 1211 00007</v>
          </cell>
          <cell r="B1443">
            <v>50</v>
          </cell>
          <cell r="C1443">
            <v>41987.697916666664</v>
          </cell>
          <cell r="D1443">
            <v>5.4945054945054937E-2</v>
          </cell>
          <cell r="E1443">
            <v>0</v>
          </cell>
          <cell r="F1443">
            <v>0.94505494505494503</v>
          </cell>
          <cell r="G1443">
            <v>0</v>
          </cell>
        </row>
        <row r="1444">
          <cell r="A1444" t="str">
            <v>501 2015 10 1211 00009</v>
          </cell>
          <cell r="B1444">
            <v>22</v>
          </cell>
          <cell r="C1444">
            <v>42294.557743055557</v>
          </cell>
          <cell r="D1444">
            <v>0.69156293222683263</v>
          </cell>
          <cell r="E1444">
            <v>0</v>
          </cell>
          <cell r="F1444">
            <v>0.30843706777316737</v>
          </cell>
          <cell r="G1444">
            <v>0</v>
          </cell>
        </row>
        <row r="1445">
          <cell r="A1445" t="str">
            <v>501 2014 10 1211 00020</v>
          </cell>
          <cell r="B1445">
            <v>23</v>
          </cell>
          <cell r="C1445">
            <v>42004.611180555556</v>
          </cell>
          <cell r="D1445">
            <v>0.5</v>
          </cell>
          <cell r="E1445">
            <v>0</v>
          </cell>
          <cell r="F1445">
            <v>0.5</v>
          </cell>
          <cell r="G1445">
            <v>0</v>
          </cell>
        </row>
        <row r="1446">
          <cell r="A1446" t="str">
            <v>501 2015 10 1211 00010</v>
          </cell>
          <cell r="B1446">
            <v>23</v>
          </cell>
          <cell r="C1446">
            <v>42315.447002314817</v>
          </cell>
          <cell r="D1446">
            <v>0.61742976697774221</v>
          </cell>
          <cell r="E1446">
            <v>0</v>
          </cell>
          <cell r="F1446">
            <v>0.38257023302225779</v>
          </cell>
          <cell r="G1446">
            <v>0</v>
          </cell>
        </row>
        <row r="1447">
          <cell r="A1447" t="str">
            <v>203 2014 10 1212 00003</v>
          </cell>
          <cell r="B1447">
            <v>117</v>
          </cell>
          <cell r="C1447">
            <v>41980.380937499998</v>
          </cell>
          <cell r="D1447">
            <v>2.3934698565896376E-2</v>
          </cell>
          <cell r="E1447">
            <v>0</v>
          </cell>
          <cell r="F1447">
            <v>0.41167681533341766</v>
          </cell>
          <cell r="G1447">
            <v>0.56438848610068604</v>
          </cell>
        </row>
        <row r="1448">
          <cell r="A1448" t="str">
            <v>205 2014 10 1212 00002</v>
          </cell>
          <cell r="B1448">
            <v>20</v>
          </cell>
          <cell r="C1448">
            <v>41953.429444444446</v>
          </cell>
          <cell r="D1448">
            <v>0.26906603940095325</v>
          </cell>
          <cell r="E1448">
            <v>0</v>
          </cell>
          <cell r="F1448">
            <v>0.73093396059904681</v>
          </cell>
          <cell r="G1448">
            <v>0</v>
          </cell>
        </row>
        <row r="1449">
          <cell r="A1449" t="str">
            <v>209 2015 10 1212 00001</v>
          </cell>
          <cell r="B1449">
            <v>7</v>
          </cell>
          <cell r="C1449">
            <v>42298.760416666664</v>
          </cell>
          <cell r="D1449">
            <v>5.4945054945054937E-2</v>
          </cell>
          <cell r="E1449">
            <v>0</v>
          </cell>
          <cell r="F1449">
            <v>0.94505494505494503</v>
          </cell>
          <cell r="G1449">
            <v>0</v>
          </cell>
        </row>
        <row r="1450">
          <cell r="A1450" t="str">
            <v>209 2015 10 1212 00007</v>
          </cell>
          <cell r="B1450">
            <v>8</v>
          </cell>
          <cell r="C1450">
            <v>42310.450266203705</v>
          </cell>
          <cell r="D1450">
            <v>1</v>
          </cell>
          <cell r="E1450">
            <v>0</v>
          </cell>
          <cell r="F1450">
            <v>0</v>
          </cell>
          <cell r="G1450">
            <v>0</v>
          </cell>
        </row>
        <row r="1451">
          <cell r="A1451" t="str">
            <v>303 2015 10 1212 00003</v>
          </cell>
          <cell r="B1451">
            <v>5</v>
          </cell>
          <cell r="C1451">
            <v>42315.25</v>
          </cell>
          <cell r="D1451">
            <v>7.298700775874703E-2</v>
          </cell>
          <cell r="E1451">
            <v>0</v>
          </cell>
          <cell r="F1451">
            <v>0.927012992241253</v>
          </cell>
          <cell r="G1451">
            <v>0</v>
          </cell>
        </row>
        <row r="1452">
          <cell r="A1452" t="str">
            <v>304 2013 10 1212 00001</v>
          </cell>
          <cell r="B1452">
            <v>4</v>
          </cell>
          <cell r="C1452">
            <v>41708.461342592593</v>
          </cell>
          <cell r="D1452">
            <v>0.100779560241988</v>
          </cell>
          <cell r="E1452">
            <v>0</v>
          </cell>
          <cell r="F1452">
            <v>0.89922043975801202</v>
          </cell>
          <cell r="G1452">
            <v>0</v>
          </cell>
        </row>
        <row r="1453">
          <cell r="A1453" t="str">
            <v>304 2014 15 1212 00008</v>
          </cell>
          <cell r="B1453">
            <v>4</v>
          </cell>
          <cell r="C1453">
            <v>42183.549178240741</v>
          </cell>
          <cell r="D1453">
            <v>1</v>
          </cell>
          <cell r="E1453">
            <v>0</v>
          </cell>
          <cell r="F1453">
            <v>0</v>
          </cell>
          <cell r="G1453">
            <v>0</v>
          </cell>
        </row>
        <row r="1454">
          <cell r="A1454" t="str">
            <v>304 2014 12 1212 00003</v>
          </cell>
          <cell r="B1454">
            <v>5</v>
          </cell>
          <cell r="C1454">
            <v>41765.606122685182</v>
          </cell>
          <cell r="D1454">
            <v>1</v>
          </cell>
          <cell r="E1454">
            <v>0</v>
          </cell>
          <cell r="F1454">
            <v>0</v>
          </cell>
          <cell r="G1454">
            <v>0</v>
          </cell>
        </row>
        <row r="1455">
          <cell r="A1455" t="str">
            <v>304 2015 10 1212 00007</v>
          </cell>
          <cell r="B1455">
            <v>5</v>
          </cell>
          <cell r="C1455">
            <v>42243.459085648145</v>
          </cell>
          <cell r="D1455">
            <v>0.70422535211267601</v>
          </cell>
          <cell r="E1455">
            <v>0</v>
          </cell>
          <cell r="F1455">
            <v>0.29577464788732394</v>
          </cell>
          <cell r="G1455">
            <v>0</v>
          </cell>
        </row>
        <row r="1456">
          <cell r="A1456" t="str">
            <v>304 2014 12 1212 00003</v>
          </cell>
          <cell r="B1456">
            <v>6</v>
          </cell>
          <cell r="C1456">
            <v>41769.608518518522</v>
          </cell>
          <cell r="D1456">
            <v>1</v>
          </cell>
          <cell r="E1456">
            <v>0</v>
          </cell>
          <cell r="F1456">
            <v>0</v>
          </cell>
          <cell r="G1456">
            <v>0</v>
          </cell>
        </row>
        <row r="1457">
          <cell r="A1457" t="str">
            <v>205 2014 10 1212 00003</v>
          </cell>
          <cell r="B1457">
            <v>6</v>
          </cell>
          <cell r="C1457">
            <v>41817.584687499999</v>
          </cell>
          <cell r="D1457">
            <v>0.75</v>
          </cell>
          <cell r="E1457">
            <v>0</v>
          </cell>
          <cell r="F1457">
            <v>0.25</v>
          </cell>
          <cell r="G1457">
            <v>0</v>
          </cell>
        </row>
        <row r="1458">
          <cell r="A1458" t="str">
            <v>205 2013 10 1212 00001</v>
          </cell>
          <cell r="B1458">
            <v>9</v>
          </cell>
          <cell r="C1458">
            <v>41526.52920138889</v>
          </cell>
          <cell r="D1458">
            <v>2.42459298218194E-2</v>
          </cell>
          <cell r="E1458">
            <v>0</v>
          </cell>
          <cell r="F1458">
            <v>0.28654007017818062</v>
          </cell>
          <cell r="G1458">
            <v>0.68921399999999999</v>
          </cell>
        </row>
        <row r="1459">
          <cell r="A1459" t="str">
            <v>501 2014 10 1211 00008</v>
          </cell>
          <cell r="B1459">
            <v>24</v>
          </cell>
          <cell r="C1459">
            <v>42004.677141203705</v>
          </cell>
          <cell r="D1459">
            <v>0.75738968331772494</v>
          </cell>
          <cell r="E1459">
            <v>0</v>
          </cell>
          <cell r="F1459">
            <v>0.24261031668227501</v>
          </cell>
          <cell r="G1459">
            <v>0</v>
          </cell>
        </row>
        <row r="1460">
          <cell r="A1460" t="str">
            <v>501 2015 10 1211 00032</v>
          </cell>
          <cell r="B1460">
            <v>26</v>
          </cell>
          <cell r="C1460">
            <v>42335.433252314811</v>
          </cell>
          <cell r="D1460">
            <v>0.7142857142857143</v>
          </cell>
          <cell r="E1460">
            <v>0</v>
          </cell>
          <cell r="F1460">
            <v>0.2857142857142857</v>
          </cell>
          <cell r="G1460">
            <v>0</v>
          </cell>
        </row>
        <row r="1461">
          <cell r="A1461" t="str">
            <v>501 2015 10 1211 00021</v>
          </cell>
          <cell r="B1461">
            <v>27</v>
          </cell>
          <cell r="C1461">
            <v>42333.437708333331</v>
          </cell>
          <cell r="D1461">
            <v>1</v>
          </cell>
          <cell r="E1461">
            <v>0</v>
          </cell>
          <cell r="F1461">
            <v>0</v>
          </cell>
          <cell r="G1461">
            <v>0</v>
          </cell>
        </row>
        <row r="1462">
          <cell r="A1462" t="str">
            <v>401 2014 10 1211 00008</v>
          </cell>
          <cell r="B1462">
            <v>45</v>
          </cell>
          <cell r="C1462">
            <v>41941.083333333336</v>
          </cell>
          <cell r="D1462">
            <v>5.4945054945054903E-2</v>
          </cell>
          <cell r="E1462">
            <v>0</v>
          </cell>
          <cell r="F1462">
            <v>0.94505494505494514</v>
          </cell>
          <cell r="G1462">
            <v>0</v>
          </cell>
        </row>
        <row r="1463">
          <cell r="A1463" t="str">
            <v>401 2014 10 1211 00014</v>
          </cell>
          <cell r="B1463">
            <v>47</v>
          </cell>
          <cell r="C1463">
            <v>41953.979166666664</v>
          </cell>
          <cell r="D1463">
            <v>5.4945054945054951E-2</v>
          </cell>
          <cell r="E1463">
            <v>0</v>
          </cell>
          <cell r="F1463">
            <v>0.94505494505494503</v>
          </cell>
          <cell r="G1463">
            <v>0</v>
          </cell>
        </row>
        <row r="1464">
          <cell r="A1464" t="str">
            <v>402 2014 10 1211 00002</v>
          </cell>
          <cell r="B1464">
            <v>1</v>
          </cell>
          <cell r="C1464">
            <v>42041.333472222221</v>
          </cell>
          <cell r="D1464">
            <v>1</v>
          </cell>
          <cell r="E1464">
            <v>0</v>
          </cell>
          <cell r="F1464">
            <v>0</v>
          </cell>
          <cell r="G1464">
            <v>0</v>
          </cell>
        </row>
        <row r="1465">
          <cell r="A1465" t="str">
            <v>501 2014 10 1211 00036</v>
          </cell>
          <cell r="B1465">
            <v>1</v>
          </cell>
          <cell r="C1465">
            <v>42015.491365740738</v>
          </cell>
          <cell r="D1465">
            <v>0.7142857142857143</v>
          </cell>
          <cell r="E1465">
            <v>0</v>
          </cell>
          <cell r="F1465">
            <v>0.2857142857142857</v>
          </cell>
          <cell r="G1465">
            <v>0</v>
          </cell>
        </row>
        <row r="1466">
          <cell r="A1466" t="str">
            <v>501 2014 10 1211 00009</v>
          </cell>
          <cell r="B1466">
            <v>21</v>
          </cell>
          <cell r="C1466">
            <v>41973.250092592592</v>
          </cell>
          <cell r="D1466">
            <v>0.55035864836897286</v>
          </cell>
          <cell r="E1466">
            <v>0</v>
          </cell>
          <cell r="F1466">
            <v>0.4496413516310272</v>
          </cell>
          <cell r="G1466">
            <v>0</v>
          </cell>
        </row>
        <row r="1467">
          <cell r="A1467" t="str">
            <v>501 2015 10 1211 00009</v>
          </cell>
          <cell r="B1467">
            <v>21</v>
          </cell>
          <cell r="C1467">
            <v>42269.404652777775</v>
          </cell>
          <cell r="D1467">
            <v>0.69156293222683263</v>
          </cell>
          <cell r="E1467">
            <v>0</v>
          </cell>
          <cell r="F1467">
            <v>0.30843706777316737</v>
          </cell>
          <cell r="G1467">
            <v>0</v>
          </cell>
        </row>
        <row r="1468">
          <cell r="A1468" t="str">
            <v>501 2014 10 1211 00043</v>
          </cell>
          <cell r="B1468">
            <v>22</v>
          </cell>
          <cell r="C1468">
            <v>41996.392175925925</v>
          </cell>
          <cell r="D1468">
            <v>1</v>
          </cell>
          <cell r="E1468">
            <v>0</v>
          </cell>
          <cell r="F1468">
            <v>0</v>
          </cell>
          <cell r="G1468">
            <v>0</v>
          </cell>
        </row>
        <row r="1469">
          <cell r="A1469" t="str">
            <v>501 2015 10 1211 00009</v>
          </cell>
          <cell r="B1469">
            <v>24</v>
          </cell>
          <cell r="C1469">
            <v>42317.607662037037</v>
          </cell>
          <cell r="D1469">
            <v>0.69156293222683263</v>
          </cell>
          <cell r="E1469">
            <v>0</v>
          </cell>
          <cell r="F1469">
            <v>0.30843706777316737</v>
          </cell>
          <cell r="G1469">
            <v>0</v>
          </cell>
        </row>
        <row r="1470">
          <cell r="A1470" t="str">
            <v>501 2014 10 1211 00039</v>
          </cell>
          <cell r="B1470">
            <v>25</v>
          </cell>
          <cell r="C1470">
            <v>42002.679918981485</v>
          </cell>
          <cell r="D1470">
            <v>0.27457440966501923</v>
          </cell>
          <cell r="E1470">
            <v>0</v>
          </cell>
          <cell r="F1470">
            <v>0.72542559033498077</v>
          </cell>
          <cell r="G1470">
            <v>0</v>
          </cell>
        </row>
        <row r="1471">
          <cell r="A1471" t="str">
            <v>205 2013 10 1212 00015</v>
          </cell>
          <cell r="B1471">
            <v>14</v>
          </cell>
          <cell r="C1471">
            <v>41506.396203703705</v>
          </cell>
          <cell r="D1471">
            <v>7.2463768115942032E-2</v>
          </cell>
          <cell r="E1471">
            <v>0</v>
          </cell>
          <cell r="F1471">
            <v>0.92753623188405798</v>
          </cell>
          <cell r="G1471">
            <v>0</v>
          </cell>
        </row>
        <row r="1472">
          <cell r="A1472" t="str">
            <v>205 2014 10 1212 00008</v>
          </cell>
          <cell r="B1472">
            <v>14</v>
          </cell>
          <cell r="C1472">
            <v>41928.449097222219</v>
          </cell>
          <cell r="D1472">
            <v>2.270084596050902E-2</v>
          </cell>
          <cell r="E1472">
            <v>0</v>
          </cell>
          <cell r="F1472">
            <v>0.28808515403949092</v>
          </cell>
          <cell r="G1472">
            <v>0.68921399999999999</v>
          </cell>
        </row>
        <row r="1473">
          <cell r="A1473" t="str">
            <v>205 2014 10 1212 00001</v>
          </cell>
          <cell r="B1473">
            <v>22</v>
          </cell>
          <cell r="C1473">
            <v>42004.48778935185</v>
          </cell>
          <cell r="D1473">
            <v>0.83194675540765395</v>
          </cell>
          <cell r="E1473">
            <v>0</v>
          </cell>
          <cell r="F1473">
            <v>0.16805324459234608</v>
          </cell>
          <cell r="G1473">
            <v>0</v>
          </cell>
        </row>
        <row r="1474">
          <cell r="A1474" t="str">
            <v>304 2013 10 1212 00001</v>
          </cell>
          <cell r="B1474">
            <v>2</v>
          </cell>
          <cell r="C1474">
            <v>41686.404374999998</v>
          </cell>
          <cell r="D1474">
            <v>0.100779560241988</v>
          </cell>
          <cell r="E1474">
            <v>0</v>
          </cell>
          <cell r="F1474">
            <v>0.89922043975801202</v>
          </cell>
          <cell r="G1474">
            <v>0</v>
          </cell>
        </row>
        <row r="1475">
          <cell r="A1475" t="str">
            <v>304 2015 10 1212 00008</v>
          </cell>
          <cell r="B1475">
            <v>2</v>
          </cell>
          <cell r="C1475">
            <v>42137.625</v>
          </cell>
          <cell r="D1475">
            <v>1</v>
          </cell>
          <cell r="E1475">
            <v>0</v>
          </cell>
          <cell r="F1475">
            <v>0</v>
          </cell>
          <cell r="G1475">
            <v>0</v>
          </cell>
        </row>
        <row r="1476">
          <cell r="A1476" t="str">
            <v>304 2013 10 1212 00001</v>
          </cell>
          <cell r="B1476">
            <v>3</v>
          </cell>
          <cell r="C1476">
            <v>41700.65289351852</v>
          </cell>
          <cell r="D1476">
            <v>0.100779560241988</v>
          </cell>
          <cell r="E1476">
            <v>0</v>
          </cell>
          <cell r="F1476">
            <v>0.89922043975801202</v>
          </cell>
          <cell r="G1476">
            <v>0</v>
          </cell>
        </row>
        <row r="1477">
          <cell r="A1477" t="str">
            <v>304 2014 10 1212 00009</v>
          </cell>
          <cell r="B1477">
            <v>3</v>
          </cell>
          <cell r="C1477">
            <v>42164.604016203702</v>
          </cell>
          <cell r="D1477">
            <v>1</v>
          </cell>
          <cell r="E1477">
            <v>0</v>
          </cell>
          <cell r="F1477">
            <v>0</v>
          </cell>
          <cell r="G1477">
            <v>0</v>
          </cell>
        </row>
        <row r="1478">
          <cell r="A1478" t="str">
            <v>203 2014 10 1212 00010</v>
          </cell>
          <cell r="B1478">
            <v>51</v>
          </cell>
          <cell r="C1478">
            <v>41771.571712962963</v>
          </cell>
          <cell r="D1478">
            <v>7.1108383038868087E-2</v>
          </cell>
          <cell r="E1478">
            <v>0</v>
          </cell>
          <cell r="F1478">
            <v>0.92889161696113187</v>
          </cell>
          <cell r="G1478">
            <v>0</v>
          </cell>
        </row>
        <row r="1479">
          <cell r="A1479" t="str">
            <v>203 2015 10 1212 00003</v>
          </cell>
          <cell r="B1479">
            <v>51</v>
          </cell>
          <cell r="C1479">
            <v>42303.609594907408</v>
          </cell>
          <cell r="D1479">
            <v>2.31076272069227E-2</v>
          </cell>
          <cell r="E1479">
            <v>0</v>
          </cell>
          <cell r="F1479">
            <v>0.39745118795907064</v>
          </cell>
          <cell r="G1479">
            <v>0.57944118483400664</v>
          </cell>
        </row>
        <row r="1480">
          <cell r="A1480" t="str">
            <v>203 2014 10 1212 00003</v>
          </cell>
          <cell r="B1480">
            <v>112</v>
          </cell>
          <cell r="C1480">
            <v>41974.562071759261</v>
          </cell>
          <cell r="D1480">
            <v>2.3934698565896376E-2</v>
          </cell>
          <cell r="E1480">
            <v>0</v>
          </cell>
          <cell r="F1480">
            <v>0.41167681533341766</v>
          </cell>
          <cell r="G1480">
            <v>0.56438848610068604</v>
          </cell>
        </row>
        <row r="1481">
          <cell r="A1481" t="str">
            <v>203 2014 10 1212 00003</v>
          </cell>
          <cell r="B1481">
            <v>113</v>
          </cell>
          <cell r="C1481">
            <v>41975.570393518516</v>
          </cell>
          <cell r="D1481">
            <v>2.3934698565896376E-2</v>
          </cell>
          <cell r="E1481">
            <v>0</v>
          </cell>
          <cell r="F1481">
            <v>0.41167681533341766</v>
          </cell>
          <cell r="G1481">
            <v>0.56438848610068604</v>
          </cell>
        </row>
        <row r="1482">
          <cell r="A1482" t="str">
            <v>206 2014 10 1212 00015</v>
          </cell>
          <cell r="B1482">
            <v>1</v>
          </cell>
          <cell r="C1482">
            <v>42015</v>
          </cell>
          <cell r="D1482">
            <v>9.6899224806201556E-2</v>
          </cell>
          <cell r="E1482">
            <v>0</v>
          </cell>
          <cell r="F1482">
            <v>0.9031007751937985</v>
          </cell>
          <cell r="G1482">
            <v>0</v>
          </cell>
        </row>
        <row r="1483">
          <cell r="A1483" t="str">
            <v>501 2015 10 1211 00009</v>
          </cell>
          <cell r="B1483">
            <v>25</v>
          </cell>
          <cell r="C1483">
            <v>42323.474224537036</v>
          </cell>
          <cell r="D1483">
            <v>0.69156293222683263</v>
          </cell>
          <cell r="E1483">
            <v>0</v>
          </cell>
          <cell r="F1483">
            <v>0.30843706777316737</v>
          </cell>
          <cell r="G1483">
            <v>0</v>
          </cell>
        </row>
        <row r="1484">
          <cell r="A1484" t="str">
            <v>501 2014 10 1211 00010</v>
          </cell>
          <cell r="B1484">
            <v>26</v>
          </cell>
          <cell r="C1484">
            <v>42002.689467592594</v>
          </cell>
          <cell r="D1484">
            <v>0.69156293222683263</v>
          </cell>
          <cell r="E1484">
            <v>0</v>
          </cell>
          <cell r="F1484">
            <v>0.30843706777316737</v>
          </cell>
          <cell r="G1484">
            <v>0</v>
          </cell>
        </row>
        <row r="1485">
          <cell r="A1485" t="str">
            <v>501 2015 16 1211 00010</v>
          </cell>
          <cell r="B1485">
            <v>30</v>
          </cell>
          <cell r="C1485">
            <v>42361.586041666669</v>
          </cell>
          <cell r="D1485">
            <v>0.58340129958473497</v>
          </cell>
          <cell r="E1485">
            <v>0</v>
          </cell>
          <cell r="F1485">
            <v>0.41659870041526503</v>
          </cell>
          <cell r="G1485">
            <v>0</v>
          </cell>
        </row>
        <row r="1486">
          <cell r="A1486" t="str">
            <v>503 2015 10 1211 00011</v>
          </cell>
          <cell r="B1486">
            <v>3</v>
          </cell>
          <cell r="C1486">
            <v>42036.646655092591</v>
          </cell>
          <cell r="D1486">
            <v>0.23427661275443901</v>
          </cell>
          <cell r="E1486">
            <v>0</v>
          </cell>
          <cell r="F1486">
            <v>0.76572338724556099</v>
          </cell>
          <cell r="G1486">
            <v>0</v>
          </cell>
        </row>
        <row r="1487">
          <cell r="A1487" t="str">
            <v>503 2015 10 1211 00009</v>
          </cell>
          <cell r="B1487">
            <v>6</v>
          </cell>
          <cell r="C1487">
            <v>42040.675335648149</v>
          </cell>
          <cell r="D1487">
            <v>0.23427661275443901</v>
          </cell>
          <cell r="E1487">
            <v>0</v>
          </cell>
          <cell r="F1487">
            <v>0.76572338724556099</v>
          </cell>
          <cell r="G1487">
            <v>0</v>
          </cell>
        </row>
        <row r="1488">
          <cell r="A1488" t="str">
            <v>503 2015 10 1211 00021</v>
          </cell>
          <cell r="B1488">
            <v>11</v>
          </cell>
          <cell r="C1488">
            <v>42075.68277777778</v>
          </cell>
          <cell r="D1488">
            <v>0.42735042735042733</v>
          </cell>
          <cell r="E1488">
            <v>0</v>
          </cell>
          <cell r="F1488">
            <v>0.57264957264957261</v>
          </cell>
          <cell r="G1488">
            <v>0</v>
          </cell>
        </row>
        <row r="1489">
          <cell r="A1489" t="str">
            <v>503 2015 10 1211 00011</v>
          </cell>
          <cell r="B1489">
            <v>12</v>
          </cell>
          <cell r="C1489">
            <v>42080.430185185185</v>
          </cell>
          <cell r="D1489">
            <v>0.23427661275443901</v>
          </cell>
          <cell r="E1489">
            <v>0</v>
          </cell>
          <cell r="F1489">
            <v>0.76572338724556099</v>
          </cell>
          <cell r="G1489">
            <v>0</v>
          </cell>
        </row>
        <row r="1490">
          <cell r="A1490" t="str">
            <v>503 2014 10 1211 00008</v>
          </cell>
          <cell r="B1490">
            <v>21</v>
          </cell>
          <cell r="C1490">
            <v>42120.25</v>
          </cell>
          <cell r="D1490">
            <v>0.96153846153846156</v>
          </cell>
          <cell r="E1490">
            <v>0</v>
          </cell>
          <cell r="F1490">
            <v>3.8461538461538464E-2</v>
          </cell>
          <cell r="G1490">
            <v>0</v>
          </cell>
        </row>
        <row r="1491">
          <cell r="A1491" t="str">
            <v>503 2015 10 1211 00009</v>
          </cell>
          <cell r="B1491">
            <v>22</v>
          </cell>
          <cell r="C1491">
            <v>42142.503078703703</v>
          </cell>
          <cell r="D1491">
            <v>0.23427661275443901</v>
          </cell>
          <cell r="E1491">
            <v>0</v>
          </cell>
          <cell r="F1491">
            <v>0.76572338724556099</v>
          </cell>
          <cell r="G1491">
            <v>0</v>
          </cell>
        </row>
        <row r="1492">
          <cell r="A1492" t="str">
            <v>503 2015 10 1211 00011</v>
          </cell>
          <cell r="B1492">
            <v>37</v>
          </cell>
          <cell r="C1492">
            <v>42255.651030092595</v>
          </cell>
          <cell r="D1492">
            <v>0.23427661275443901</v>
          </cell>
          <cell r="E1492">
            <v>0</v>
          </cell>
          <cell r="F1492">
            <v>0.76572338724556099</v>
          </cell>
          <cell r="G1492">
            <v>0</v>
          </cell>
        </row>
        <row r="1493">
          <cell r="A1493" t="str">
            <v>503 2014 10 1211 00006</v>
          </cell>
          <cell r="B1493">
            <v>38</v>
          </cell>
          <cell r="C1493">
            <v>41900.488958333335</v>
          </cell>
          <cell r="D1493">
            <v>0.19722841456988308</v>
          </cell>
          <cell r="E1493">
            <v>0</v>
          </cell>
          <cell r="F1493">
            <v>0.80277158543011695</v>
          </cell>
          <cell r="G1493">
            <v>0</v>
          </cell>
        </row>
        <row r="1494">
          <cell r="A1494" t="str">
            <v>503 2015 10 1211 00010</v>
          </cell>
          <cell r="B1494">
            <v>38</v>
          </cell>
          <cell r="C1494">
            <v>42256.510810185187</v>
          </cell>
          <cell r="D1494">
            <v>0.23433295795786754</v>
          </cell>
          <cell r="E1494">
            <v>0</v>
          </cell>
          <cell r="F1494">
            <v>0.76566704204213243</v>
          </cell>
          <cell r="G1494">
            <v>0</v>
          </cell>
        </row>
        <row r="1495">
          <cell r="A1495" t="str">
            <v>203 2013 10 1212 00008</v>
          </cell>
          <cell r="B1495">
            <v>21</v>
          </cell>
          <cell r="C1495">
            <v>41736.635925925926</v>
          </cell>
          <cell r="D1495">
            <v>0.10308008127617016</v>
          </cell>
          <cell r="E1495">
            <v>0</v>
          </cell>
          <cell r="F1495">
            <v>0.89691991872382981</v>
          </cell>
          <cell r="G1495">
            <v>0</v>
          </cell>
        </row>
        <row r="1496">
          <cell r="A1496" t="str">
            <v>203 2015 10 1212 00005</v>
          </cell>
          <cell r="B1496">
            <v>21</v>
          </cell>
          <cell r="C1496">
            <v>42138.532037037039</v>
          </cell>
          <cell r="D1496">
            <v>5.9565902215354301E-2</v>
          </cell>
          <cell r="E1496">
            <v>0</v>
          </cell>
          <cell r="F1496">
            <v>0.83392263101496</v>
          </cell>
          <cell r="G1496">
            <v>0.1065114667696857</v>
          </cell>
        </row>
        <row r="1497">
          <cell r="A1497" t="str">
            <v>203 2014 10 1212 00009</v>
          </cell>
          <cell r="B1497">
            <v>40</v>
          </cell>
          <cell r="C1497">
            <v>41742.5</v>
          </cell>
          <cell r="D1497">
            <v>5.9565902215354273E-2</v>
          </cell>
          <cell r="E1497">
            <v>0</v>
          </cell>
          <cell r="F1497">
            <v>0.83392263101495978</v>
          </cell>
          <cell r="G1497">
            <v>0.10651146676968593</v>
          </cell>
        </row>
        <row r="1498">
          <cell r="A1498" t="str">
            <v>203 2015 10 1212 00005</v>
          </cell>
          <cell r="B1498">
            <v>40</v>
          </cell>
          <cell r="C1498">
            <v>42246.573958333334</v>
          </cell>
          <cell r="D1498">
            <v>5.9565902215354301E-2</v>
          </cell>
          <cell r="E1498">
            <v>0</v>
          </cell>
          <cell r="F1498">
            <v>0.83392263101496</v>
          </cell>
          <cell r="G1498">
            <v>0.1065114667696857</v>
          </cell>
        </row>
        <row r="1499">
          <cell r="A1499" t="str">
            <v>203 2014 10 1212 00009</v>
          </cell>
          <cell r="B1499">
            <v>95</v>
          </cell>
          <cell r="C1499">
            <v>41900.606041666666</v>
          </cell>
          <cell r="D1499">
            <v>5.9565902215354273E-2</v>
          </cell>
          <cell r="E1499">
            <v>0</v>
          </cell>
          <cell r="F1499">
            <v>0.83392263101495978</v>
          </cell>
          <cell r="G1499">
            <v>0.10651146676968593</v>
          </cell>
        </row>
        <row r="1500">
          <cell r="A1500" t="str">
            <v>206 2015 10 1212 00009</v>
          </cell>
          <cell r="B1500">
            <v>4</v>
          </cell>
          <cell r="C1500">
            <v>42199</v>
          </cell>
          <cell r="D1500">
            <v>0.29050513032060143</v>
          </cell>
          <cell r="E1500">
            <v>0</v>
          </cell>
          <cell r="F1500">
            <v>0.70949486967939857</v>
          </cell>
          <cell r="G1500">
            <v>0</v>
          </cell>
        </row>
        <row r="1501">
          <cell r="A1501" t="str">
            <v>206 2014 10 1212 00015</v>
          </cell>
          <cell r="B1501">
            <v>5</v>
          </cell>
          <cell r="C1501">
            <v>41852.433958333335</v>
          </cell>
          <cell r="D1501">
            <v>9.6899224806201556E-2</v>
          </cell>
          <cell r="E1501">
            <v>0</v>
          </cell>
          <cell r="F1501">
            <v>0.9031007751937985</v>
          </cell>
          <cell r="G1501">
            <v>0</v>
          </cell>
        </row>
        <row r="1502">
          <cell r="A1502" t="str">
            <v>206 2015 10 1212 00008</v>
          </cell>
          <cell r="B1502">
            <v>5</v>
          </cell>
          <cell r="C1502">
            <v>42332.659837962965</v>
          </cell>
          <cell r="D1502">
            <v>0.44187627464309992</v>
          </cell>
          <cell r="E1502">
            <v>0</v>
          </cell>
          <cell r="F1502">
            <v>0.55812372535690002</v>
          </cell>
          <cell r="G1502">
            <v>0</v>
          </cell>
        </row>
        <row r="1503">
          <cell r="A1503" t="str">
            <v>112 2010 10 1212 00002</v>
          </cell>
          <cell r="B1503">
            <v>1</v>
          </cell>
          <cell r="C1503">
            <v>40602</v>
          </cell>
          <cell r="D1503">
            <v>1</v>
          </cell>
          <cell r="E1503">
            <v>0</v>
          </cell>
          <cell r="F1503">
            <v>0</v>
          </cell>
          <cell r="G1503">
            <v>0</v>
          </cell>
        </row>
        <row r="1504">
          <cell r="A1504" t="str">
            <v>112 2012 10 1212 00009</v>
          </cell>
          <cell r="B1504">
            <v>1</v>
          </cell>
          <cell r="C1504">
            <v>40925.775694444441</v>
          </cell>
          <cell r="D1504">
            <v>1</v>
          </cell>
          <cell r="E1504">
            <v>0</v>
          </cell>
          <cell r="F1504">
            <v>0</v>
          </cell>
          <cell r="G1504">
            <v>0</v>
          </cell>
        </row>
        <row r="1505">
          <cell r="A1505" t="str">
            <v>112 2012 10 1212 00008</v>
          </cell>
          <cell r="B1505">
            <v>2</v>
          </cell>
          <cell r="C1505">
            <v>41054.823460648149</v>
          </cell>
          <cell r="D1505">
            <v>0.6775067750677507</v>
          </cell>
          <cell r="E1505">
            <v>0</v>
          </cell>
          <cell r="F1505">
            <v>0.3224932249322493</v>
          </cell>
          <cell r="G1505">
            <v>0</v>
          </cell>
        </row>
        <row r="1506">
          <cell r="A1506" t="str">
            <v>110 2014 11 1212 00005</v>
          </cell>
          <cell r="B1506">
            <v>2</v>
          </cell>
          <cell r="C1506">
            <v>41915.25</v>
          </cell>
          <cell r="D1506">
            <v>1</v>
          </cell>
          <cell r="E1506">
            <v>0</v>
          </cell>
          <cell r="F1506">
            <v>0</v>
          </cell>
          <cell r="G1506">
            <v>0</v>
          </cell>
        </row>
        <row r="1507">
          <cell r="A1507" t="str">
            <v>501 2015 10 1211 00002</v>
          </cell>
          <cell r="B1507">
            <v>3</v>
          </cell>
          <cell r="C1507">
            <v>42060.649444444447</v>
          </cell>
          <cell r="D1507">
            <v>0.43221604629578103</v>
          </cell>
          <cell r="E1507">
            <v>0</v>
          </cell>
          <cell r="F1507">
            <v>0.56778395370421897</v>
          </cell>
          <cell r="G1507">
            <v>0</v>
          </cell>
        </row>
        <row r="1508">
          <cell r="A1508" t="str">
            <v>501 2014 10 1211 00022</v>
          </cell>
          <cell r="B1508">
            <v>5</v>
          </cell>
          <cell r="C1508">
            <v>42066.652453703704</v>
          </cell>
          <cell r="D1508">
            <v>1</v>
          </cell>
          <cell r="E1508">
            <v>0</v>
          </cell>
          <cell r="F1508">
            <v>0</v>
          </cell>
          <cell r="G1508">
            <v>0</v>
          </cell>
        </row>
        <row r="1509">
          <cell r="A1509" t="str">
            <v>501 2013 10 1211 00039</v>
          </cell>
          <cell r="B1509">
            <v>8</v>
          </cell>
          <cell r="C1509">
            <v>41731.35423611111</v>
          </cell>
          <cell r="D1509">
            <v>0.86206896551724133</v>
          </cell>
          <cell r="E1509">
            <v>0</v>
          </cell>
          <cell r="F1509">
            <v>0.13793103448275867</v>
          </cell>
          <cell r="G1509">
            <v>0</v>
          </cell>
        </row>
        <row r="1510">
          <cell r="A1510" t="str">
            <v>501 2014 10 1211 00036</v>
          </cell>
          <cell r="B1510">
            <v>8</v>
          </cell>
          <cell r="C1510">
            <v>42144.678553240738</v>
          </cell>
          <cell r="D1510">
            <v>0.7142857142857143</v>
          </cell>
          <cell r="E1510">
            <v>0</v>
          </cell>
          <cell r="F1510">
            <v>0.2857142857142857</v>
          </cell>
          <cell r="G1510">
            <v>0</v>
          </cell>
        </row>
        <row r="1511">
          <cell r="A1511" t="str">
            <v>208 2014 10 1211 00001</v>
          </cell>
          <cell r="B1511">
            <v>16</v>
          </cell>
          <cell r="C1511">
            <v>41969.41</v>
          </cell>
          <cell r="D1511">
            <v>0.28167066700793586</v>
          </cell>
          <cell r="E1511">
            <v>0</v>
          </cell>
          <cell r="F1511">
            <v>0.71832933299206414</v>
          </cell>
          <cell r="G1511">
            <v>0</v>
          </cell>
        </row>
        <row r="1512">
          <cell r="A1512" t="str">
            <v>301 2015 10 1211 00002</v>
          </cell>
          <cell r="B1512">
            <v>1</v>
          </cell>
          <cell r="C1512">
            <v>42131.61922453704</v>
          </cell>
          <cell r="D1512">
            <v>0.13615109897497193</v>
          </cell>
          <cell r="E1512">
            <v>0</v>
          </cell>
          <cell r="F1512">
            <v>0.86384890102502809</v>
          </cell>
          <cell r="G1512">
            <v>0</v>
          </cell>
        </row>
        <row r="1513">
          <cell r="A1513" t="str">
            <v>301 2010 10 1211 00002</v>
          </cell>
          <cell r="B1513">
            <v>5</v>
          </cell>
          <cell r="C1513">
            <v>40527</v>
          </cell>
          <cell r="D1513">
            <v>1.8523730890571893E-2</v>
          </cell>
          <cell r="E1513">
            <v>0</v>
          </cell>
          <cell r="F1513">
            <v>0.23147626910942809</v>
          </cell>
          <cell r="G1513">
            <v>0.75</v>
          </cell>
        </row>
        <row r="1514">
          <cell r="A1514" t="str">
            <v>302 2013 10 1211 00001</v>
          </cell>
          <cell r="B1514">
            <v>2</v>
          </cell>
          <cell r="C1514">
            <v>41610.602997685186</v>
          </cell>
          <cell r="D1514">
            <v>8.4055133070583248E-3</v>
          </cell>
          <cell r="E1514">
            <v>0</v>
          </cell>
          <cell r="F1514">
            <v>0.10759057033034648</v>
          </cell>
          <cell r="G1514">
            <v>0.88400391636259523</v>
          </cell>
        </row>
        <row r="1515">
          <cell r="A1515" t="str">
            <v>302 2013 10 1211 00001</v>
          </cell>
          <cell r="B1515">
            <v>2</v>
          </cell>
          <cell r="C1515">
            <v>41709.369421296295</v>
          </cell>
          <cell r="D1515">
            <v>8.4055133070583248E-3</v>
          </cell>
          <cell r="E1515">
            <v>0</v>
          </cell>
          <cell r="F1515">
            <v>0.10759057033034648</v>
          </cell>
          <cell r="G1515">
            <v>0.88400391636259523</v>
          </cell>
        </row>
        <row r="1516">
          <cell r="A1516" t="str">
            <v>302 2015 10 1211 00001</v>
          </cell>
          <cell r="B1516">
            <v>2</v>
          </cell>
          <cell r="C1516">
            <v>42238.504340277781</v>
          </cell>
          <cell r="D1516">
            <v>1.0257731355485923E-2</v>
          </cell>
          <cell r="E1516">
            <v>0</v>
          </cell>
          <cell r="F1516">
            <v>0.1357176763956599</v>
          </cell>
          <cell r="G1516">
            <v>0.85402459224885419</v>
          </cell>
        </row>
        <row r="1517">
          <cell r="A1517" t="str">
            <v>401 2014 10 1211 00019</v>
          </cell>
          <cell r="B1517">
            <v>1</v>
          </cell>
          <cell r="C1517">
            <v>42020.875</v>
          </cell>
          <cell r="D1517">
            <v>0.1</v>
          </cell>
          <cell r="E1517">
            <v>0</v>
          </cell>
          <cell r="F1517">
            <v>0</v>
          </cell>
          <cell r="G1517">
            <v>0.9</v>
          </cell>
        </row>
        <row r="1518">
          <cell r="A1518" t="str">
            <v>401 2014 10 1211 00014</v>
          </cell>
          <cell r="B1518">
            <v>51</v>
          </cell>
          <cell r="C1518">
            <v>42001</v>
          </cell>
          <cell r="D1518">
            <v>5.4945054945054951E-2</v>
          </cell>
          <cell r="E1518">
            <v>0</v>
          </cell>
          <cell r="F1518">
            <v>0.94505494505494503</v>
          </cell>
          <cell r="G1518">
            <v>0</v>
          </cell>
        </row>
        <row r="1519">
          <cell r="A1519" t="str">
            <v>301 2010 10 1212 00004</v>
          </cell>
          <cell r="B1519">
            <v>1</v>
          </cell>
          <cell r="C1519">
            <v>40658</v>
          </cell>
          <cell r="D1519">
            <v>0.26648900732844771</v>
          </cell>
          <cell r="E1519">
            <v>3.6675549633577616E-2</v>
          </cell>
          <cell r="F1519">
            <v>0.69683544303797462</v>
          </cell>
          <cell r="G1519">
            <v>0</v>
          </cell>
        </row>
        <row r="1520">
          <cell r="A1520" t="str">
            <v>301 2012 10 1212 00026</v>
          </cell>
          <cell r="B1520">
            <v>84</v>
          </cell>
          <cell r="C1520">
            <v>41574.439189814817</v>
          </cell>
          <cell r="D1520">
            <v>0.92129956556192694</v>
          </cell>
          <cell r="E1520">
            <v>0</v>
          </cell>
          <cell r="F1520">
            <v>7.8700434438073064E-2</v>
          </cell>
          <cell r="G1520">
            <v>0</v>
          </cell>
        </row>
        <row r="1521">
          <cell r="A1521" t="str">
            <v>203 2015 10 1212 00005</v>
          </cell>
          <cell r="B1521">
            <v>53</v>
          </cell>
          <cell r="C1521">
            <v>42306.618425925924</v>
          </cell>
          <cell r="D1521">
            <v>5.9565902215354301E-2</v>
          </cell>
          <cell r="E1521">
            <v>0</v>
          </cell>
          <cell r="F1521">
            <v>0.83392263101496</v>
          </cell>
          <cell r="G1521">
            <v>0.1065114667696857</v>
          </cell>
        </row>
        <row r="1522">
          <cell r="A1522" t="str">
            <v>203 2014 10 1212 00003</v>
          </cell>
          <cell r="B1522">
            <v>114</v>
          </cell>
          <cell r="C1522">
            <v>41941.622893518521</v>
          </cell>
          <cell r="D1522">
            <v>2.3934698565896376E-2</v>
          </cell>
          <cell r="E1522">
            <v>0</v>
          </cell>
          <cell r="F1522">
            <v>0.41167681533341766</v>
          </cell>
          <cell r="G1522">
            <v>0.56438848610068604</v>
          </cell>
        </row>
        <row r="1523">
          <cell r="A1523" t="str">
            <v>203 2014 10 1212 00003</v>
          </cell>
          <cell r="B1523">
            <v>115</v>
          </cell>
          <cell r="C1523">
            <v>41953.626250000001</v>
          </cell>
          <cell r="D1523">
            <v>2.3934698565896376E-2</v>
          </cell>
          <cell r="E1523">
            <v>0</v>
          </cell>
          <cell r="F1523">
            <v>0.41167681533341766</v>
          </cell>
          <cell r="G1523">
            <v>0.56438848610068604</v>
          </cell>
        </row>
        <row r="1524">
          <cell r="A1524" t="str">
            <v>203 2014 10 1212 00003</v>
          </cell>
          <cell r="B1524">
            <v>116</v>
          </cell>
          <cell r="C1524">
            <v>41957.629918981482</v>
          </cell>
          <cell r="D1524">
            <v>2.3934698565896376E-2</v>
          </cell>
          <cell r="E1524">
            <v>0</v>
          </cell>
          <cell r="F1524">
            <v>0.41167681533341766</v>
          </cell>
          <cell r="G1524">
            <v>0.56438848610068604</v>
          </cell>
        </row>
        <row r="1525">
          <cell r="A1525" t="str">
            <v>505 2014 10 1212 00002</v>
          </cell>
          <cell r="B1525">
            <v>6</v>
          </cell>
          <cell r="C1525">
            <v>41805.661550925928</v>
          </cell>
          <cell r="D1525">
            <v>1</v>
          </cell>
          <cell r="E1525">
            <v>0</v>
          </cell>
          <cell r="F1525">
            <v>0</v>
          </cell>
          <cell r="G1525">
            <v>0</v>
          </cell>
        </row>
        <row r="1526">
          <cell r="A1526" t="str">
            <v>301 2014 10 1212 00011</v>
          </cell>
          <cell r="B1526">
            <v>2</v>
          </cell>
          <cell r="C1526">
            <v>42049.875891203701</v>
          </cell>
          <cell r="D1526">
            <v>1</v>
          </cell>
          <cell r="E1526">
            <v>0</v>
          </cell>
          <cell r="F1526">
            <v>0</v>
          </cell>
          <cell r="G1526">
            <v>0</v>
          </cell>
        </row>
        <row r="1527">
          <cell r="A1527" t="str">
            <v>301 2012 10 1212 00006</v>
          </cell>
          <cell r="B1527">
            <v>3</v>
          </cell>
          <cell r="C1527">
            <v>41282.744884259257</v>
          </cell>
          <cell r="D1527">
            <v>0.19230769230769232</v>
          </cell>
          <cell r="E1527">
            <v>0</v>
          </cell>
          <cell r="F1527">
            <v>0.80769230769230771</v>
          </cell>
          <cell r="G1527">
            <v>0</v>
          </cell>
        </row>
        <row r="1528">
          <cell r="A1528" t="str">
            <v>301 2014 10 1212 00009</v>
          </cell>
          <cell r="B1528">
            <v>4</v>
          </cell>
          <cell r="C1528">
            <v>42124.583333333336</v>
          </cell>
          <cell r="D1528">
            <v>0.27445202064246305</v>
          </cell>
          <cell r="E1528">
            <v>0</v>
          </cell>
          <cell r="F1528">
            <v>0.72554797935753701</v>
          </cell>
          <cell r="G1528">
            <v>0</v>
          </cell>
        </row>
        <row r="1529">
          <cell r="A1529" t="str">
            <v>301 2014 10 1212 00013</v>
          </cell>
          <cell r="B1529">
            <v>12</v>
          </cell>
          <cell r="C1529">
            <v>42325.54891203704</v>
          </cell>
          <cell r="D1529">
            <v>0.80980661558881617</v>
          </cell>
          <cell r="E1529">
            <v>0</v>
          </cell>
          <cell r="F1529">
            <v>0.19019338441118377</v>
          </cell>
          <cell r="G1529">
            <v>0</v>
          </cell>
        </row>
        <row r="1530">
          <cell r="A1530" t="str">
            <v>301 2014 10 1212 00003</v>
          </cell>
          <cell r="B1530">
            <v>17</v>
          </cell>
          <cell r="C1530">
            <v>41699.932129629633</v>
          </cell>
          <cell r="D1530">
            <v>1</v>
          </cell>
          <cell r="E1530">
            <v>0</v>
          </cell>
          <cell r="F1530">
            <v>0</v>
          </cell>
          <cell r="G1530">
            <v>0</v>
          </cell>
        </row>
        <row r="1531">
          <cell r="A1531" t="str">
            <v>501 2014 10 1211 00036</v>
          </cell>
          <cell r="B1531">
            <v>15</v>
          </cell>
          <cell r="C1531">
            <v>42206.41715277778</v>
          </cell>
          <cell r="D1531">
            <v>0.7142857142857143</v>
          </cell>
          <cell r="E1531">
            <v>0</v>
          </cell>
          <cell r="F1531">
            <v>0.2857142857142857</v>
          </cell>
          <cell r="G1531">
            <v>0</v>
          </cell>
        </row>
        <row r="1532">
          <cell r="A1532" t="str">
            <v>501 2014 10 1211 00022</v>
          </cell>
          <cell r="B1532">
            <v>16</v>
          </cell>
          <cell r="C1532">
            <v>41854.600393518522</v>
          </cell>
          <cell r="D1532">
            <v>1</v>
          </cell>
          <cell r="E1532">
            <v>0</v>
          </cell>
          <cell r="F1532">
            <v>0</v>
          </cell>
          <cell r="G1532">
            <v>0</v>
          </cell>
        </row>
        <row r="1533">
          <cell r="A1533" t="str">
            <v>501 2014 10 1211 00037</v>
          </cell>
          <cell r="B1533">
            <v>16</v>
          </cell>
          <cell r="C1533">
            <v>42163.432881944442</v>
          </cell>
          <cell r="D1533">
            <v>0.86206896551724133</v>
          </cell>
          <cell r="E1533">
            <v>0</v>
          </cell>
          <cell r="F1533">
            <v>0.13793103448275862</v>
          </cell>
          <cell r="G1533">
            <v>0</v>
          </cell>
        </row>
        <row r="1534">
          <cell r="A1534" t="str">
            <v>501 2015 11 1211 00003</v>
          </cell>
          <cell r="B1534">
            <v>18</v>
          </cell>
          <cell r="C1534">
            <v>41517.648287037038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A1535" t="str">
            <v>501 2014 10 1211 00003</v>
          </cell>
          <cell r="B1535">
            <v>3</v>
          </cell>
          <cell r="C1535">
            <v>41667.67523148148</v>
          </cell>
          <cell r="D1535">
            <v>1</v>
          </cell>
          <cell r="E1535">
            <v>0</v>
          </cell>
          <cell r="F1535">
            <v>0</v>
          </cell>
          <cell r="G1535">
            <v>0</v>
          </cell>
        </row>
        <row r="1536">
          <cell r="A1536" t="str">
            <v>501 2014 10 1211 00031</v>
          </cell>
          <cell r="B1536">
            <v>6</v>
          </cell>
          <cell r="C1536">
            <v>42085.601134259261</v>
          </cell>
          <cell r="D1536">
            <v>0.28799126332083136</v>
          </cell>
          <cell r="E1536">
            <v>0</v>
          </cell>
          <cell r="F1536">
            <v>0.71200873667916864</v>
          </cell>
          <cell r="G1536">
            <v>0</v>
          </cell>
        </row>
        <row r="1537">
          <cell r="A1537" t="str">
            <v>204 2013 10 1211 00001</v>
          </cell>
          <cell r="B1537">
            <v>17</v>
          </cell>
          <cell r="C1537">
            <v>41605.397337962961</v>
          </cell>
          <cell r="D1537">
            <v>5.8823529411764705E-2</v>
          </cell>
          <cell r="E1537">
            <v>0</v>
          </cell>
          <cell r="F1537">
            <v>0.94117647058823495</v>
          </cell>
          <cell r="G1537">
            <v>0</v>
          </cell>
        </row>
        <row r="1538">
          <cell r="A1538" t="str">
            <v>204 2015 13 1211 00035</v>
          </cell>
          <cell r="B1538">
            <v>17</v>
          </cell>
          <cell r="C1538">
            <v>42083.399548611109</v>
          </cell>
          <cell r="D1538">
            <v>8.4459459459459499E-3</v>
          </cell>
          <cell r="E1538">
            <v>0</v>
          </cell>
          <cell r="F1538">
            <v>7.0101351351351246E-2</v>
          </cell>
          <cell r="G1538">
            <v>0.92145270270270285</v>
          </cell>
        </row>
        <row r="1539">
          <cell r="A1539" t="str">
            <v>204 2012 10 1211 00014</v>
          </cell>
          <cell r="B1539">
            <v>26</v>
          </cell>
          <cell r="C1539">
            <v>41129.392210648148</v>
          </cell>
          <cell r="D1539">
            <v>5.8823999999999994E-2</v>
          </cell>
          <cell r="E1539">
            <v>0</v>
          </cell>
          <cell r="F1539">
            <v>0.94117600000000001</v>
          </cell>
          <cell r="G1539">
            <v>0</v>
          </cell>
        </row>
        <row r="1540">
          <cell r="A1540" t="str">
            <v>205 2011 10 1211 00002</v>
          </cell>
          <cell r="B1540">
            <v>2</v>
          </cell>
          <cell r="C1540">
            <v>41016.568923611114</v>
          </cell>
          <cell r="D1540">
            <v>5.5002025136064094E-2</v>
          </cell>
          <cell r="E1540">
            <v>0</v>
          </cell>
          <cell r="F1540">
            <v>0.94499797486393589</v>
          </cell>
          <cell r="G1540">
            <v>0</v>
          </cell>
        </row>
        <row r="1541">
          <cell r="A1541" t="str">
            <v>203 2014 10 1211 00004</v>
          </cell>
          <cell r="B1541">
            <v>146</v>
          </cell>
          <cell r="C1541">
            <v>42000.637638888889</v>
          </cell>
          <cell r="D1541">
            <v>5.5426939491429725E-2</v>
          </cell>
          <cell r="E1541">
            <v>0</v>
          </cell>
          <cell r="F1541">
            <v>0.94457306050857026</v>
          </cell>
          <cell r="G1541">
            <v>0</v>
          </cell>
        </row>
        <row r="1542">
          <cell r="A1542" t="str">
            <v>203 2008 10 1211 00005</v>
          </cell>
          <cell r="B1542">
            <v>147</v>
          </cell>
          <cell r="C1542">
            <v>39804.660914351851</v>
          </cell>
          <cell r="D1542">
            <v>7.4214000000000002E-2</v>
          </cell>
          <cell r="E1542">
            <v>9.2600000000000002E-2</v>
          </cell>
          <cell r="F1542">
            <v>0.83318599999999998</v>
          </cell>
          <cell r="G1542">
            <v>0</v>
          </cell>
        </row>
        <row r="1543">
          <cell r="A1543" t="str">
            <v>301 2013 10 1212 00018</v>
          </cell>
          <cell r="B1543">
            <v>24</v>
          </cell>
          <cell r="C1543">
            <v>41848.448553240742</v>
          </cell>
          <cell r="D1543">
            <v>1</v>
          </cell>
          <cell r="E1543">
            <v>0</v>
          </cell>
          <cell r="F1543">
            <v>0</v>
          </cell>
          <cell r="G1543">
            <v>0</v>
          </cell>
        </row>
        <row r="1544">
          <cell r="A1544" t="str">
            <v>301 2013 10 1212 00015</v>
          </cell>
          <cell r="B1544">
            <v>25</v>
          </cell>
          <cell r="C1544">
            <v>41855.177499999998</v>
          </cell>
          <cell r="D1544">
            <v>4.6843472555573515E-2</v>
          </cell>
          <cell r="E1544">
            <v>0</v>
          </cell>
          <cell r="F1544">
            <v>0.74949556088917624</v>
          </cell>
          <cell r="G1544">
            <v>0.20366096655525023</v>
          </cell>
        </row>
        <row r="1545">
          <cell r="A1545" t="str">
            <v>302 2014 12 1212 00016</v>
          </cell>
          <cell r="B1545">
            <v>17</v>
          </cell>
          <cell r="C1545">
            <v>41772.457789351851</v>
          </cell>
          <cell r="D1545">
            <v>1</v>
          </cell>
          <cell r="E1545">
            <v>0</v>
          </cell>
          <cell r="F1545">
            <v>0</v>
          </cell>
          <cell r="G1545">
            <v>0</v>
          </cell>
        </row>
        <row r="1546">
          <cell r="A1546" t="str">
            <v>301 2013 10 1212 00008</v>
          </cell>
          <cell r="B1546">
            <v>14</v>
          </cell>
          <cell r="C1546">
            <v>41690.61309027778</v>
          </cell>
          <cell r="D1546">
            <v>0.19230769230769232</v>
          </cell>
          <cell r="E1546">
            <v>0</v>
          </cell>
          <cell r="F1546">
            <v>0.80769230769230771</v>
          </cell>
          <cell r="G1546">
            <v>0</v>
          </cell>
        </row>
        <row r="1547">
          <cell r="A1547" t="str">
            <v>301 2012 10 1212 00017</v>
          </cell>
          <cell r="B1547">
            <v>19</v>
          </cell>
          <cell r="C1547">
            <v>41353.400555555556</v>
          </cell>
          <cell r="D1547">
            <v>0.43918989302066774</v>
          </cell>
          <cell r="E1547">
            <v>0</v>
          </cell>
          <cell r="F1547">
            <v>0.56081010697933231</v>
          </cell>
          <cell r="G1547">
            <v>0</v>
          </cell>
        </row>
        <row r="1548">
          <cell r="A1548" t="str">
            <v>301 2013 10 1212 00015</v>
          </cell>
          <cell r="B1548">
            <v>26</v>
          </cell>
          <cell r="C1548">
            <v>41847.466956018521</v>
          </cell>
          <cell r="D1548">
            <v>4.6843472555573515E-2</v>
          </cell>
          <cell r="E1548">
            <v>0</v>
          </cell>
          <cell r="F1548">
            <v>0.74949556088917624</v>
          </cell>
          <cell r="G1548">
            <v>0.20366096655525023</v>
          </cell>
        </row>
        <row r="1549">
          <cell r="A1549" t="str">
            <v>301 2013 10 1212 00015</v>
          </cell>
          <cell r="B1549">
            <v>27</v>
          </cell>
          <cell r="C1549">
            <v>41876.166817129626</v>
          </cell>
          <cell r="D1549">
            <v>4.6843472555573515E-2</v>
          </cell>
          <cell r="E1549">
            <v>0</v>
          </cell>
          <cell r="F1549">
            <v>0.74949556088917624</v>
          </cell>
          <cell r="G1549">
            <v>0.20366096655525023</v>
          </cell>
        </row>
        <row r="1550">
          <cell r="A1550" t="str">
            <v>301 2013 10 1212 00008</v>
          </cell>
          <cell r="B1550">
            <v>28</v>
          </cell>
          <cell r="C1550">
            <v>41463.000277777777</v>
          </cell>
          <cell r="D1550">
            <v>0.19230769230769232</v>
          </cell>
          <cell r="E1550">
            <v>0</v>
          </cell>
          <cell r="F1550">
            <v>0.80769230769230771</v>
          </cell>
          <cell r="G1550">
            <v>0</v>
          </cell>
        </row>
        <row r="1551">
          <cell r="A1551" t="str">
            <v>301 2014 10 1212 00010</v>
          </cell>
          <cell r="B1551">
            <v>33</v>
          </cell>
          <cell r="C1551">
            <v>41942.567361111112</v>
          </cell>
          <cell r="D1551">
            <v>0.48626325748145199</v>
          </cell>
          <cell r="E1551">
            <v>0</v>
          </cell>
          <cell r="F1551">
            <v>0.51373674251854806</v>
          </cell>
          <cell r="G1551">
            <v>0</v>
          </cell>
        </row>
        <row r="1552">
          <cell r="A1552" t="str">
            <v>301 2014 10 1212 00006</v>
          </cell>
          <cell r="B1552">
            <v>34</v>
          </cell>
          <cell r="C1552">
            <v>41970.585474537038</v>
          </cell>
          <cell r="D1552">
            <v>0.28141146517496196</v>
          </cell>
          <cell r="E1552">
            <v>0</v>
          </cell>
          <cell r="F1552">
            <v>0.71858853482503804</v>
          </cell>
          <cell r="G1552">
            <v>0</v>
          </cell>
        </row>
        <row r="1553">
          <cell r="A1553" t="str">
            <v>301 2012 11 1212 00013</v>
          </cell>
          <cell r="B1553">
            <v>55</v>
          </cell>
          <cell r="C1553">
            <v>41181.416296296295</v>
          </cell>
          <cell r="D1553">
            <v>5.28864431E-2</v>
          </cell>
          <cell r="E1553">
            <v>0</v>
          </cell>
          <cell r="F1553">
            <v>0.846183091</v>
          </cell>
          <cell r="G1553">
            <v>0.10093046589999999</v>
          </cell>
        </row>
        <row r="1554">
          <cell r="A1554" t="str">
            <v>210 2015 10 1212 00004</v>
          </cell>
          <cell r="B1554">
            <v>22</v>
          </cell>
          <cell r="C1554">
            <v>42280.5</v>
          </cell>
          <cell r="D1554">
            <v>9.3290220796516332E-2</v>
          </cell>
          <cell r="E1554">
            <v>0</v>
          </cell>
          <cell r="F1554">
            <v>0.90670977920348361</v>
          </cell>
          <cell r="G1554">
            <v>0</v>
          </cell>
        </row>
        <row r="1555">
          <cell r="A1555" t="str">
            <v>203 2014 10 1211 00005</v>
          </cell>
          <cell r="B1555">
            <v>147</v>
          </cell>
          <cell r="C1555">
            <v>41988.397164351853</v>
          </cell>
          <cell r="D1555">
            <v>5.4945054945054951E-2</v>
          </cell>
          <cell r="E1555">
            <v>0</v>
          </cell>
          <cell r="F1555">
            <v>0.94505494505494503</v>
          </cell>
          <cell r="G1555">
            <v>0</v>
          </cell>
        </row>
        <row r="1556">
          <cell r="A1556" t="str">
            <v>203 2014 10 1211 00005</v>
          </cell>
          <cell r="B1556">
            <v>148</v>
          </cell>
          <cell r="C1556">
            <v>41998.388310185182</v>
          </cell>
          <cell r="D1556">
            <v>5.4945054945054951E-2</v>
          </cell>
          <cell r="E1556">
            <v>0</v>
          </cell>
          <cell r="F1556">
            <v>0.94505494505494503</v>
          </cell>
          <cell r="G1556">
            <v>0</v>
          </cell>
        </row>
        <row r="1557">
          <cell r="A1557" t="str">
            <v>203 2014 10 1211 00005</v>
          </cell>
          <cell r="B1557">
            <v>149</v>
          </cell>
          <cell r="C1557">
            <v>42004.617986111109</v>
          </cell>
          <cell r="D1557">
            <v>5.4945054945054951E-2</v>
          </cell>
          <cell r="E1557">
            <v>0</v>
          </cell>
          <cell r="F1557">
            <v>0.94505494505494503</v>
          </cell>
          <cell r="G1557">
            <v>0</v>
          </cell>
        </row>
        <row r="1558">
          <cell r="A1558" t="str">
            <v>204 2012 10 1211 00016</v>
          </cell>
          <cell r="B1558">
            <v>8</v>
          </cell>
          <cell r="C1558">
            <v>41334.374479166669</v>
          </cell>
          <cell r="D1558">
            <v>1.6128605630431711E-2</v>
          </cell>
          <cell r="E1558">
            <v>0</v>
          </cell>
          <cell r="F1558">
            <v>0.18387139436956823</v>
          </cell>
          <cell r="G1558">
            <v>0.8</v>
          </cell>
        </row>
        <row r="1559">
          <cell r="A1559" t="str">
            <v>204 2014 10 1211 00009</v>
          </cell>
          <cell r="B1559">
            <v>8</v>
          </cell>
          <cell r="C1559">
            <v>41851.462777777779</v>
          </cell>
          <cell r="D1559">
            <v>0.03</v>
          </cell>
          <cell r="E1559">
            <v>0</v>
          </cell>
          <cell r="F1559">
            <v>0</v>
          </cell>
          <cell r="G1559">
            <v>0.97</v>
          </cell>
        </row>
        <row r="1560">
          <cell r="A1560" t="str">
            <v>204 2013 10 1211 00001</v>
          </cell>
          <cell r="B1560">
            <v>15</v>
          </cell>
          <cell r="C1560">
            <v>41528.386597222219</v>
          </cell>
          <cell r="D1560">
            <v>5.8823529411764705E-2</v>
          </cell>
          <cell r="E1560">
            <v>0</v>
          </cell>
          <cell r="F1560">
            <v>0.94117647058823495</v>
          </cell>
          <cell r="G1560">
            <v>0</v>
          </cell>
        </row>
        <row r="1561">
          <cell r="A1561" t="str">
            <v>204 2015 10 1211 00009</v>
          </cell>
          <cell r="B1561">
            <v>15</v>
          </cell>
          <cell r="C1561">
            <v>42245.619849537034</v>
          </cell>
          <cell r="D1561">
            <v>0.03</v>
          </cell>
          <cell r="E1561">
            <v>0</v>
          </cell>
          <cell r="F1561">
            <v>0</v>
          </cell>
          <cell r="G1561">
            <v>0.97</v>
          </cell>
        </row>
        <row r="1562">
          <cell r="A1562" t="str">
            <v>204 2015 10 1211 00010</v>
          </cell>
          <cell r="B1562">
            <v>23</v>
          </cell>
          <cell r="C1562">
            <v>42365.611226851855</v>
          </cell>
          <cell r="D1562">
            <v>7.6530612244897957E-3</v>
          </cell>
          <cell r="E1562">
            <v>0</v>
          </cell>
          <cell r="F1562">
            <v>7.6530612244897961E-2</v>
          </cell>
          <cell r="G1562">
            <v>0.91581632653061218</v>
          </cell>
        </row>
        <row r="1563">
          <cell r="A1563" t="str">
            <v>204 2009 10 1211 00012</v>
          </cell>
          <cell r="B1563">
            <v>58</v>
          </cell>
          <cell r="C1563">
            <v>40149</v>
          </cell>
          <cell r="D1563">
            <v>9.2592592592592501E-3</v>
          </cell>
          <cell r="E1563">
            <v>0</v>
          </cell>
          <cell r="F1563">
            <v>8.101851851851849E-2</v>
          </cell>
          <cell r="G1563">
            <v>0.90972222222222221</v>
          </cell>
        </row>
        <row r="1564">
          <cell r="A1564" t="str">
            <v>203 2007 10 1211 00009</v>
          </cell>
          <cell r="B1564">
            <v>169</v>
          </cell>
          <cell r="C1564">
            <v>39412</v>
          </cell>
          <cell r="D1564">
            <v>0.94330000000000003</v>
          </cell>
          <cell r="E1564">
            <v>2.8000000000000004E-3</v>
          </cell>
          <cell r="F1564">
            <v>5.3899999999999997E-2</v>
          </cell>
          <cell r="G1564">
            <v>0</v>
          </cell>
        </row>
        <row r="1565">
          <cell r="A1565" t="str">
            <v>204 2009 10 1211 00008</v>
          </cell>
          <cell r="B1565">
            <v>1</v>
          </cell>
          <cell r="C1565">
            <v>40219</v>
          </cell>
          <cell r="D1565">
            <v>2.6853417127351047E-2</v>
          </cell>
          <cell r="E1565">
            <v>0</v>
          </cell>
          <cell r="F1565">
            <v>0.17583192458538399</v>
          </cell>
          <cell r="G1565">
            <v>0.797314658287265</v>
          </cell>
        </row>
        <row r="1566">
          <cell r="A1566" t="str">
            <v>204 2013 10 1211 00012</v>
          </cell>
          <cell r="B1566">
            <v>12</v>
          </cell>
          <cell r="C1566">
            <v>41479.478587962964</v>
          </cell>
          <cell r="D1566">
            <v>8.4459459459459499E-3</v>
          </cell>
          <cell r="E1566">
            <v>0</v>
          </cell>
          <cell r="F1566">
            <v>7.0101351351351246E-2</v>
          </cell>
          <cell r="G1566">
            <v>0.92145270270270285</v>
          </cell>
        </row>
        <row r="1567">
          <cell r="A1567" t="str">
            <v>204 2014 13 1211 00043</v>
          </cell>
          <cell r="B1567">
            <v>12</v>
          </cell>
          <cell r="C1567">
            <v>41966.460173611114</v>
          </cell>
          <cell r="D1567">
            <v>5.4945054945054951E-2</v>
          </cell>
          <cell r="E1567">
            <v>0</v>
          </cell>
          <cell r="F1567">
            <v>0.94505494505494503</v>
          </cell>
          <cell r="G1567">
            <v>0</v>
          </cell>
        </row>
        <row r="1568">
          <cell r="A1568" t="str">
            <v>210 2015 10 1212 00004</v>
          </cell>
          <cell r="B1568">
            <v>23</v>
          </cell>
          <cell r="C1568">
            <v>42254.472546296296</v>
          </cell>
          <cell r="D1568">
            <v>9.3290220796516332E-2</v>
          </cell>
          <cell r="E1568">
            <v>0</v>
          </cell>
          <cell r="F1568">
            <v>0.90670977920348361</v>
          </cell>
          <cell r="G1568">
            <v>0</v>
          </cell>
        </row>
        <row r="1569">
          <cell r="A1569" t="str">
            <v>210 2015 10 1212 00004</v>
          </cell>
          <cell r="B1569">
            <v>24</v>
          </cell>
          <cell r="C1569">
            <v>42294.498657407406</v>
          </cell>
          <cell r="D1569">
            <v>9.3290220796516332E-2</v>
          </cell>
          <cell r="E1569">
            <v>0</v>
          </cell>
          <cell r="F1569">
            <v>0.90670977920348361</v>
          </cell>
          <cell r="G1569">
            <v>0</v>
          </cell>
        </row>
        <row r="1570">
          <cell r="A1570" t="str">
            <v>210 2015 10 1212 00004</v>
          </cell>
          <cell r="B1570">
            <v>25</v>
          </cell>
          <cell r="C1570">
            <v>42295.333587962959</v>
          </cell>
          <cell r="D1570">
            <v>9.3290220796516332E-2</v>
          </cell>
          <cell r="E1570">
            <v>0</v>
          </cell>
          <cell r="F1570">
            <v>0.90670977920348361</v>
          </cell>
          <cell r="G1570">
            <v>0</v>
          </cell>
        </row>
        <row r="1571">
          <cell r="A1571" t="str">
            <v>302 2015 10 1212 00004</v>
          </cell>
          <cell r="B1571">
            <v>2</v>
          </cell>
          <cell r="C1571">
            <v>42214.457407407404</v>
          </cell>
          <cell r="D1571">
            <v>1</v>
          </cell>
          <cell r="E1571">
            <v>0</v>
          </cell>
          <cell r="F1571">
            <v>0</v>
          </cell>
          <cell r="G1571">
            <v>0</v>
          </cell>
        </row>
        <row r="1572">
          <cell r="A1572" t="str">
            <v>302 2014 12 1212 00016</v>
          </cell>
          <cell r="B1572">
            <v>15</v>
          </cell>
          <cell r="C1572">
            <v>41740.992395833331</v>
          </cell>
          <cell r="D1572">
            <v>1</v>
          </cell>
          <cell r="E1572">
            <v>0</v>
          </cell>
          <cell r="F1572">
            <v>0</v>
          </cell>
          <cell r="G1572">
            <v>0</v>
          </cell>
        </row>
        <row r="1573">
          <cell r="A1573" t="str">
            <v>302 2014 12 1212 00016</v>
          </cell>
          <cell r="B1573">
            <v>16</v>
          </cell>
          <cell r="C1573">
            <v>41743.454837962963</v>
          </cell>
          <cell r="D1573">
            <v>1</v>
          </cell>
          <cell r="E1573">
            <v>0</v>
          </cell>
          <cell r="F1573">
            <v>0</v>
          </cell>
          <cell r="G1573">
            <v>0</v>
          </cell>
        </row>
        <row r="1574">
          <cell r="A1574" t="str">
            <v>401 2015 10 1212 00002</v>
          </cell>
          <cell r="B1574">
            <v>1</v>
          </cell>
          <cell r="C1574">
            <v>42075.166666666664</v>
          </cell>
          <cell r="D1574">
            <v>0.51183713997750546</v>
          </cell>
          <cell r="E1574">
            <v>0</v>
          </cell>
          <cell r="F1574">
            <v>0.48816286002249454</v>
          </cell>
          <cell r="G1574">
            <v>0</v>
          </cell>
        </row>
        <row r="1575">
          <cell r="A1575" t="str">
            <v>210 2015 10 1212 00004</v>
          </cell>
          <cell r="B1575">
            <v>26</v>
          </cell>
          <cell r="C1575">
            <v>42294.62641203704</v>
          </cell>
          <cell r="D1575">
            <v>9.3290220796516332E-2</v>
          </cell>
          <cell r="E1575">
            <v>0</v>
          </cell>
          <cell r="F1575">
            <v>0.90670977920348361</v>
          </cell>
          <cell r="G1575">
            <v>0</v>
          </cell>
        </row>
        <row r="1576">
          <cell r="A1576" t="str">
            <v>201 2014 10 1212 00006</v>
          </cell>
          <cell r="B1576">
            <v>4</v>
          </cell>
          <cell r="C1576">
            <v>41644.592997685184</v>
          </cell>
          <cell r="D1576">
            <v>6.6666666666666666E-2</v>
          </cell>
          <cell r="E1576">
            <v>0</v>
          </cell>
          <cell r="F1576">
            <v>0.93333333333333335</v>
          </cell>
          <cell r="G1576">
            <v>0</v>
          </cell>
        </row>
        <row r="1577">
          <cell r="A1577" t="str">
            <v>203 2015 10 1212 00005</v>
          </cell>
          <cell r="B1577">
            <v>14</v>
          </cell>
          <cell r="C1577">
            <v>42093.569837962961</v>
          </cell>
          <cell r="D1577">
            <v>5.9565902215354301E-2</v>
          </cell>
          <cell r="E1577">
            <v>0</v>
          </cell>
          <cell r="F1577">
            <v>0.83392263101496</v>
          </cell>
          <cell r="G1577">
            <v>0.1065114667696857</v>
          </cell>
        </row>
        <row r="1578">
          <cell r="A1578" t="str">
            <v>203 2015 10 1212 00005</v>
          </cell>
          <cell r="B1578">
            <v>31</v>
          </cell>
          <cell r="C1578">
            <v>42212.446793981479</v>
          </cell>
          <cell r="D1578">
            <v>5.9565902215354301E-2</v>
          </cell>
          <cell r="E1578">
            <v>0</v>
          </cell>
          <cell r="F1578">
            <v>0.83392263101496</v>
          </cell>
          <cell r="G1578">
            <v>0.1065114667696857</v>
          </cell>
        </row>
        <row r="1579">
          <cell r="A1579" t="str">
            <v>203 2014 11 1212 00001</v>
          </cell>
          <cell r="B1579">
            <v>54</v>
          </cell>
          <cell r="C1579">
            <v>41779.409259259257</v>
          </cell>
          <cell r="D1579">
            <v>0.41683201072564119</v>
          </cell>
          <cell r="E1579">
            <v>0</v>
          </cell>
          <cell r="F1579">
            <v>0.58316798927435876</v>
          </cell>
          <cell r="G1579">
            <v>0</v>
          </cell>
        </row>
        <row r="1580">
          <cell r="A1580" t="str">
            <v>204 2015 10 1211 00010</v>
          </cell>
          <cell r="B1580">
            <v>12</v>
          </cell>
          <cell r="C1580">
            <v>42255.488946759258</v>
          </cell>
          <cell r="D1580">
            <v>7.6530612244897957E-3</v>
          </cell>
          <cell r="E1580">
            <v>0</v>
          </cell>
          <cell r="F1580">
            <v>7.6530612244897961E-2</v>
          </cell>
          <cell r="G1580">
            <v>0.91581632653061218</v>
          </cell>
        </row>
        <row r="1581">
          <cell r="A1581" t="str">
            <v>204 2013 10 1211 00022</v>
          </cell>
          <cell r="B1581">
            <v>19</v>
          </cell>
          <cell r="C1581">
            <v>41602.668946759259</v>
          </cell>
          <cell r="D1581">
            <v>3.1250000000000002E-3</v>
          </cell>
          <cell r="E1581">
            <v>0</v>
          </cell>
          <cell r="F1581">
            <v>0.04</v>
          </cell>
          <cell r="G1581">
            <v>0.95687499999999992</v>
          </cell>
        </row>
        <row r="1582">
          <cell r="A1582" t="str">
            <v>204 2015 13 1211 00035</v>
          </cell>
          <cell r="B1582">
            <v>19</v>
          </cell>
          <cell r="C1582">
            <v>42122.416574074072</v>
          </cell>
          <cell r="D1582">
            <v>8.4459459459459499E-3</v>
          </cell>
          <cell r="E1582">
            <v>0</v>
          </cell>
          <cell r="F1582">
            <v>7.0101351351351246E-2</v>
          </cell>
          <cell r="G1582">
            <v>0.92145270270270285</v>
          </cell>
        </row>
        <row r="1583">
          <cell r="A1583" t="str">
            <v>502 2012 10 1211 00008</v>
          </cell>
          <cell r="B1583">
            <v>1</v>
          </cell>
          <cell r="C1583">
            <v>41427</v>
          </cell>
          <cell r="D1583">
            <v>0.14905974796491736</v>
          </cell>
          <cell r="E1583">
            <v>0</v>
          </cell>
          <cell r="F1583">
            <v>0.85094025203508261</v>
          </cell>
          <cell r="G1583">
            <v>0</v>
          </cell>
        </row>
        <row r="1584">
          <cell r="A1584" t="str">
            <v>502 2013 10 1211 00004</v>
          </cell>
          <cell r="B1584">
            <v>2</v>
          </cell>
          <cell r="C1584">
            <v>41518</v>
          </cell>
          <cell r="D1584">
            <v>0.14905974796491736</v>
          </cell>
          <cell r="E1584">
            <v>0</v>
          </cell>
          <cell r="F1584">
            <v>0.85094025203508261</v>
          </cell>
          <cell r="G1584">
            <v>0</v>
          </cell>
        </row>
        <row r="1585">
          <cell r="A1585" t="str">
            <v>502 2013 10 1211 00004</v>
          </cell>
          <cell r="B1585">
            <v>3</v>
          </cell>
          <cell r="C1585">
            <v>41552</v>
          </cell>
          <cell r="D1585">
            <v>0.14905974796491736</v>
          </cell>
          <cell r="E1585">
            <v>0</v>
          </cell>
          <cell r="F1585">
            <v>0.85094025203508261</v>
          </cell>
          <cell r="G1585">
            <v>0</v>
          </cell>
        </row>
        <row r="1586">
          <cell r="A1586" t="str">
            <v>208 2015 10 1211 00001</v>
          </cell>
          <cell r="B1586">
            <v>1</v>
          </cell>
          <cell r="C1586">
            <v>42031.635416666664</v>
          </cell>
          <cell r="D1586">
            <v>0.28167066690320919</v>
          </cell>
          <cell r="E1586">
            <v>0</v>
          </cell>
          <cell r="F1586">
            <v>0.71832933309679081</v>
          </cell>
          <cell r="G1586">
            <v>0</v>
          </cell>
        </row>
        <row r="1587">
          <cell r="A1587" t="str">
            <v>208 2014 10 1211 00001</v>
          </cell>
          <cell r="B1587">
            <v>4</v>
          </cell>
          <cell r="C1587">
            <v>41694</v>
          </cell>
          <cell r="D1587">
            <v>0.28167066700793586</v>
          </cell>
          <cell r="E1587">
            <v>0</v>
          </cell>
          <cell r="F1587">
            <v>0.71832933299206414</v>
          </cell>
          <cell r="G1587">
            <v>0</v>
          </cell>
        </row>
        <row r="1588">
          <cell r="A1588" t="str">
            <v>208 2015 10 1211 00001</v>
          </cell>
          <cell r="B1588">
            <v>4</v>
          </cell>
          <cell r="C1588">
            <v>42172</v>
          </cell>
          <cell r="D1588">
            <v>0.28167066690320919</v>
          </cell>
          <cell r="E1588">
            <v>0</v>
          </cell>
          <cell r="F1588">
            <v>0.71832933309679081</v>
          </cell>
          <cell r="G1588">
            <v>0</v>
          </cell>
        </row>
        <row r="1589">
          <cell r="A1589" t="str">
            <v>208 2014 10 1211 00001</v>
          </cell>
          <cell r="B1589">
            <v>5</v>
          </cell>
          <cell r="C1589">
            <v>41728.639560185184</v>
          </cell>
          <cell r="D1589">
            <v>0.28167066700793586</v>
          </cell>
          <cell r="E1589">
            <v>0</v>
          </cell>
          <cell r="F1589">
            <v>0.71832933299206414</v>
          </cell>
          <cell r="G1589">
            <v>0</v>
          </cell>
        </row>
        <row r="1590">
          <cell r="A1590" t="str">
            <v>208 2015 10 1211 00001</v>
          </cell>
          <cell r="B1590">
            <v>5</v>
          </cell>
          <cell r="C1590">
            <v>42165</v>
          </cell>
          <cell r="D1590">
            <v>0.28167066690320919</v>
          </cell>
          <cell r="E1590">
            <v>0</v>
          </cell>
          <cell r="F1590">
            <v>0.71832933309679081</v>
          </cell>
          <cell r="G1590">
            <v>0</v>
          </cell>
        </row>
        <row r="1591">
          <cell r="A1591" t="str">
            <v>503 2014 10 1211 00004</v>
          </cell>
          <cell r="B1591">
            <v>57</v>
          </cell>
          <cell r="C1591">
            <v>41988.792349537034</v>
          </cell>
          <cell r="D1591">
            <v>0.23433295795786754</v>
          </cell>
          <cell r="E1591">
            <v>0</v>
          </cell>
          <cell r="F1591">
            <v>0.76566704204213243</v>
          </cell>
          <cell r="G1591">
            <v>0</v>
          </cell>
        </row>
        <row r="1592">
          <cell r="A1592" t="str">
            <v>503 2015 10 1211 00021</v>
          </cell>
          <cell r="B1592">
            <v>57</v>
          </cell>
          <cell r="C1592">
            <v>42290.393946759257</v>
          </cell>
          <cell r="D1592">
            <v>0.42735042735042733</v>
          </cell>
          <cell r="E1592">
            <v>0</v>
          </cell>
          <cell r="F1592">
            <v>0.57264957264957261</v>
          </cell>
          <cell r="G1592">
            <v>0</v>
          </cell>
        </row>
        <row r="1593">
          <cell r="A1593" t="str">
            <v>203 2015 10 1212 00005</v>
          </cell>
          <cell r="B1593">
            <v>54</v>
          </cell>
          <cell r="C1593">
            <v>42315.581504629627</v>
          </cell>
          <cell r="D1593">
            <v>5.9565902215354301E-2</v>
          </cell>
          <cell r="E1593">
            <v>0</v>
          </cell>
          <cell r="F1593">
            <v>0.83392263101496</v>
          </cell>
          <cell r="G1593">
            <v>0.1065114667696857</v>
          </cell>
        </row>
        <row r="1594">
          <cell r="A1594" t="str">
            <v>203 2013 10 1212 00012</v>
          </cell>
          <cell r="B1594">
            <v>55</v>
          </cell>
          <cell r="C1594">
            <v>41603.554282407407</v>
          </cell>
          <cell r="D1594">
            <v>0.23652407091823241</v>
          </cell>
          <cell r="E1594">
            <v>0</v>
          </cell>
          <cell r="F1594">
            <v>0.76347592908176765</v>
          </cell>
          <cell r="G1594">
            <v>0</v>
          </cell>
        </row>
        <row r="1595">
          <cell r="A1595" t="str">
            <v>203 2014 10 1212 00004</v>
          </cell>
          <cell r="B1595">
            <v>80</v>
          </cell>
          <cell r="C1595">
            <v>41852.559386574074</v>
          </cell>
          <cell r="D1595">
            <v>1</v>
          </cell>
          <cell r="E1595">
            <v>0</v>
          </cell>
          <cell r="F1595">
            <v>0</v>
          </cell>
          <cell r="G1595">
            <v>0</v>
          </cell>
        </row>
        <row r="1596">
          <cell r="A1596" t="str">
            <v>203 2014 10 1212 00002</v>
          </cell>
          <cell r="B1596">
            <v>81</v>
          </cell>
          <cell r="C1596">
            <v>41858.613483796296</v>
          </cell>
          <cell r="D1596">
            <v>6.9160007392485526E-2</v>
          </cell>
          <cell r="E1596">
            <v>0</v>
          </cell>
          <cell r="F1596">
            <v>0.93083999260751449</v>
          </cell>
          <cell r="G1596">
            <v>0</v>
          </cell>
        </row>
        <row r="1597">
          <cell r="A1597" t="str">
            <v>203 2014 10 1212 00009</v>
          </cell>
          <cell r="B1597">
            <v>119</v>
          </cell>
          <cell r="C1597">
            <v>41984.542488425926</v>
          </cell>
          <cell r="D1597">
            <v>5.9565902215354273E-2</v>
          </cell>
          <cell r="E1597">
            <v>0</v>
          </cell>
          <cell r="F1597">
            <v>0.83392263101495978</v>
          </cell>
          <cell r="G1597">
            <v>0.10651146676968593</v>
          </cell>
        </row>
        <row r="1598">
          <cell r="A1598" t="str">
            <v>203 2014 10 1212 00009</v>
          </cell>
          <cell r="B1598">
            <v>120</v>
          </cell>
          <cell r="C1598">
            <v>41989.396238425928</v>
          </cell>
          <cell r="D1598">
            <v>5.9565902215354273E-2</v>
          </cell>
          <cell r="E1598">
            <v>0</v>
          </cell>
          <cell r="F1598">
            <v>0.83392263101495978</v>
          </cell>
          <cell r="G1598">
            <v>0.10651146676968593</v>
          </cell>
        </row>
        <row r="1599">
          <cell r="A1599" t="str">
            <v>209 2014 10 1212 00009</v>
          </cell>
          <cell r="B1599">
            <v>1</v>
          </cell>
          <cell r="C1599">
            <v>41914.916666666664</v>
          </cell>
          <cell r="D1599">
            <v>1</v>
          </cell>
          <cell r="E1599">
            <v>0</v>
          </cell>
          <cell r="F1599">
            <v>0</v>
          </cell>
          <cell r="G1599">
            <v>0</v>
          </cell>
        </row>
        <row r="1600">
          <cell r="A1600" t="str">
            <v>209 2015 10 1212 00001</v>
          </cell>
          <cell r="B1600">
            <v>1</v>
          </cell>
          <cell r="C1600">
            <v>42080.573275462964</v>
          </cell>
          <cell r="D1600">
            <v>5.4945054945054937E-2</v>
          </cell>
          <cell r="E1600">
            <v>0</v>
          </cell>
          <cell r="F1600">
            <v>0.94505494505494503</v>
          </cell>
          <cell r="G1600">
            <v>0</v>
          </cell>
        </row>
        <row r="1601">
          <cell r="A1601" t="str">
            <v>209 2014 10 1212 00006</v>
          </cell>
          <cell r="B1601">
            <v>2</v>
          </cell>
          <cell r="C1601">
            <v>41914.578703703701</v>
          </cell>
          <cell r="D1601">
            <v>5.8823529411764705E-2</v>
          </cell>
          <cell r="E1601">
            <v>0</v>
          </cell>
          <cell r="F1601">
            <v>0.94117647058823528</v>
          </cell>
          <cell r="G1601">
            <v>0</v>
          </cell>
        </row>
        <row r="1602">
          <cell r="A1602" t="str">
            <v>209 2015 10 1212 00001</v>
          </cell>
          <cell r="B1602">
            <v>2</v>
          </cell>
          <cell r="C1602">
            <v>42113.416666666664</v>
          </cell>
          <cell r="D1602">
            <v>5.4945054945054937E-2</v>
          </cell>
          <cell r="E1602">
            <v>0</v>
          </cell>
          <cell r="F1602">
            <v>0.94505494505494503</v>
          </cell>
          <cell r="G1602">
            <v>0</v>
          </cell>
        </row>
        <row r="1603">
          <cell r="A1603" t="str">
            <v>203 2015 11 1212 00001</v>
          </cell>
          <cell r="B1603">
            <v>63</v>
          </cell>
          <cell r="C1603">
            <v>42361.333599537036</v>
          </cell>
          <cell r="D1603">
            <v>0.26254933329540303</v>
          </cell>
          <cell r="E1603">
            <v>0</v>
          </cell>
          <cell r="F1603">
            <v>0.73745066670459702</v>
          </cell>
          <cell r="G1603">
            <v>0</v>
          </cell>
        </row>
        <row r="1604">
          <cell r="A1604" t="str">
            <v>203 2014 10 1212 00002</v>
          </cell>
          <cell r="B1604">
            <v>64</v>
          </cell>
          <cell r="C1604">
            <v>41809.584722222222</v>
          </cell>
          <cell r="D1604">
            <v>6.9160007392485526E-2</v>
          </cell>
          <cell r="E1604">
            <v>0</v>
          </cell>
          <cell r="F1604">
            <v>0.93083999260751449</v>
          </cell>
          <cell r="G1604">
            <v>0</v>
          </cell>
        </row>
        <row r="1605">
          <cell r="A1605" t="str">
            <v>203 2014 10 1212 00009</v>
          </cell>
          <cell r="B1605">
            <v>94</v>
          </cell>
          <cell r="C1605">
            <v>41898.601377314815</v>
          </cell>
          <cell r="D1605">
            <v>5.9565902215354273E-2</v>
          </cell>
          <cell r="E1605">
            <v>0</v>
          </cell>
          <cell r="F1605">
            <v>0.83392263101495978</v>
          </cell>
          <cell r="G1605">
            <v>0.10651146676968593</v>
          </cell>
        </row>
        <row r="1606">
          <cell r="A1606" t="str">
            <v>203 2014 10 1212 00009</v>
          </cell>
          <cell r="B1606">
            <v>125</v>
          </cell>
          <cell r="C1606">
            <v>41974.551423611112</v>
          </cell>
          <cell r="D1606">
            <v>5.9565902215354273E-2</v>
          </cell>
          <cell r="E1606">
            <v>0</v>
          </cell>
          <cell r="F1606">
            <v>0.83392263101495978</v>
          </cell>
          <cell r="G1606">
            <v>0.10651146676968593</v>
          </cell>
        </row>
        <row r="1607">
          <cell r="A1607" t="str">
            <v>205 2015 10 1212 00009</v>
          </cell>
          <cell r="B1607">
            <v>9</v>
          </cell>
          <cell r="C1607">
            <v>42340.431168981479</v>
          </cell>
          <cell r="D1607">
            <v>1</v>
          </cell>
          <cell r="E1607">
            <v>0</v>
          </cell>
          <cell r="F1607">
            <v>0</v>
          </cell>
          <cell r="G1607">
            <v>0</v>
          </cell>
        </row>
        <row r="1608">
          <cell r="A1608" t="str">
            <v>206 2014 10 1212 00008</v>
          </cell>
          <cell r="B1608">
            <v>2</v>
          </cell>
          <cell r="C1608">
            <v>41744.605497685188</v>
          </cell>
          <cell r="D1608">
            <v>6.3619837007199087E-2</v>
          </cell>
          <cell r="E1608">
            <v>0</v>
          </cell>
          <cell r="F1608">
            <v>0.89067771810078722</v>
          </cell>
          <cell r="G1608">
            <v>4.5702444892013694E-2</v>
          </cell>
        </row>
        <row r="1609">
          <cell r="A1609" t="str">
            <v>206 2014 10 1212 00015</v>
          </cell>
          <cell r="B1609">
            <v>2</v>
          </cell>
          <cell r="C1609">
            <v>42054</v>
          </cell>
          <cell r="D1609">
            <v>9.6899224806201556E-2</v>
          </cell>
          <cell r="E1609">
            <v>0</v>
          </cell>
          <cell r="F1609">
            <v>0.9031007751937985</v>
          </cell>
          <cell r="G1609">
            <v>0</v>
          </cell>
        </row>
        <row r="1610">
          <cell r="A1610" t="str">
            <v>206 2014 10 1212 00001</v>
          </cell>
          <cell r="B1610">
            <v>8</v>
          </cell>
          <cell r="C1610">
            <v>41969.083333333336</v>
          </cell>
          <cell r="D1610">
            <v>0.1457725947521866</v>
          </cell>
          <cell r="E1610">
            <v>0</v>
          </cell>
          <cell r="F1610">
            <v>0.85422740524781338</v>
          </cell>
          <cell r="G1610">
            <v>0</v>
          </cell>
        </row>
        <row r="1611">
          <cell r="A1611" t="str">
            <v>206 2014 10 1212 00021</v>
          </cell>
          <cell r="B1611">
            <v>9</v>
          </cell>
          <cell r="C1611">
            <v>41972</v>
          </cell>
          <cell r="D1611">
            <v>1</v>
          </cell>
          <cell r="E1611">
            <v>0</v>
          </cell>
          <cell r="F1611">
            <v>0</v>
          </cell>
          <cell r="G1611">
            <v>0</v>
          </cell>
        </row>
        <row r="1612">
          <cell r="A1612" t="str">
            <v>304 2014 12 1212 00003</v>
          </cell>
          <cell r="B1612">
            <v>7</v>
          </cell>
          <cell r="C1612">
            <v>41776.469652777778</v>
          </cell>
          <cell r="D1612">
            <v>1</v>
          </cell>
          <cell r="E1612">
            <v>0</v>
          </cell>
          <cell r="F1612">
            <v>0</v>
          </cell>
          <cell r="G1612">
            <v>0</v>
          </cell>
        </row>
        <row r="1613">
          <cell r="A1613" t="str">
            <v>304 2014 10 1212 00007</v>
          </cell>
          <cell r="B1613">
            <v>9</v>
          </cell>
          <cell r="C1613">
            <v>41870.640520833331</v>
          </cell>
          <cell r="D1613">
            <v>1</v>
          </cell>
          <cell r="E1613">
            <v>0</v>
          </cell>
          <cell r="F1613">
            <v>0</v>
          </cell>
          <cell r="G1613">
            <v>0</v>
          </cell>
        </row>
        <row r="1614">
          <cell r="A1614" t="str">
            <v>304 2014 10 1212 00001</v>
          </cell>
          <cell r="B1614">
            <v>10</v>
          </cell>
          <cell r="C1614">
            <v>41997.478750000002</v>
          </cell>
          <cell r="D1614">
            <v>1</v>
          </cell>
          <cell r="E1614">
            <v>0</v>
          </cell>
          <cell r="F1614">
            <v>0</v>
          </cell>
          <cell r="G1614">
            <v>0</v>
          </cell>
        </row>
        <row r="1615">
          <cell r="A1615" t="str">
            <v>504 2014 10 1212 00002</v>
          </cell>
          <cell r="B1615">
            <v>1</v>
          </cell>
          <cell r="C1615">
            <v>41884.5625</v>
          </cell>
          <cell r="D1615">
            <v>0.48780487804878048</v>
          </cell>
          <cell r="E1615">
            <v>0</v>
          </cell>
          <cell r="F1615">
            <v>0.51219512195121952</v>
          </cell>
          <cell r="G1615">
            <v>0</v>
          </cell>
        </row>
        <row r="1616">
          <cell r="A1616" t="str">
            <v>505 2015 10 1211 00004</v>
          </cell>
          <cell r="B1616">
            <v>1</v>
          </cell>
          <cell r="C1616">
            <v>42043</v>
          </cell>
          <cell r="D1616">
            <v>1</v>
          </cell>
          <cell r="E1616">
            <v>0</v>
          </cell>
          <cell r="F1616">
            <v>0</v>
          </cell>
          <cell r="G1616">
            <v>0</v>
          </cell>
        </row>
        <row r="1617">
          <cell r="A1617" t="str">
            <v>505 2015 10 1211 00001</v>
          </cell>
          <cell r="B1617">
            <v>5</v>
          </cell>
          <cell r="C1617">
            <v>42260.621921296297</v>
          </cell>
          <cell r="D1617">
            <v>1</v>
          </cell>
          <cell r="E1617">
            <v>0</v>
          </cell>
          <cell r="F1617">
            <v>0</v>
          </cell>
          <cell r="G1617">
            <v>0</v>
          </cell>
        </row>
        <row r="1618">
          <cell r="A1618" t="str">
            <v>505 2014 10 1211 00020</v>
          </cell>
          <cell r="B1618">
            <v>39</v>
          </cell>
          <cell r="C1618">
            <v>41756.558356481481</v>
          </cell>
          <cell r="D1618">
            <v>0.28486827155001443</v>
          </cell>
          <cell r="E1618">
            <v>0</v>
          </cell>
          <cell r="F1618">
            <v>0.71513172844998563</v>
          </cell>
          <cell r="G1618">
            <v>0</v>
          </cell>
        </row>
        <row r="1619">
          <cell r="A1619" t="str">
            <v>505 2014 10 1211 00022</v>
          </cell>
          <cell r="B1619">
            <v>41</v>
          </cell>
          <cell r="C1619">
            <v>41763.444791666669</v>
          </cell>
          <cell r="D1619">
            <v>0.32341549364147415</v>
          </cell>
          <cell r="E1619">
            <v>0</v>
          </cell>
          <cell r="F1619">
            <v>0.67658450635852585</v>
          </cell>
          <cell r="G1619">
            <v>0</v>
          </cell>
        </row>
        <row r="1620">
          <cell r="A1620" t="str">
            <v>207 2014 10 1211 00001</v>
          </cell>
          <cell r="B1620">
            <v>3</v>
          </cell>
          <cell r="C1620">
            <v>42100.333333333336</v>
          </cell>
          <cell r="D1620">
            <v>2.4853890193205642E-2</v>
          </cell>
          <cell r="E1620">
            <v>0</v>
          </cell>
          <cell r="F1620">
            <v>0.34795446270487901</v>
          </cell>
          <cell r="G1620">
            <v>0.62719164710191544</v>
          </cell>
        </row>
        <row r="1621">
          <cell r="A1621" t="str">
            <v>208 2015 10 1211 00001</v>
          </cell>
          <cell r="B1621">
            <v>2</v>
          </cell>
          <cell r="C1621">
            <v>42064.675266203703</v>
          </cell>
          <cell r="D1621">
            <v>0.28167066690320919</v>
          </cell>
          <cell r="E1621">
            <v>0</v>
          </cell>
          <cell r="F1621">
            <v>0.71832933309679081</v>
          </cell>
          <cell r="G1621">
            <v>0</v>
          </cell>
        </row>
        <row r="1622">
          <cell r="A1622" t="str">
            <v>208 2014 10 1211 00001</v>
          </cell>
          <cell r="B1622">
            <v>3</v>
          </cell>
          <cell r="C1622">
            <v>41680</v>
          </cell>
          <cell r="D1622">
            <v>0.28167066700793586</v>
          </cell>
          <cell r="E1622">
            <v>0</v>
          </cell>
          <cell r="F1622">
            <v>0.71832933299206414</v>
          </cell>
          <cell r="G1622">
            <v>0</v>
          </cell>
        </row>
        <row r="1623">
          <cell r="A1623" t="str">
            <v>208 2015 10 1211 00001</v>
          </cell>
          <cell r="B1623">
            <v>3</v>
          </cell>
          <cell r="C1623">
            <v>42176.57744212963</v>
          </cell>
          <cell r="D1623">
            <v>0.28167066690320919</v>
          </cell>
          <cell r="E1623">
            <v>0</v>
          </cell>
          <cell r="F1623">
            <v>0.71832933309679081</v>
          </cell>
          <cell r="G1623">
            <v>0</v>
          </cell>
        </row>
        <row r="1624">
          <cell r="A1624" t="str">
            <v>208 2014 10 1211 00001</v>
          </cell>
          <cell r="B1624">
            <v>6</v>
          </cell>
          <cell r="C1624">
            <v>41733</v>
          </cell>
          <cell r="D1624">
            <v>0.28167066700793586</v>
          </cell>
          <cell r="E1624">
            <v>0</v>
          </cell>
          <cell r="F1624">
            <v>0.71832933299206414</v>
          </cell>
          <cell r="G1624">
            <v>0</v>
          </cell>
        </row>
        <row r="1625">
          <cell r="A1625" t="str">
            <v>208 2015 10 1211 00001</v>
          </cell>
          <cell r="B1625">
            <v>6</v>
          </cell>
          <cell r="C1625">
            <v>42172</v>
          </cell>
          <cell r="D1625">
            <v>0.28167066690320919</v>
          </cell>
          <cell r="E1625">
            <v>0</v>
          </cell>
          <cell r="F1625">
            <v>0.71832933309679081</v>
          </cell>
          <cell r="G1625">
            <v>0</v>
          </cell>
        </row>
        <row r="1626">
          <cell r="A1626" t="str">
            <v>208 2014 10 1211 00001</v>
          </cell>
          <cell r="B1626">
            <v>7</v>
          </cell>
          <cell r="C1626">
            <v>41739</v>
          </cell>
          <cell r="D1626">
            <v>0.28167066700793586</v>
          </cell>
          <cell r="E1626">
            <v>0</v>
          </cell>
          <cell r="F1626">
            <v>0.71832933299206414</v>
          </cell>
          <cell r="G1626">
            <v>0</v>
          </cell>
        </row>
        <row r="1627">
          <cell r="A1627" t="str">
            <v>204 2014 10 1211 00005</v>
          </cell>
          <cell r="B1627">
            <v>7</v>
          </cell>
          <cell r="C1627">
            <v>41866.561666666668</v>
          </cell>
          <cell r="D1627">
            <v>5.1630000000000001E-3</v>
          </cell>
          <cell r="E1627">
            <v>0</v>
          </cell>
          <cell r="F1627">
            <v>0</v>
          </cell>
          <cell r="G1627">
            <v>0.99483699999999997</v>
          </cell>
        </row>
        <row r="1628">
          <cell r="A1628" t="str">
            <v>204 2015 10 1211 00008</v>
          </cell>
          <cell r="B1628">
            <v>7</v>
          </cell>
          <cell r="C1628">
            <v>42248.466932870368</v>
          </cell>
          <cell r="D1628">
            <v>1.39108552172979E-2</v>
          </cell>
          <cell r="E1628">
            <v>0</v>
          </cell>
          <cell r="F1628">
            <v>0.18608914478270211</v>
          </cell>
          <cell r="G1628">
            <v>0.8</v>
          </cell>
        </row>
        <row r="1629">
          <cell r="A1629" t="str">
            <v>204 2015 10 1211 00010</v>
          </cell>
          <cell r="B1629">
            <v>14</v>
          </cell>
          <cell r="C1629">
            <v>42245.616736111115</v>
          </cell>
          <cell r="D1629">
            <v>7.6530612244897957E-3</v>
          </cell>
          <cell r="E1629">
            <v>0</v>
          </cell>
          <cell r="F1629">
            <v>7.6530612244897961E-2</v>
          </cell>
          <cell r="G1629">
            <v>0.91581632653061218</v>
          </cell>
        </row>
        <row r="1630">
          <cell r="A1630" t="str">
            <v>204 2013 13 1211 00037</v>
          </cell>
          <cell r="B1630">
            <v>22</v>
          </cell>
          <cell r="C1630">
            <v>41543.392696759256</v>
          </cell>
          <cell r="D1630">
            <v>1</v>
          </cell>
          <cell r="E1630">
            <v>0</v>
          </cell>
          <cell r="F1630">
            <v>0</v>
          </cell>
          <cell r="G1630">
            <v>0</v>
          </cell>
        </row>
        <row r="1631">
          <cell r="A1631" t="str">
            <v>204 2015 10 1211 00009</v>
          </cell>
          <cell r="B1631">
            <v>22</v>
          </cell>
          <cell r="C1631">
            <v>42365.599016203705</v>
          </cell>
          <cell r="D1631">
            <v>0.03</v>
          </cell>
          <cell r="E1631">
            <v>0</v>
          </cell>
          <cell r="F1631">
            <v>0</v>
          </cell>
          <cell r="G1631">
            <v>0.97</v>
          </cell>
        </row>
        <row r="1632">
          <cell r="A1632" t="str">
            <v>205 2011 10 1211 00002</v>
          </cell>
          <cell r="B1632">
            <v>1</v>
          </cell>
          <cell r="C1632">
            <v>41031.438622685186</v>
          </cell>
          <cell r="D1632">
            <v>5.5002025136064094E-2</v>
          </cell>
          <cell r="E1632">
            <v>0</v>
          </cell>
          <cell r="F1632">
            <v>0.94499797486393589</v>
          </cell>
          <cell r="G1632">
            <v>0</v>
          </cell>
        </row>
        <row r="1633">
          <cell r="A1633" t="str">
            <v>205 2014 10 1211 00001</v>
          </cell>
          <cell r="B1633">
            <v>1</v>
          </cell>
          <cell r="C1633">
            <v>41988.550763888888</v>
          </cell>
          <cell r="D1633">
            <v>5.8823529411764712E-2</v>
          </cell>
          <cell r="E1633">
            <v>0</v>
          </cell>
          <cell r="F1633">
            <v>0.94117647058823539</v>
          </cell>
          <cell r="G1633">
            <v>0</v>
          </cell>
        </row>
        <row r="1634">
          <cell r="E1634">
            <v>0</v>
          </cell>
          <cell r="F1634">
            <v>0.91616191625896204</v>
          </cell>
          <cell r="G16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E 1T 2019"/>
      <sheetName val="Bord 1T 2019"/>
      <sheetName val="Sinsitre réglé 1T 2019"/>
      <sheetName val="Verif"/>
      <sheetName val="CONSOLIDE_1T_2019"/>
      <sheetName val="Bord_1T_2019"/>
      <sheetName val="Sinsitre_réglé_1T_2019"/>
      <sheetName val="CONSOLIDE_1T_20191"/>
      <sheetName val="Bord_1T_20191"/>
      <sheetName val="Sinsitre_réglé_1T_20191"/>
      <sheetName val="CONSOLIDE_1T_20192"/>
      <sheetName val="Bord_1T_20192"/>
      <sheetName val="Sinsitre_réglé_1T_20192"/>
      <sheetName val="CONSOLIDE_1T_20194"/>
      <sheetName val="Bord_1T_20194"/>
      <sheetName val="Sinsitre_réglé_1T_20194"/>
      <sheetName val="CONSOLIDE_1T_20193"/>
      <sheetName val="Bord_1T_20193"/>
      <sheetName val="Sinsitre_réglé_1T_20193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POLICE_AVENAT</v>
          </cell>
          <cell r="B1" t="str">
            <v>rep</v>
          </cell>
          <cell r="C1" t="str">
            <v>Rétention CASH %</v>
          </cell>
          <cell r="D1" t="str">
            <v>COR Traité 2010 et antérieur %</v>
          </cell>
          <cell r="E1" t="str">
            <v>Traité %</v>
          </cell>
          <cell r="F1" t="str">
            <v>Fac %</v>
          </cell>
          <cell r="G1" t="str">
            <v>COR FAC</v>
          </cell>
          <cell r="H1" t="str">
            <v>VERIF</v>
          </cell>
          <cell r="I1" t="str">
            <v>Survenance</v>
          </cell>
          <cell r="J1" t="str">
            <v>LeClient</v>
          </cell>
        </row>
        <row r="2">
          <cell r="A2" t="str">
            <v>203.2015.12.1312.00002</v>
          </cell>
          <cell r="B2">
            <v>6</v>
          </cell>
          <cell r="C2">
            <v>1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42297.407997685186</v>
          </cell>
          <cell r="J2" t="str">
            <v>ASTALDI TP/COSIDER TP</v>
          </cell>
        </row>
        <row r="3">
          <cell r="A3" t="str">
            <v>203.2015.12.1312.00002</v>
          </cell>
          <cell r="B3">
            <v>6</v>
          </cell>
          <cell r="C3">
            <v>1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42354.662222222221</v>
          </cell>
          <cell r="J3" t="str">
            <v>ASTALDI TP/COSIDER TP</v>
          </cell>
        </row>
        <row r="4">
          <cell r="A4" t="str">
            <v>203.2015.12.1312.00002</v>
          </cell>
          <cell r="B4">
            <v>6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42344.388437499998</v>
          </cell>
          <cell r="J4" t="str">
            <v>ASTALDI TP/COSIDER TP</v>
          </cell>
        </row>
        <row r="5">
          <cell r="A5" t="str">
            <v>201.2014.10.1312.00002</v>
          </cell>
          <cell r="B5">
            <v>2</v>
          </cell>
          <cell r="C5">
            <v>0.5</v>
          </cell>
          <cell r="D5">
            <v>0</v>
          </cell>
          <cell r="E5">
            <v>0.5</v>
          </cell>
          <cell r="F5">
            <v>0</v>
          </cell>
          <cell r="G5">
            <v>0</v>
          </cell>
          <cell r="H5">
            <v>0</v>
          </cell>
          <cell r="I5">
            <v>41963.541261574072</v>
          </cell>
          <cell r="J5" t="str">
            <v>SIEMENS Spa</v>
          </cell>
        </row>
        <row r="6">
          <cell r="A6" t="str">
            <v>304.2013.10.1414.00001</v>
          </cell>
          <cell r="B6">
            <v>2</v>
          </cell>
          <cell r="C6">
            <v>1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41644.471250000002</v>
          </cell>
          <cell r="J6" t="str">
            <v>SPORT FELLAOUCENE</v>
          </cell>
        </row>
        <row r="7">
          <cell r="A7" t="str">
            <v>304.2015.10.1414.00002</v>
          </cell>
          <cell r="B7">
            <v>3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42179.598182870373</v>
          </cell>
          <cell r="J7" t="str">
            <v>JEUNESSE SPORT FELLAOUCENE</v>
          </cell>
        </row>
        <row r="8">
          <cell r="A8" t="str">
            <v>304.2015.10.1414.00006</v>
          </cell>
          <cell r="B8">
            <v>1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42433.629224537035</v>
          </cell>
          <cell r="J8" t="str">
            <v>CLUB SPORTIF AMATEUR</v>
          </cell>
        </row>
        <row r="9">
          <cell r="A9" t="str">
            <v>505.2014.10.1414.00004</v>
          </cell>
          <cell r="B9">
            <v>1</v>
          </cell>
          <cell r="C9">
            <v>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42147.657442129632</v>
          </cell>
          <cell r="J9" t="str">
            <v>CSA WACZ</v>
          </cell>
        </row>
        <row r="10">
          <cell r="A10" t="str">
            <v>110.2013.10.1414.00009</v>
          </cell>
          <cell r="B10">
            <v>6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41632.75</v>
          </cell>
          <cell r="J10" t="str">
            <v>US BOUZAREAH</v>
          </cell>
        </row>
        <row r="11">
          <cell r="A11" t="str">
            <v>110.2013.10.1414.00009</v>
          </cell>
          <cell r="B11">
            <v>6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41722.75</v>
          </cell>
          <cell r="J11" t="str">
            <v>US BOUZAREAH</v>
          </cell>
        </row>
        <row r="12">
          <cell r="A12" t="str">
            <v>305.2015.10.1414.00003</v>
          </cell>
          <cell r="B12">
            <v>3</v>
          </cell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42413.375</v>
          </cell>
          <cell r="J12" t="str">
            <v>Sport et travail CASH Spa</v>
          </cell>
        </row>
        <row r="13">
          <cell r="A13" t="str">
            <v>402.2012.10.1411.00004</v>
          </cell>
          <cell r="B13">
            <v>1</v>
          </cell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41214.441134259258</v>
          </cell>
          <cell r="J13" t="str">
            <v>SARL  RECIBAT</v>
          </cell>
        </row>
        <row r="14">
          <cell r="A14" t="str">
            <v>402.2014.10.1411.00006</v>
          </cell>
          <cell r="B14">
            <v>1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42253.500601851854</v>
          </cell>
          <cell r="J14" t="str">
            <v>SARL GARAGE DU SUD</v>
          </cell>
        </row>
        <row r="15">
          <cell r="A15" t="str">
            <v>301.2013.10.1429.00005</v>
          </cell>
          <cell r="B15">
            <v>6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41699.576574074075</v>
          </cell>
          <cell r="J15" t="str">
            <v>CLINIQUE BENSERAI</v>
          </cell>
        </row>
        <row r="16">
          <cell r="A16" t="str">
            <v>301.2013.10.1429.00005</v>
          </cell>
          <cell r="B16">
            <v>6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41742.598981481482</v>
          </cell>
          <cell r="J16" t="str">
            <v>CLINIQUE BENSERAI</v>
          </cell>
        </row>
        <row r="17">
          <cell r="A17" t="str">
            <v>301.2014.10.1429.00004</v>
          </cell>
          <cell r="B17">
            <v>1</v>
          </cell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41941.410740740743</v>
          </cell>
          <cell r="J17" t="str">
            <v>CLINIQUE BENSERAI</v>
          </cell>
        </row>
        <row r="18">
          <cell r="A18" t="str">
            <v>208.2014.10.1411.00002</v>
          </cell>
          <cell r="B18">
            <v>3</v>
          </cell>
          <cell r="C18">
            <v>0.14285714285714285</v>
          </cell>
          <cell r="D18">
            <v>0</v>
          </cell>
          <cell r="E18">
            <v>0.8571428571428571</v>
          </cell>
          <cell r="F18">
            <v>0</v>
          </cell>
          <cell r="G18">
            <v>0</v>
          </cell>
          <cell r="H18">
            <v>0</v>
          </cell>
          <cell r="I18">
            <v>41997.430520833332</v>
          </cell>
          <cell r="J18" t="str">
            <v>LINDE GAS ALGERIE</v>
          </cell>
        </row>
        <row r="19">
          <cell r="A19" t="str">
            <v>207.2015.10.1411.00004</v>
          </cell>
          <cell r="B19">
            <v>1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42418.375</v>
          </cell>
          <cell r="J19" t="str">
            <v>SARL CARRIERE CHEKRI</v>
          </cell>
        </row>
        <row r="20">
          <cell r="A20" t="str">
            <v>110.2015.11.1411.00001</v>
          </cell>
          <cell r="B20">
            <v>2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42155.492719907408</v>
          </cell>
          <cell r="J20" t="str">
            <v>BENMILOUD  HIND</v>
          </cell>
        </row>
        <row r="21">
          <cell r="A21" t="str">
            <v>505.2014.10.1411.00003</v>
          </cell>
          <cell r="B21">
            <v>6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41857.639814814815</v>
          </cell>
          <cell r="J21" t="str">
            <v>OFFICE DES ETABLISSEMENTS DE JEUNES (ODEJ).W BATNA</v>
          </cell>
        </row>
        <row r="22">
          <cell r="A22" t="str">
            <v>505.2015.10.1411.00009</v>
          </cell>
          <cell r="B22">
            <v>1</v>
          </cell>
          <cell r="C22">
            <v>1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42218.556192129632</v>
          </cell>
          <cell r="J22" t="str">
            <v>OFFICE DES ETABLISSEMENTS DE JEUNES (ODEJ).W BATNA</v>
          </cell>
        </row>
        <row r="23">
          <cell r="A23" t="str">
            <v>505.2014.10.1411.00003</v>
          </cell>
          <cell r="B23">
            <v>6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41870.53534722222</v>
          </cell>
          <cell r="J23" t="str">
            <v>OFFICE DES ETABLISSEMENTS DE JEUNES (ODEJ).W BATNA</v>
          </cell>
        </row>
        <row r="24">
          <cell r="A24" t="str">
            <v>502.2012.10.1411.00010</v>
          </cell>
          <cell r="B24">
            <v>6</v>
          </cell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41343</v>
          </cell>
          <cell r="J24" t="str">
            <v>S.P.A ALTRO</v>
          </cell>
        </row>
        <row r="25">
          <cell r="A25" t="str">
            <v>502.2013.10.1411.00010</v>
          </cell>
          <cell r="B25">
            <v>2</v>
          </cell>
          <cell r="C25">
            <v>1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41763</v>
          </cell>
          <cell r="J25" t="str">
            <v>S.P.A ALTRO</v>
          </cell>
        </row>
        <row r="26">
          <cell r="A26" t="str">
            <v>502.2013.10.1411.00010</v>
          </cell>
          <cell r="B26">
            <v>2</v>
          </cell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41786</v>
          </cell>
          <cell r="J26" t="str">
            <v>S.P.A ALTRO</v>
          </cell>
        </row>
        <row r="27">
          <cell r="A27" t="str">
            <v>502.2012.10.1411.00010</v>
          </cell>
          <cell r="B27">
            <v>6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41405</v>
          </cell>
          <cell r="J27" t="str">
            <v>S.P.A ALTRO</v>
          </cell>
        </row>
        <row r="28">
          <cell r="A28" t="str">
            <v>502.2012.10.1411.00010</v>
          </cell>
          <cell r="B28">
            <v>6</v>
          </cell>
          <cell r="C28">
            <v>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41513</v>
          </cell>
          <cell r="J28" t="str">
            <v>S.P.A ALTRO</v>
          </cell>
        </row>
        <row r="29">
          <cell r="A29" t="str">
            <v>211.2015.10.1411.00010</v>
          </cell>
          <cell r="B29">
            <v>1</v>
          </cell>
          <cell r="C29">
            <v>9.443619701657166E-2</v>
          </cell>
          <cell r="D29">
            <v>0</v>
          </cell>
          <cell r="E29">
            <v>0.56656380298342834</v>
          </cell>
          <cell r="F29">
            <v>0.33900000000000002</v>
          </cell>
          <cell r="G29">
            <v>0</v>
          </cell>
          <cell r="H29">
            <v>0</v>
          </cell>
          <cell r="I29">
            <v>42285.678912037038</v>
          </cell>
          <cell r="J29" t="str">
            <v>POLYSIUS SAS</v>
          </cell>
        </row>
        <row r="30">
          <cell r="A30" t="str">
            <v>202.2012.10.1411.00002</v>
          </cell>
          <cell r="B30">
            <v>1</v>
          </cell>
          <cell r="C30">
            <v>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41231.416863425926</v>
          </cell>
          <cell r="J30" t="str">
            <v>SARL AKBOU AUTO</v>
          </cell>
        </row>
        <row r="31">
          <cell r="A31" t="str">
            <v>202.2013.11.1411.00003</v>
          </cell>
          <cell r="B31">
            <v>1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41351.474004629628</v>
          </cell>
          <cell r="J31" t="str">
            <v>SARL AKBOU AUTO</v>
          </cell>
        </row>
        <row r="32">
          <cell r="A32" t="str">
            <v>206.2015.10.1411.00005</v>
          </cell>
          <cell r="B32">
            <v>3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42073.229166666664</v>
          </cell>
          <cell r="J32" t="str">
            <v>HOPITAL PSYCHIATRIQUE FRANTZ FANON BLIDA</v>
          </cell>
        </row>
        <row r="33">
          <cell r="A33" t="str">
            <v>204.2013.10.1411.00008</v>
          </cell>
          <cell r="B33">
            <v>1</v>
          </cell>
          <cell r="C33">
            <v>0.33783783783783783</v>
          </cell>
          <cell r="D33">
            <v>0</v>
          </cell>
          <cell r="E33">
            <v>0.66216216216216217</v>
          </cell>
          <cell r="F33">
            <v>0</v>
          </cell>
          <cell r="G33">
            <v>0</v>
          </cell>
          <cell r="H33">
            <v>0</v>
          </cell>
          <cell r="I33">
            <v>41553.641053240739</v>
          </cell>
          <cell r="J33" t="str">
            <v>Sonatrach</v>
          </cell>
        </row>
        <row r="34">
          <cell r="A34" t="str">
            <v>204.2012.10.1411.00008</v>
          </cell>
          <cell r="B34">
            <v>1</v>
          </cell>
          <cell r="C34">
            <v>0.31705368352969504</v>
          </cell>
          <cell r="D34">
            <v>0</v>
          </cell>
          <cell r="E34">
            <v>0.6829463164703049</v>
          </cell>
          <cell r="F34">
            <v>0</v>
          </cell>
          <cell r="G34">
            <v>0</v>
          </cell>
          <cell r="H34">
            <v>0</v>
          </cell>
          <cell r="I34">
            <v>41410.604363425926</v>
          </cell>
          <cell r="J34" t="str">
            <v>Sonatrach</v>
          </cell>
        </row>
        <row r="35">
          <cell r="A35" t="str">
            <v>205.2013.10.1411.00021</v>
          </cell>
          <cell r="B35">
            <v>1</v>
          </cell>
          <cell r="C35">
            <v>0.5</v>
          </cell>
          <cell r="D35">
            <v>0</v>
          </cell>
          <cell r="E35">
            <v>0.5</v>
          </cell>
          <cell r="F35">
            <v>0</v>
          </cell>
          <cell r="G35">
            <v>0</v>
          </cell>
          <cell r="H35">
            <v>0</v>
          </cell>
          <cell r="I35">
            <v>41732.490520833337</v>
          </cell>
          <cell r="J35" t="str">
            <v>PEUGEOT ALGERIE</v>
          </cell>
        </row>
        <row r="36">
          <cell r="A36" t="str">
            <v>205.2015.10.1411.00020</v>
          </cell>
          <cell r="B36">
            <v>1</v>
          </cell>
          <cell r="C36">
            <v>0.90236826551283844</v>
          </cell>
          <cell r="D36">
            <v>0</v>
          </cell>
          <cell r="E36">
            <v>9.7631734487161559E-2</v>
          </cell>
          <cell r="F36">
            <v>0</v>
          </cell>
          <cell r="G36">
            <v>0</v>
          </cell>
          <cell r="H36">
            <v>0</v>
          </cell>
          <cell r="I36">
            <v>42297.458333333336</v>
          </cell>
          <cell r="J36" t="str">
            <v>PEUGEOT ALGERIE</v>
          </cell>
        </row>
        <row r="37">
          <cell r="A37" t="str">
            <v>204.2014.10.1411.00008</v>
          </cell>
          <cell r="B37">
            <v>1</v>
          </cell>
          <cell r="C37">
            <v>1.433192567567565E-2</v>
          </cell>
          <cell r="D37">
            <v>0</v>
          </cell>
          <cell r="E37">
            <v>2.54054054054055E-2</v>
          </cell>
          <cell r="F37">
            <v>0.96026266891891876</v>
          </cell>
          <cell r="G37">
            <v>0</v>
          </cell>
          <cell r="H37">
            <v>0</v>
          </cell>
          <cell r="I37">
            <v>42025.604687500003</v>
          </cell>
          <cell r="J37" t="str">
            <v>Sonatrach</v>
          </cell>
        </row>
        <row r="38">
          <cell r="A38" t="str">
            <v>204.2015.10.1411.00009</v>
          </cell>
          <cell r="B38">
            <v>1</v>
          </cell>
          <cell r="C38">
            <v>0.25510204081632748</v>
          </cell>
          <cell r="D38">
            <v>0</v>
          </cell>
          <cell r="E38">
            <v>0.74489795918367252</v>
          </cell>
          <cell r="F38">
            <v>0</v>
          </cell>
          <cell r="G38">
            <v>0</v>
          </cell>
          <cell r="H38">
            <v>0</v>
          </cell>
          <cell r="I38">
            <v>42401.563125000001</v>
          </cell>
          <cell r="J38" t="str">
            <v>Sonatrach</v>
          </cell>
        </row>
        <row r="39">
          <cell r="A39" t="str">
            <v>204.2009.10.1411.00009</v>
          </cell>
          <cell r="B39">
            <v>1</v>
          </cell>
          <cell r="C39">
            <v>0.1388888888888889</v>
          </cell>
          <cell r="D39">
            <v>8.611111111111111E-2</v>
          </cell>
          <cell r="E39">
            <v>0.77500000000000002</v>
          </cell>
          <cell r="F39">
            <v>0</v>
          </cell>
          <cell r="G39">
            <v>0</v>
          </cell>
          <cell r="H39">
            <v>0</v>
          </cell>
          <cell r="I39">
            <v>40256</v>
          </cell>
          <cell r="J39" t="str">
            <v>Sonatrach</v>
          </cell>
        </row>
        <row r="40">
          <cell r="A40" t="str">
            <v>204.2011.10.1411.00006</v>
          </cell>
          <cell r="B40">
            <v>2</v>
          </cell>
          <cell r="C40">
            <v>1.4000000000000002E-2</v>
          </cell>
          <cell r="D40">
            <v>0</v>
          </cell>
          <cell r="E40">
            <v>0</v>
          </cell>
          <cell r="F40">
            <v>0.98599999999999999</v>
          </cell>
          <cell r="G40">
            <v>0</v>
          </cell>
          <cell r="H40">
            <v>0</v>
          </cell>
          <cell r="I40">
            <v>40923.385046296295</v>
          </cell>
          <cell r="J40" t="str">
            <v>Sonatrach</v>
          </cell>
        </row>
        <row r="41">
          <cell r="A41" t="str">
            <v>204.2013.10.1411.00016</v>
          </cell>
          <cell r="B41">
            <v>1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41769.424004629633</v>
          </cell>
          <cell r="J41" t="str">
            <v>Socièté Sportive Par Action SSA MCA</v>
          </cell>
        </row>
        <row r="42">
          <cell r="A42" t="str">
            <v>204.2009.10.1411.00010</v>
          </cell>
          <cell r="B42">
            <v>3</v>
          </cell>
          <cell r="C42">
            <v>1.38888888888889E-2</v>
          </cell>
          <cell r="D42">
            <v>0</v>
          </cell>
          <cell r="E42">
            <v>0</v>
          </cell>
          <cell r="F42">
            <v>0.98611111111111105</v>
          </cell>
          <cell r="G42">
            <v>0</v>
          </cell>
          <cell r="H42">
            <v>0</v>
          </cell>
          <cell r="I42">
            <v>39999</v>
          </cell>
          <cell r="J42" t="str">
            <v>Sonatrach</v>
          </cell>
        </row>
        <row r="43">
          <cell r="A43" t="str">
            <v>204.2011.10.1411.00005</v>
          </cell>
          <cell r="B43">
            <v>1</v>
          </cell>
          <cell r="C43">
            <v>0.26041666666666702</v>
          </cell>
          <cell r="D43">
            <v>0</v>
          </cell>
          <cell r="E43">
            <v>0.73958333333333304</v>
          </cell>
          <cell r="F43">
            <v>0</v>
          </cell>
          <cell r="G43">
            <v>0</v>
          </cell>
          <cell r="H43">
            <v>0</v>
          </cell>
          <cell r="I43">
            <v>41046.379236111112</v>
          </cell>
          <cell r="J43" t="str">
            <v>Sonatrach</v>
          </cell>
        </row>
        <row r="44">
          <cell r="A44" t="str">
            <v>204.2012.10.1411.00009</v>
          </cell>
          <cell r="B44">
            <v>2</v>
          </cell>
          <cell r="C44">
            <v>9.3749999999999493E-3</v>
          </cell>
          <cell r="D44">
            <v>0</v>
          </cell>
          <cell r="E44">
            <v>0</v>
          </cell>
          <cell r="F44">
            <v>0.99062500000000009</v>
          </cell>
          <cell r="G44">
            <v>0</v>
          </cell>
          <cell r="H44">
            <v>0</v>
          </cell>
          <cell r="I44">
            <v>41164.396284722221</v>
          </cell>
          <cell r="J44" t="str">
            <v>Sonatrach</v>
          </cell>
        </row>
        <row r="45">
          <cell r="A45" t="str">
            <v>204.2014.10.1411.00014</v>
          </cell>
          <cell r="B45">
            <v>1</v>
          </cell>
          <cell r="C45">
            <v>0.95238095238095233</v>
          </cell>
          <cell r="D45">
            <v>0</v>
          </cell>
          <cell r="E45">
            <v>4.7619047619047616E-2</v>
          </cell>
          <cell r="F45">
            <v>0</v>
          </cell>
          <cell r="G45">
            <v>0</v>
          </cell>
          <cell r="H45">
            <v>0</v>
          </cell>
          <cell r="I45">
            <v>42116.411585648151</v>
          </cell>
          <cell r="J45" t="str">
            <v>Socièté Sportive Par Action SSA MCA</v>
          </cell>
        </row>
        <row r="46">
          <cell r="A46" t="str">
            <v>204.2014.10.1411.00009</v>
          </cell>
          <cell r="B46">
            <v>3</v>
          </cell>
          <cell r="C46">
            <v>9.3749999999999493E-3</v>
          </cell>
          <cell r="D46">
            <v>0</v>
          </cell>
          <cell r="E46">
            <v>0</v>
          </cell>
          <cell r="F46">
            <v>0.99062500000000009</v>
          </cell>
          <cell r="G46">
            <v>0</v>
          </cell>
          <cell r="H46">
            <v>0</v>
          </cell>
          <cell r="I46">
            <v>41851.610381944447</v>
          </cell>
          <cell r="J46" t="str">
            <v>NAFTAL</v>
          </cell>
        </row>
        <row r="47">
          <cell r="A47" t="str">
            <v>204.2015.10.1411.00010</v>
          </cell>
          <cell r="B47">
            <v>3</v>
          </cell>
          <cell r="C47">
            <v>8.5034013605442167E-3</v>
          </cell>
          <cell r="D47">
            <v>0</v>
          </cell>
          <cell r="E47">
            <v>0</v>
          </cell>
          <cell r="F47">
            <v>0.99149659863945583</v>
          </cell>
          <cell r="G47">
            <v>0</v>
          </cell>
          <cell r="H47">
            <v>0</v>
          </cell>
          <cell r="I47">
            <v>42256.432893518519</v>
          </cell>
          <cell r="J47" t="str">
            <v>NAFTAL</v>
          </cell>
        </row>
        <row r="48">
          <cell r="A48" t="str">
            <v>204.2011.10.1411.00010</v>
          </cell>
          <cell r="B48">
            <v>2</v>
          </cell>
          <cell r="C48">
            <v>6.993827175925834E-3</v>
          </cell>
          <cell r="D48">
            <v>0</v>
          </cell>
          <cell r="E48">
            <v>0.99300617282407422</v>
          </cell>
          <cell r="F48">
            <v>0</v>
          </cell>
          <cell r="G48">
            <v>0</v>
          </cell>
          <cell r="H48">
            <v>0</v>
          </cell>
          <cell r="I48">
            <v>40773.558067129627</v>
          </cell>
          <cell r="J48" t="str">
            <v>Sonatrach</v>
          </cell>
        </row>
        <row r="49">
          <cell r="A49" t="str">
            <v>204.2011.10.1411.00010</v>
          </cell>
          <cell r="B49">
            <v>2</v>
          </cell>
          <cell r="C49">
            <v>6.993827175925834E-3</v>
          </cell>
          <cell r="D49">
            <v>0</v>
          </cell>
          <cell r="E49">
            <v>0.99300617282407422</v>
          </cell>
          <cell r="F49">
            <v>0</v>
          </cell>
          <cell r="G49">
            <v>0</v>
          </cell>
          <cell r="H49">
            <v>0</v>
          </cell>
          <cell r="I49">
            <v>40952.466724537036</v>
          </cell>
          <cell r="J49" t="str">
            <v>Sonatrach</v>
          </cell>
        </row>
        <row r="50">
          <cell r="A50" t="str">
            <v>204.2012.10.1411.00009</v>
          </cell>
          <cell r="B50">
            <v>2</v>
          </cell>
          <cell r="C50">
            <v>9.3749999999999493E-3</v>
          </cell>
          <cell r="D50">
            <v>0</v>
          </cell>
          <cell r="E50">
            <v>0</v>
          </cell>
          <cell r="F50">
            <v>0.99062500000000009</v>
          </cell>
          <cell r="G50">
            <v>0</v>
          </cell>
          <cell r="H50">
            <v>0</v>
          </cell>
          <cell r="I50">
            <v>41253.576273148145</v>
          </cell>
          <cell r="J50" t="str">
            <v>Sonatrach</v>
          </cell>
        </row>
        <row r="51">
          <cell r="A51" t="str">
            <v>204.2011.12.1411.00002</v>
          </cell>
          <cell r="B51">
            <v>4</v>
          </cell>
          <cell r="C51">
            <v>0.13888888888888901</v>
          </cell>
          <cell r="D51">
            <v>8.6111111111111097E-2</v>
          </cell>
          <cell r="E51">
            <v>0.77500000000000002</v>
          </cell>
          <cell r="F51">
            <v>0</v>
          </cell>
          <cell r="G51">
            <v>0</v>
          </cell>
          <cell r="H51">
            <v>0</v>
          </cell>
          <cell r="I51">
            <v>40681.409409722219</v>
          </cell>
          <cell r="J51" t="str">
            <v>Sonatrach</v>
          </cell>
        </row>
        <row r="52">
          <cell r="A52" t="str">
            <v>204.2011.12.1411.00002</v>
          </cell>
          <cell r="B52">
            <v>4</v>
          </cell>
          <cell r="C52">
            <v>0.13888888888888901</v>
          </cell>
          <cell r="D52">
            <v>8.6111111111111097E-2</v>
          </cell>
          <cell r="E52">
            <v>0.77500000000000002</v>
          </cell>
          <cell r="F52">
            <v>0</v>
          </cell>
          <cell r="G52">
            <v>0</v>
          </cell>
          <cell r="H52">
            <v>0</v>
          </cell>
          <cell r="I52">
            <v>40722.411481481482</v>
          </cell>
          <cell r="J52" t="str">
            <v>Sonatrach</v>
          </cell>
        </row>
        <row r="53">
          <cell r="A53" t="str">
            <v>204.2013.10.1419.00004</v>
          </cell>
          <cell r="B53">
            <v>3</v>
          </cell>
          <cell r="C53">
            <v>0.24465998989554241</v>
          </cell>
          <cell r="D53">
            <v>0</v>
          </cell>
          <cell r="E53">
            <v>0.75534001010445762</v>
          </cell>
          <cell r="F53">
            <v>0</v>
          </cell>
          <cell r="G53">
            <v>0</v>
          </cell>
          <cell r="H53">
            <v>0</v>
          </cell>
          <cell r="I53">
            <v>41690.603067129632</v>
          </cell>
          <cell r="J53" t="str">
            <v>JCC</v>
          </cell>
        </row>
        <row r="54">
          <cell r="A54" t="str">
            <v>203.2012.11.1411.00001</v>
          </cell>
          <cell r="B54">
            <v>3</v>
          </cell>
          <cell r="C54">
            <v>0.33333333333333331</v>
          </cell>
          <cell r="D54">
            <v>0</v>
          </cell>
          <cell r="E54">
            <v>0.66666666666666663</v>
          </cell>
          <cell r="F54">
            <v>0</v>
          </cell>
          <cell r="G54">
            <v>0</v>
          </cell>
          <cell r="H54">
            <v>0</v>
          </cell>
          <cell r="I54">
            <v>41017.660960648151</v>
          </cell>
          <cell r="J54" t="str">
            <v>HOTEL  EL AURASSI</v>
          </cell>
        </row>
        <row r="55">
          <cell r="A55" t="str">
            <v>203.2011.10.1419.00009</v>
          </cell>
          <cell r="B55">
            <v>3</v>
          </cell>
          <cell r="C55">
            <v>1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40969.437291666669</v>
          </cell>
          <cell r="J55" t="str">
            <v>ARES  ALGERIE  ALGERIE</v>
          </cell>
        </row>
        <row r="56">
          <cell r="A56" t="str">
            <v>201.2015.10.1419.00001</v>
          </cell>
          <cell r="B56">
            <v>3</v>
          </cell>
          <cell r="C56">
            <v>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42172.390451388892</v>
          </cell>
          <cell r="J56" t="str">
            <v>MYAH BAHR HONAINE SPA</v>
          </cell>
        </row>
        <row r="57">
          <cell r="A57" t="str">
            <v>201.2015.10.1411.00022</v>
          </cell>
          <cell r="B57">
            <v>1</v>
          </cell>
          <cell r="C57">
            <v>9.3539156894163256E-2</v>
          </cell>
          <cell r="D57">
            <v>0</v>
          </cell>
          <cell r="E57">
            <v>0.50646084310583672</v>
          </cell>
          <cell r="F57">
            <v>0.4</v>
          </cell>
          <cell r="G57">
            <v>0</v>
          </cell>
          <cell r="H57">
            <v>0</v>
          </cell>
          <cell r="I57">
            <v>42216.999305555553</v>
          </cell>
          <cell r="J57" t="str">
            <v>SIEHA SOCIETE IMMOBILIERE</v>
          </cell>
        </row>
        <row r="58">
          <cell r="A58" t="str">
            <v>204.2007.10.1411.00001</v>
          </cell>
          <cell r="B58">
            <v>1</v>
          </cell>
          <cell r="C58">
            <v>2.9420000000000002E-3</v>
          </cell>
          <cell r="E58">
            <v>4.7058000000000003E-2</v>
          </cell>
          <cell r="F58">
            <v>0.85</v>
          </cell>
          <cell r="G58">
            <v>0.1</v>
          </cell>
          <cell r="H58">
            <v>0</v>
          </cell>
          <cell r="J58" t="str">
            <v>COJAAL</v>
          </cell>
        </row>
        <row r="59">
          <cell r="A59" t="str">
            <v>204.2016.10.1411.00010</v>
          </cell>
          <cell r="B59">
            <v>1</v>
          </cell>
          <cell r="C59">
            <v>0.28409090909090912</v>
          </cell>
          <cell r="D59">
            <v>0</v>
          </cell>
          <cell r="E59">
            <v>0.71590909090909094</v>
          </cell>
          <cell r="F59">
            <v>0</v>
          </cell>
          <cell r="H59">
            <v>0</v>
          </cell>
          <cell r="J59" t="str">
            <v>Sonatrach - 1ère Tranche -</v>
          </cell>
        </row>
        <row r="60">
          <cell r="A60" t="str">
            <v>204.2012.12.1411.00001</v>
          </cell>
          <cell r="B60">
            <v>1</v>
          </cell>
          <cell r="C60">
            <v>2.9420000000000002E-3</v>
          </cell>
          <cell r="E60">
            <v>4.7058000000000003E-2</v>
          </cell>
          <cell r="F60">
            <v>0.85</v>
          </cell>
          <cell r="G60">
            <v>0.1</v>
          </cell>
          <cell r="H60">
            <v>0</v>
          </cell>
          <cell r="J60" t="str">
            <v>COJAAL</v>
          </cell>
        </row>
        <row r="61">
          <cell r="A61" t="str">
            <v>204.2011.12.1411.00005</v>
          </cell>
          <cell r="B61">
            <v>2</v>
          </cell>
          <cell r="C61">
            <v>2.9420000000000002E-3</v>
          </cell>
          <cell r="E61">
            <v>4.7058000000000003E-2</v>
          </cell>
          <cell r="F61">
            <v>0.85</v>
          </cell>
          <cell r="G61">
            <v>0.1</v>
          </cell>
          <cell r="H61">
            <v>0</v>
          </cell>
          <cell r="J61" t="str">
            <v>COJAAL</v>
          </cell>
        </row>
        <row r="62">
          <cell r="A62" t="str">
            <v>204.2010.12.1411.00036</v>
          </cell>
          <cell r="B62">
            <v>1</v>
          </cell>
          <cell r="C62">
            <v>2.9420000000000002E-3</v>
          </cell>
          <cell r="E62">
            <v>4.7058000000000003E-2</v>
          </cell>
          <cell r="F62">
            <v>0.85</v>
          </cell>
          <cell r="G62">
            <v>0.1</v>
          </cell>
          <cell r="H62">
            <v>0</v>
          </cell>
          <cell r="J62" t="str">
            <v>COJAAL</v>
          </cell>
        </row>
        <row r="63">
          <cell r="A63" t="str">
            <v>204.2011.12.1411.00005</v>
          </cell>
          <cell r="B63">
            <v>2</v>
          </cell>
          <cell r="C63">
            <v>2.9420000000000002E-3</v>
          </cell>
          <cell r="E63">
            <v>4.7058000000000003E-2</v>
          </cell>
          <cell r="F63">
            <v>0.85</v>
          </cell>
          <cell r="G63">
            <v>0.1</v>
          </cell>
          <cell r="H63">
            <v>0</v>
          </cell>
          <cell r="J63" t="str">
            <v>COJAAL</v>
          </cell>
        </row>
        <row r="64">
          <cell r="A64" t="str">
            <v>505.2016.10.1411.00021</v>
          </cell>
          <cell r="B64">
            <v>1</v>
          </cell>
          <cell r="C64">
            <v>1</v>
          </cell>
          <cell r="H64">
            <v>0</v>
          </cell>
          <cell r="J64" t="str">
            <v>OFFICE DES ETABLISSEMENTS DE JEUNES (ODEJ).W BATNA</v>
          </cell>
        </row>
        <row r="65">
          <cell r="A65" t="str">
            <v>204.2008.13.1411.00002</v>
          </cell>
          <cell r="B65">
            <v>1</v>
          </cell>
          <cell r="C65">
            <v>2.9420000000000002E-3</v>
          </cell>
          <cell r="E65">
            <v>4.7058000000000003E-2</v>
          </cell>
          <cell r="F65">
            <v>0.85</v>
          </cell>
          <cell r="G65">
            <v>0.1</v>
          </cell>
          <cell r="H65">
            <v>0</v>
          </cell>
          <cell r="J65" t="str">
            <v>COJAAL</v>
          </cell>
        </row>
        <row r="66">
          <cell r="A66" t="str">
            <v>201.2016.41.1411.00002</v>
          </cell>
          <cell r="B66">
            <v>3</v>
          </cell>
          <cell r="C66">
            <v>0.21100073428255531</v>
          </cell>
          <cell r="E66">
            <v>0.78899926571744472</v>
          </cell>
          <cell r="F66">
            <v>0</v>
          </cell>
          <cell r="G66">
            <v>0</v>
          </cell>
          <cell r="H66">
            <v>0</v>
          </cell>
          <cell r="J66" t="str">
            <v>Alstom  Algérie SpA</v>
          </cell>
        </row>
        <row r="67">
          <cell r="A67" t="str">
            <v>210.2016.10.1429.00008</v>
          </cell>
          <cell r="B67">
            <v>3</v>
          </cell>
          <cell r="C67">
            <v>1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J67" t="str">
            <v>TRANSCARGO ALGERIE SPA</v>
          </cell>
        </row>
        <row r="68">
          <cell r="A68" t="str">
            <v>402.2016.10.1411.00001</v>
          </cell>
          <cell r="B68">
            <v>1</v>
          </cell>
          <cell r="C68">
            <v>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J68" t="str">
            <v>STATION TILIWINE   GHENNAI AZIZA</v>
          </cell>
        </row>
        <row r="69">
          <cell r="A69" t="str">
            <v>505.2015.10.1414.00003</v>
          </cell>
          <cell r="B69">
            <v>3</v>
          </cell>
          <cell r="C69">
            <v>1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J69" t="str">
            <v>CSA WACZ</v>
          </cell>
        </row>
        <row r="70">
          <cell r="A70" t="str">
            <v>301.2015.10.1411.00008</v>
          </cell>
          <cell r="B70">
            <v>3</v>
          </cell>
          <cell r="C70">
            <v>1.9427774334744439E-2</v>
          </cell>
          <cell r="E70">
            <v>0.13599442034321105</v>
          </cell>
          <cell r="F70">
            <v>0.84457780532204452</v>
          </cell>
          <cell r="G70">
            <v>0</v>
          </cell>
          <cell r="H70">
            <v>0</v>
          </cell>
          <cell r="J70" t="str">
            <v>Societe de developpement Hotelier</v>
          </cell>
        </row>
        <row r="71">
          <cell r="A71" t="str">
            <v>501.2012.10.1411.00004</v>
          </cell>
          <cell r="B71">
            <v>3</v>
          </cell>
          <cell r="C71">
            <v>1</v>
          </cell>
          <cell r="H71">
            <v>0</v>
          </cell>
          <cell r="J71" t="str">
            <v>CLINIQUE LES JASMINS</v>
          </cell>
        </row>
        <row r="72">
          <cell r="A72" t="str">
            <v>505.2014.10.1411.00005</v>
          </cell>
          <cell r="B72">
            <v>3</v>
          </cell>
          <cell r="C72">
            <v>1</v>
          </cell>
          <cell r="H72">
            <v>0</v>
          </cell>
          <cell r="J72" t="str">
            <v>Clinique Les Cèdres  .</v>
          </cell>
        </row>
        <row r="73">
          <cell r="A73" t="str">
            <v>201.2014.10.1312.00002</v>
          </cell>
          <cell r="B73">
            <v>2</v>
          </cell>
          <cell r="C73">
            <v>0.5</v>
          </cell>
          <cell r="D73">
            <v>0</v>
          </cell>
          <cell r="E73">
            <v>0.5</v>
          </cell>
          <cell r="F73">
            <v>0</v>
          </cell>
          <cell r="G73">
            <v>0</v>
          </cell>
          <cell r="H73">
            <v>0</v>
          </cell>
          <cell r="J73" t="str">
            <v>SIEMENS Spa</v>
          </cell>
        </row>
        <row r="74">
          <cell r="A74" t="str">
            <v>203.2015.12.1312.00002</v>
          </cell>
          <cell r="B74">
            <v>6</v>
          </cell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J74" t="str">
            <v>ASTALDI TP/COSIDER TP</v>
          </cell>
        </row>
        <row r="75">
          <cell r="A75" t="str">
            <v>203.2016.14.1312.00001</v>
          </cell>
          <cell r="B75">
            <v>1</v>
          </cell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J75" t="str">
            <v>ASTALDI TP/COSIDER TP</v>
          </cell>
        </row>
        <row r="76">
          <cell r="A76" t="str">
            <v>203.2015.12.1312.00002</v>
          </cell>
          <cell r="B76">
            <v>6</v>
          </cell>
          <cell r="C76">
            <v>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J76" t="str">
            <v>ASTALDI TP/COSIDER TP</v>
          </cell>
        </row>
        <row r="77">
          <cell r="A77" t="str">
            <v>203.2015.12.1312.00002</v>
          </cell>
          <cell r="B77">
            <v>6</v>
          </cell>
          <cell r="C77">
            <v>1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J77" t="str">
            <v>ASTALDI TP/COSIDER TP</v>
          </cell>
        </row>
        <row r="78">
          <cell r="A78" t="str">
            <v>201.2015.10.1419.00001</v>
          </cell>
          <cell r="B78">
            <v>3</v>
          </cell>
          <cell r="C78">
            <v>1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J78" t="str">
            <v>MYAH BAHR HONAINE SPA</v>
          </cell>
        </row>
        <row r="79">
          <cell r="A79" t="str">
            <v>201.2016.41.1411.00002</v>
          </cell>
          <cell r="B79">
            <v>3</v>
          </cell>
          <cell r="C79">
            <v>0.21100073428255531</v>
          </cell>
          <cell r="D79">
            <v>0</v>
          </cell>
          <cell r="E79">
            <v>0.78899926571744472</v>
          </cell>
          <cell r="F79">
            <v>0</v>
          </cell>
          <cell r="G79">
            <v>0</v>
          </cell>
          <cell r="H79">
            <v>0</v>
          </cell>
          <cell r="J79" t="str">
            <v>Alstom  Algérie SpA</v>
          </cell>
        </row>
        <row r="80">
          <cell r="A80" t="str">
            <v>203.2012.11.1411.00001</v>
          </cell>
          <cell r="B80">
            <v>3</v>
          </cell>
          <cell r="C80">
            <v>0.33333333333333331</v>
          </cell>
          <cell r="D80">
            <v>0</v>
          </cell>
          <cell r="E80">
            <v>0.66666666666666663</v>
          </cell>
          <cell r="F80">
            <v>0</v>
          </cell>
          <cell r="G80">
            <v>0</v>
          </cell>
          <cell r="H80">
            <v>0</v>
          </cell>
          <cell r="J80" t="str">
            <v>HOTEL  EL AURASSI</v>
          </cell>
        </row>
        <row r="81">
          <cell r="A81" t="str">
            <v>203.2011.10.1419.00009</v>
          </cell>
          <cell r="B81">
            <v>3</v>
          </cell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J81" t="str">
            <v>ARES  ALGERIE  ALGERIE</v>
          </cell>
        </row>
        <row r="82">
          <cell r="A82" t="str">
            <v>204.2013.10.1419.00004</v>
          </cell>
          <cell r="B82">
            <v>3</v>
          </cell>
          <cell r="C82">
            <v>0.24465998989554241</v>
          </cell>
          <cell r="D82">
            <v>0</v>
          </cell>
          <cell r="E82">
            <v>0.75534001010445762</v>
          </cell>
          <cell r="F82">
            <v>0</v>
          </cell>
          <cell r="G82">
            <v>0</v>
          </cell>
          <cell r="H82">
            <v>0</v>
          </cell>
          <cell r="J82" t="str">
            <v>JCC</v>
          </cell>
        </row>
        <row r="83">
          <cell r="A83" t="str">
            <v>204.2009.10.1411.00010</v>
          </cell>
          <cell r="B83">
            <v>3</v>
          </cell>
          <cell r="C83">
            <v>1.38888888888889E-2</v>
          </cell>
          <cell r="D83">
            <v>0</v>
          </cell>
          <cell r="E83">
            <v>0</v>
          </cell>
          <cell r="F83">
            <v>0.98611111111111105</v>
          </cell>
          <cell r="G83">
            <v>0</v>
          </cell>
          <cell r="H83">
            <v>0</v>
          </cell>
          <cell r="J83" t="str">
            <v>Sonatrach</v>
          </cell>
        </row>
        <row r="84">
          <cell r="A84" t="str">
            <v>204.2014.10.1411.00009</v>
          </cell>
          <cell r="B84">
            <v>3</v>
          </cell>
          <cell r="C84">
            <v>9.3749999999999493E-3</v>
          </cell>
          <cell r="D84">
            <v>0</v>
          </cell>
          <cell r="E84">
            <v>0</v>
          </cell>
          <cell r="F84">
            <v>0.99062500000000009</v>
          </cell>
          <cell r="G84">
            <v>0</v>
          </cell>
          <cell r="H84">
            <v>0</v>
          </cell>
          <cell r="J84" t="str">
            <v>NAFTAL</v>
          </cell>
        </row>
        <row r="85">
          <cell r="A85" t="str">
            <v>204.2015.10.1411.00010</v>
          </cell>
          <cell r="B85">
            <v>3</v>
          </cell>
          <cell r="C85">
            <v>8.5034013605442167E-3</v>
          </cell>
          <cell r="D85">
            <v>0</v>
          </cell>
          <cell r="E85">
            <v>0</v>
          </cell>
          <cell r="F85">
            <v>0.99149659863945583</v>
          </cell>
          <cell r="G85">
            <v>0</v>
          </cell>
          <cell r="H85">
            <v>0</v>
          </cell>
          <cell r="J85" t="str">
            <v>NAFTAL</v>
          </cell>
        </row>
        <row r="86">
          <cell r="A86" t="str">
            <v>204.2016.10.1411.00011</v>
          </cell>
          <cell r="B86">
            <v>3</v>
          </cell>
          <cell r="C86">
            <v>7.5757575757575751E-3</v>
          </cell>
          <cell r="D86">
            <v>0</v>
          </cell>
          <cell r="E86">
            <v>0</v>
          </cell>
          <cell r="F86">
            <v>0.99242424242424243</v>
          </cell>
          <cell r="G86">
            <v>0</v>
          </cell>
          <cell r="H86">
            <v>0</v>
          </cell>
          <cell r="J86" t="str">
            <v>NAFTAL</v>
          </cell>
        </row>
        <row r="87">
          <cell r="A87" t="str">
            <v>204.2016.10.1411.00011</v>
          </cell>
          <cell r="B87">
            <v>3</v>
          </cell>
          <cell r="C87">
            <v>7.5757575757575751E-3</v>
          </cell>
          <cell r="D87">
            <v>0</v>
          </cell>
          <cell r="E87">
            <v>0</v>
          </cell>
          <cell r="F87">
            <v>0.99242424242424243</v>
          </cell>
          <cell r="G87">
            <v>0</v>
          </cell>
          <cell r="H87">
            <v>0</v>
          </cell>
          <cell r="J87" t="str">
            <v>NAFTAL</v>
          </cell>
        </row>
        <row r="88">
          <cell r="A88" t="str">
            <v>204.2016.10.1411.00011</v>
          </cell>
          <cell r="B88">
            <v>3</v>
          </cell>
          <cell r="C88">
            <v>7.5757575757575751E-3</v>
          </cell>
          <cell r="D88">
            <v>0</v>
          </cell>
          <cell r="E88">
            <v>0</v>
          </cell>
          <cell r="F88">
            <v>0.99242424242424243</v>
          </cell>
          <cell r="G88">
            <v>0</v>
          </cell>
          <cell r="H88">
            <v>0</v>
          </cell>
          <cell r="J88" t="str">
            <v>NAFTAL</v>
          </cell>
        </row>
        <row r="89">
          <cell r="A89" t="str">
            <v>204.2011.12.1411.00002</v>
          </cell>
          <cell r="B89">
            <v>4</v>
          </cell>
          <cell r="C89">
            <v>0.13888888888888901</v>
          </cell>
          <cell r="D89">
            <v>8.6111111111111097E-2</v>
          </cell>
          <cell r="E89">
            <v>0.77500000000000002</v>
          </cell>
          <cell r="F89">
            <v>0</v>
          </cell>
          <cell r="G89">
            <v>0</v>
          </cell>
          <cell r="H89">
            <v>0</v>
          </cell>
          <cell r="J89" t="str">
            <v>Sonatrach</v>
          </cell>
        </row>
        <row r="90">
          <cell r="A90" t="str">
            <v>204.2014.10.1411.00009</v>
          </cell>
          <cell r="B90">
            <v>3</v>
          </cell>
          <cell r="C90">
            <v>9.3749999999999493E-3</v>
          </cell>
          <cell r="D90">
            <v>0</v>
          </cell>
          <cell r="E90">
            <v>0</v>
          </cell>
          <cell r="F90">
            <v>0.99062500000000009</v>
          </cell>
          <cell r="G90">
            <v>0</v>
          </cell>
          <cell r="H90">
            <v>0</v>
          </cell>
          <cell r="J90" t="str">
            <v>NAFTAL</v>
          </cell>
        </row>
        <row r="91">
          <cell r="A91" t="str">
            <v>205.2016.10.1411.00008</v>
          </cell>
          <cell r="B91">
            <v>3</v>
          </cell>
          <cell r="C91">
            <v>0.625</v>
          </cell>
          <cell r="D91">
            <v>0</v>
          </cell>
          <cell r="E91">
            <v>0.375</v>
          </cell>
          <cell r="F91">
            <v>0</v>
          </cell>
          <cell r="G91">
            <v>0</v>
          </cell>
          <cell r="H91">
            <v>0</v>
          </cell>
          <cell r="J91" t="str">
            <v>EPE ALFAPIPE SpA</v>
          </cell>
        </row>
        <row r="92">
          <cell r="A92" t="str">
            <v>206.2015.10.1411.00005</v>
          </cell>
          <cell r="B92">
            <v>3</v>
          </cell>
          <cell r="C92">
            <v>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J92" t="str">
            <v>HOPITAL PSYCHIATRIQUE FRANTZ FANON BLIDA</v>
          </cell>
        </row>
        <row r="93">
          <cell r="A93" t="str">
            <v>304.2013.10.1414.00001</v>
          </cell>
          <cell r="B93">
            <v>2</v>
          </cell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J93" t="str">
            <v>SPORT FELLAOUCENE</v>
          </cell>
        </row>
        <row r="94">
          <cell r="A94" t="str">
            <v>304.2015.10.1414.00002</v>
          </cell>
          <cell r="B94">
            <v>3</v>
          </cell>
          <cell r="C94">
            <v>1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J94" t="str">
            <v>JEUNESSE SPORT FELLAOUCENE</v>
          </cell>
        </row>
        <row r="95">
          <cell r="A95" t="str">
            <v>502.2012.10.1411.00010</v>
          </cell>
          <cell r="B95">
            <v>6</v>
          </cell>
          <cell r="C95">
            <v>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J95" t="str">
            <v>S.P.A ALTRO</v>
          </cell>
        </row>
        <row r="96">
          <cell r="A96" t="str">
            <v>505.2015.10.1414.00003</v>
          </cell>
          <cell r="B96">
            <v>3</v>
          </cell>
          <cell r="C96">
            <v>1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J96" t="str">
            <v>CSA WACZ</v>
          </cell>
        </row>
        <row r="97">
          <cell r="A97" t="str">
            <v>505.2014.10.1411.00005</v>
          </cell>
          <cell r="B97">
            <v>3</v>
          </cell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J97" t="str">
            <v>Clinique Les Cèdres  .</v>
          </cell>
        </row>
        <row r="98">
          <cell r="A98" t="str">
            <v>110.2013.10.1414.00009</v>
          </cell>
          <cell r="B98">
            <v>6</v>
          </cell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J98" t="str">
            <v>US BOUZAREAH</v>
          </cell>
        </row>
        <row r="99">
          <cell r="A99" t="str">
            <v>110.2013.10.1414.00009</v>
          </cell>
          <cell r="B99">
            <v>6</v>
          </cell>
          <cell r="C99">
            <v>1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J99" t="str">
            <v>US BOUZAREAH</v>
          </cell>
        </row>
        <row r="100">
          <cell r="A100" t="str">
            <v>110.2015.11.1411.00001</v>
          </cell>
          <cell r="B100">
            <v>2</v>
          </cell>
          <cell r="C100">
            <v>1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J100" t="str">
            <v>BENMILOUD  HIND</v>
          </cell>
        </row>
        <row r="101">
          <cell r="A101" t="str">
            <v>208.2014.10.1411.00002</v>
          </cell>
          <cell r="B101">
            <v>3</v>
          </cell>
          <cell r="C101">
            <v>0.14285714285714285</v>
          </cell>
          <cell r="D101">
            <v>0</v>
          </cell>
          <cell r="E101">
            <v>0.8571428571428571</v>
          </cell>
          <cell r="F101">
            <v>0</v>
          </cell>
          <cell r="G101">
            <v>0</v>
          </cell>
          <cell r="H101">
            <v>0</v>
          </cell>
          <cell r="J101" t="str">
            <v>LINDE GAS ALGERIE</v>
          </cell>
        </row>
        <row r="102">
          <cell r="A102" t="str">
            <v>210.2016.10.1429.00008</v>
          </cell>
          <cell r="B102">
            <v>3</v>
          </cell>
          <cell r="C102">
            <v>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J102" t="str">
            <v>TRANSCARGO ALGERIE SPA</v>
          </cell>
        </row>
        <row r="103">
          <cell r="A103" t="str">
            <v>301.2013.10.1429.00005</v>
          </cell>
          <cell r="B103">
            <v>6</v>
          </cell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J103" t="str">
            <v>CLINIQUE BENSERAI</v>
          </cell>
        </row>
        <row r="104">
          <cell r="A104" t="str">
            <v>301.2015.10.1411.00008</v>
          </cell>
          <cell r="B104">
            <v>3</v>
          </cell>
          <cell r="C104">
            <v>1.9427774334744439E-2</v>
          </cell>
          <cell r="D104">
            <v>0</v>
          </cell>
          <cell r="E104">
            <v>0.13599442034321105</v>
          </cell>
          <cell r="F104">
            <v>0.84457780532204452</v>
          </cell>
          <cell r="G104">
            <v>0</v>
          </cell>
          <cell r="H104">
            <v>0</v>
          </cell>
          <cell r="J104" t="str">
            <v>Societe de developpement Hotelier</v>
          </cell>
        </row>
        <row r="105">
          <cell r="A105" t="str">
            <v>301.2013.10.1429.00005</v>
          </cell>
          <cell r="B105">
            <v>6</v>
          </cell>
          <cell r="C105">
            <v>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J105" t="str">
            <v>CLINIQUE BENSERAI</v>
          </cell>
        </row>
        <row r="106">
          <cell r="A106" t="str">
            <v>305.2015.10.1414.00003</v>
          </cell>
          <cell r="B106">
            <v>3</v>
          </cell>
          <cell r="C106">
            <v>1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J106" t="str">
            <v>Sport et travail CASH Spa</v>
          </cell>
        </row>
        <row r="107">
          <cell r="A107" t="str">
            <v>501.2012.10.1411.00004</v>
          </cell>
          <cell r="B107">
            <v>3</v>
          </cell>
          <cell r="C107">
            <v>1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J107" t="str">
            <v>CLINIQUE LES JASMINS</v>
          </cell>
        </row>
        <row r="108">
          <cell r="A108" t="str">
            <v>505.2014.10.1411.00003</v>
          </cell>
          <cell r="B108">
            <v>6</v>
          </cell>
          <cell r="C108">
            <v>1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J108" t="str">
            <v>OFFICE DES ETABLISSEMENTS DE JEUNES (ODEJ).W BATNA</v>
          </cell>
        </row>
        <row r="109">
          <cell r="A109" t="str">
            <v>505.2014.10.1411.00003</v>
          </cell>
          <cell r="B109">
            <v>6</v>
          </cell>
          <cell r="C109">
            <v>1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J109" t="str">
            <v>OFFICE DES ETABLISSEMENTS DE JEUNES (ODEJ).W BATNA</v>
          </cell>
        </row>
        <row r="110">
          <cell r="A110" t="str">
            <v>502.2012.10.1411.00010</v>
          </cell>
          <cell r="B110">
            <v>6</v>
          </cell>
          <cell r="C110">
            <v>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J110" t="str">
            <v>S.P.A ALTRO</v>
          </cell>
        </row>
        <row r="111">
          <cell r="A111" t="str">
            <v>201.2017.10.1411.00002</v>
          </cell>
          <cell r="B111">
            <v>1</v>
          </cell>
          <cell r="C111">
            <v>0.5</v>
          </cell>
          <cell r="D111">
            <v>0</v>
          </cell>
          <cell r="E111">
            <v>0.5</v>
          </cell>
          <cell r="F111">
            <v>0</v>
          </cell>
          <cell r="G111">
            <v>0</v>
          </cell>
          <cell r="H111">
            <v>0</v>
          </cell>
        </row>
        <row r="112">
          <cell r="A112" t="str">
            <v>201.2017.10.1411.00005</v>
          </cell>
          <cell r="B112">
            <v>1</v>
          </cell>
          <cell r="C112">
            <v>0.5</v>
          </cell>
          <cell r="D112">
            <v>0</v>
          </cell>
          <cell r="E112">
            <v>0.5</v>
          </cell>
          <cell r="F112">
            <v>0</v>
          </cell>
          <cell r="G112">
            <v>0</v>
          </cell>
          <cell r="H112">
            <v>0</v>
          </cell>
        </row>
        <row r="113">
          <cell r="A113" t="str">
            <v>201.2017.10.1419.00002</v>
          </cell>
          <cell r="B113">
            <v>1</v>
          </cell>
          <cell r="C113">
            <v>0.85219670745280107</v>
          </cell>
          <cell r="D113">
            <v>0</v>
          </cell>
          <cell r="E113">
            <v>0.14780329254719893</v>
          </cell>
          <cell r="F113">
            <v>0</v>
          </cell>
          <cell r="G113">
            <v>0</v>
          </cell>
          <cell r="H113">
            <v>0</v>
          </cell>
        </row>
        <row r="114">
          <cell r="A114" t="str">
            <v>201.2017.10.1429.00003</v>
          </cell>
          <cell r="B114">
            <v>1</v>
          </cell>
          <cell r="C114">
            <v>0.75</v>
          </cell>
          <cell r="D114">
            <v>0</v>
          </cell>
          <cell r="E114">
            <v>0.25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201.2017.10.1411.00008</v>
          </cell>
          <cell r="B115">
            <v>1</v>
          </cell>
          <cell r="C115">
            <v>0.254902388953686</v>
          </cell>
          <cell r="D115">
            <v>0</v>
          </cell>
          <cell r="E115">
            <v>0.745097611046314</v>
          </cell>
          <cell r="F115">
            <v>0</v>
          </cell>
          <cell r="G115">
            <v>0</v>
          </cell>
          <cell r="H115">
            <v>0</v>
          </cell>
        </row>
        <row r="116">
          <cell r="A116" t="str">
            <v>201.2017.10.1411.00009</v>
          </cell>
          <cell r="B116">
            <v>1</v>
          </cell>
          <cell r="C116">
            <v>0.12904036124418997</v>
          </cell>
          <cell r="D116">
            <v>0</v>
          </cell>
          <cell r="E116">
            <v>0.47095963875581004</v>
          </cell>
          <cell r="F116">
            <v>0.4</v>
          </cell>
          <cell r="G116">
            <v>0</v>
          </cell>
          <cell r="H116">
            <v>0</v>
          </cell>
        </row>
        <row r="117">
          <cell r="A117" t="str">
            <v>201.2017.10.1411.00010</v>
          </cell>
          <cell r="B117">
            <v>1</v>
          </cell>
          <cell r="C117">
            <v>0.68505017030138982</v>
          </cell>
          <cell r="D117">
            <v>0</v>
          </cell>
          <cell r="E117">
            <v>0.31494982969861024</v>
          </cell>
          <cell r="F117">
            <v>0</v>
          </cell>
          <cell r="G117">
            <v>0</v>
          </cell>
          <cell r="H117">
            <v>0</v>
          </cell>
        </row>
        <row r="118">
          <cell r="A118" t="str">
            <v>203.2017.10.1419.00001</v>
          </cell>
          <cell r="B118">
            <v>1</v>
          </cell>
          <cell r="C118">
            <v>0.5</v>
          </cell>
          <cell r="D118">
            <v>0</v>
          </cell>
          <cell r="E118">
            <v>0.5</v>
          </cell>
          <cell r="F118">
            <v>0</v>
          </cell>
          <cell r="G118">
            <v>0</v>
          </cell>
          <cell r="H118">
            <v>0</v>
          </cell>
        </row>
        <row r="119">
          <cell r="A119" t="str">
            <v>203.2017.10.1411.00001</v>
          </cell>
          <cell r="B119">
            <v>1</v>
          </cell>
          <cell r="C119">
            <v>0.75</v>
          </cell>
          <cell r="D119">
            <v>0</v>
          </cell>
          <cell r="E119">
            <v>0.25</v>
          </cell>
          <cell r="F119">
            <v>0</v>
          </cell>
          <cell r="G119">
            <v>0</v>
          </cell>
          <cell r="H119">
            <v>0</v>
          </cell>
        </row>
        <row r="120">
          <cell r="A120" t="str">
            <v>203.2017.10.1312.00001</v>
          </cell>
          <cell r="B120">
            <v>1</v>
          </cell>
          <cell r="C120">
            <v>0.27172436280636925</v>
          </cell>
          <cell r="D120">
            <v>0</v>
          </cell>
          <cell r="E120">
            <v>0.72827563719363075</v>
          </cell>
          <cell r="F120">
            <v>0</v>
          </cell>
          <cell r="G120">
            <v>0</v>
          </cell>
          <cell r="H120">
            <v>0</v>
          </cell>
        </row>
        <row r="121">
          <cell r="A121" t="str">
            <v>203.2017.10.1411.00002</v>
          </cell>
          <cell r="B121">
            <v>1</v>
          </cell>
          <cell r="C121">
            <v>0.5</v>
          </cell>
          <cell r="D121">
            <v>0</v>
          </cell>
          <cell r="E121">
            <v>0.5</v>
          </cell>
          <cell r="F121">
            <v>0</v>
          </cell>
          <cell r="G121">
            <v>0</v>
          </cell>
          <cell r="H121">
            <v>0</v>
          </cell>
        </row>
        <row r="122">
          <cell r="A122" t="str">
            <v>205.2017.10.1429.00002</v>
          </cell>
          <cell r="B122">
            <v>1</v>
          </cell>
          <cell r="C122">
            <v>0.75</v>
          </cell>
          <cell r="D122">
            <v>0</v>
          </cell>
          <cell r="E122">
            <v>0.25</v>
          </cell>
          <cell r="F122">
            <v>0</v>
          </cell>
          <cell r="G122">
            <v>0</v>
          </cell>
          <cell r="H122">
            <v>0</v>
          </cell>
        </row>
        <row r="123">
          <cell r="A123" t="str">
            <v>205.2017.10.1411.00005</v>
          </cell>
          <cell r="B123">
            <v>1</v>
          </cell>
          <cell r="C123">
            <v>0.5</v>
          </cell>
          <cell r="D123">
            <v>0</v>
          </cell>
          <cell r="E123">
            <v>0.5</v>
          </cell>
          <cell r="F123">
            <v>0</v>
          </cell>
          <cell r="G123">
            <v>0</v>
          </cell>
          <cell r="H123">
            <v>0</v>
          </cell>
        </row>
        <row r="124">
          <cell r="A124" t="str">
            <v>205.2017.10.1411.00006</v>
          </cell>
          <cell r="B124">
            <v>1</v>
          </cell>
          <cell r="C124">
            <v>0.5</v>
          </cell>
          <cell r="D124">
            <v>0</v>
          </cell>
          <cell r="E124">
            <v>0.5</v>
          </cell>
          <cell r="F124">
            <v>0</v>
          </cell>
          <cell r="G124">
            <v>0</v>
          </cell>
          <cell r="H124">
            <v>0</v>
          </cell>
        </row>
        <row r="125">
          <cell r="A125" t="str">
            <v>205.2017.10.1429.00007</v>
          </cell>
          <cell r="B125">
            <v>1</v>
          </cell>
          <cell r="C125">
            <v>0.3</v>
          </cell>
          <cell r="D125">
            <v>0</v>
          </cell>
          <cell r="E125">
            <v>0.7</v>
          </cell>
          <cell r="F125">
            <v>0</v>
          </cell>
          <cell r="G125">
            <v>0</v>
          </cell>
          <cell r="H125">
            <v>0</v>
          </cell>
        </row>
        <row r="126">
          <cell r="A126" t="str">
            <v>207.2017.10.1411.00003</v>
          </cell>
          <cell r="B126">
            <v>1</v>
          </cell>
          <cell r="C126">
            <v>0.75</v>
          </cell>
          <cell r="D126">
            <v>0</v>
          </cell>
          <cell r="E126">
            <v>0.25</v>
          </cell>
          <cell r="F126">
            <v>0</v>
          </cell>
          <cell r="G126">
            <v>0</v>
          </cell>
          <cell r="H126">
            <v>0</v>
          </cell>
        </row>
        <row r="127">
          <cell r="A127" t="str">
            <v>211.2017.10.1411.00002</v>
          </cell>
          <cell r="B127">
            <v>1</v>
          </cell>
          <cell r="C127">
            <v>0.44726000000118193</v>
          </cell>
          <cell r="D127">
            <v>0</v>
          </cell>
          <cell r="E127">
            <v>0.55273999999881807</v>
          </cell>
          <cell r="F127">
            <v>0</v>
          </cell>
          <cell r="G127">
            <v>0</v>
          </cell>
          <cell r="H127">
            <v>0</v>
          </cell>
        </row>
        <row r="128">
          <cell r="A128" t="str">
            <v>211.2017.10.1429.00001</v>
          </cell>
          <cell r="B128">
            <v>1</v>
          </cell>
          <cell r="C128">
            <v>0.44726000000118193</v>
          </cell>
          <cell r="D128">
            <v>0</v>
          </cell>
          <cell r="E128">
            <v>0.55273999999881807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301.2016.10.1411.00008</v>
          </cell>
          <cell r="B129">
            <v>1</v>
          </cell>
          <cell r="C129">
            <v>0.3</v>
          </cell>
          <cell r="D129">
            <v>0</v>
          </cell>
          <cell r="E129">
            <v>0.7</v>
          </cell>
          <cell r="F129">
            <v>0</v>
          </cell>
          <cell r="G129">
            <v>0</v>
          </cell>
          <cell r="H129">
            <v>0</v>
          </cell>
        </row>
        <row r="130">
          <cell r="A130" t="str">
            <v>301.2016.10.1411.00009</v>
          </cell>
          <cell r="B130">
            <v>1</v>
          </cell>
          <cell r="C130">
            <v>0.3</v>
          </cell>
          <cell r="D130">
            <v>0</v>
          </cell>
          <cell r="E130">
            <v>0.7</v>
          </cell>
          <cell r="F130">
            <v>0</v>
          </cell>
          <cell r="G130">
            <v>0</v>
          </cell>
          <cell r="H130">
            <v>0</v>
          </cell>
        </row>
        <row r="131">
          <cell r="A131" t="str">
            <v>301.2016.10.1429.00007</v>
          </cell>
          <cell r="B131">
            <v>1</v>
          </cell>
          <cell r="C131">
            <v>0.3</v>
          </cell>
          <cell r="D131">
            <v>0</v>
          </cell>
          <cell r="E131">
            <v>0.7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301.2016.10.1429.00008</v>
          </cell>
          <cell r="B132">
            <v>1</v>
          </cell>
          <cell r="C132">
            <v>0.3</v>
          </cell>
          <cell r="D132">
            <v>0</v>
          </cell>
          <cell r="E132">
            <v>0.7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302.2017.10.1429.00001</v>
          </cell>
          <cell r="B133">
            <v>2</v>
          </cell>
          <cell r="C133">
            <v>0.43007903992595758</v>
          </cell>
          <cell r="D133">
            <v>0</v>
          </cell>
          <cell r="E133">
            <v>0.56992096007404236</v>
          </cell>
          <cell r="F133">
            <v>0</v>
          </cell>
          <cell r="G133">
            <v>0</v>
          </cell>
          <cell r="H133">
            <v>0</v>
          </cell>
        </row>
        <row r="134">
          <cell r="A134" t="str">
            <v>302.2017.10.1411.00002</v>
          </cell>
          <cell r="B134">
            <v>1</v>
          </cell>
          <cell r="C134">
            <v>0.75</v>
          </cell>
          <cell r="D134">
            <v>0</v>
          </cell>
          <cell r="E134">
            <v>0.25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302.2017.10.1411.00003</v>
          </cell>
          <cell r="B135">
            <v>1</v>
          </cell>
          <cell r="C135">
            <v>2.2472031309831782E-2</v>
          </cell>
          <cell r="D135">
            <v>0</v>
          </cell>
          <cell r="E135">
            <v>0.16179862543078885</v>
          </cell>
          <cell r="F135">
            <v>0.8157293432593794</v>
          </cell>
          <cell r="G135">
            <v>0</v>
          </cell>
          <cell r="H135">
            <v>0</v>
          </cell>
        </row>
        <row r="136">
          <cell r="A136" t="str">
            <v>401.2017.10.1411.00001</v>
          </cell>
          <cell r="B136">
            <v>1</v>
          </cell>
          <cell r="C136">
            <v>0.13497802557743599</v>
          </cell>
          <cell r="D136">
            <v>0</v>
          </cell>
          <cell r="E136">
            <v>0.86502197442256401</v>
          </cell>
          <cell r="F136">
            <v>0</v>
          </cell>
          <cell r="G136">
            <v>0</v>
          </cell>
          <cell r="H136">
            <v>0</v>
          </cell>
        </row>
        <row r="137">
          <cell r="A137" t="str">
            <v>401.2017.10.1411.00003</v>
          </cell>
          <cell r="B137">
            <v>1</v>
          </cell>
          <cell r="C137">
            <v>0.13569785335042522</v>
          </cell>
          <cell r="D137">
            <v>0</v>
          </cell>
          <cell r="E137">
            <v>0.86430214664957483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401.2017.10.1411.00004</v>
          </cell>
          <cell r="B138">
            <v>1</v>
          </cell>
          <cell r="C138">
            <v>0.45691142497879933</v>
          </cell>
          <cell r="D138">
            <v>0</v>
          </cell>
          <cell r="E138">
            <v>0.54308857502120067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401.2017.10.1419.00001</v>
          </cell>
          <cell r="B139">
            <v>1</v>
          </cell>
          <cell r="C139">
            <v>0.27414685498727959</v>
          </cell>
          <cell r="D139">
            <v>0</v>
          </cell>
          <cell r="E139">
            <v>0.72585314501272047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502.2017.10.1417.00001</v>
          </cell>
          <cell r="B140">
            <v>1</v>
          </cell>
          <cell r="C140">
            <v>0.3</v>
          </cell>
          <cell r="D140">
            <v>0</v>
          </cell>
          <cell r="E140">
            <v>0.7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505.2017.10.1411.00016</v>
          </cell>
          <cell r="B141">
            <v>1</v>
          </cell>
          <cell r="C141">
            <v>0.25</v>
          </cell>
          <cell r="D141">
            <v>0</v>
          </cell>
          <cell r="E141">
            <v>0.75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205.2017.10.1429.00008</v>
          </cell>
          <cell r="B142">
            <v>1</v>
          </cell>
          <cell r="C142">
            <v>0.375</v>
          </cell>
          <cell r="D142">
            <v>0</v>
          </cell>
          <cell r="E142">
            <v>0.625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211.2017.10.1411.00006</v>
          </cell>
          <cell r="B143">
            <v>1</v>
          </cell>
          <cell r="C143">
            <v>0.48497389223880116</v>
          </cell>
          <cell r="D143">
            <v>0</v>
          </cell>
          <cell r="E143">
            <v>0.51502610776119884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301.2017.10.1411.00005</v>
          </cell>
          <cell r="B144">
            <v>1</v>
          </cell>
          <cell r="C144">
            <v>0.23342343477915808</v>
          </cell>
          <cell r="D144">
            <v>0</v>
          </cell>
          <cell r="E144">
            <v>0.76657656522084194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401.2017.10.1411.00010</v>
          </cell>
          <cell r="B145">
            <v>1</v>
          </cell>
          <cell r="C145">
            <v>0.27149321266968324</v>
          </cell>
          <cell r="D145">
            <v>0</v>
          </cell>
          <cell r="E145">
            <v>0.72850678733031671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401.2017.10.1419.00003</v>
          </cell>
          <cell r="B146">
            <v>1</v>
          </cell>
          <cell r="C146">
            <v>0.27149321266968324</v>
          </cell>
          <cell r="D146">
            <v>0</v>
          </cell>
          <cell r="E146">
            <v>0.72850678733031671</v>
          </cell>
          <cell r="F146">
            <v>0</v>
          </cell>
          <cell r="G146">
            <v>0</v>
          </cell>
          <cell r="H146">
            <v>0</v>
          </cell>
        </row>
        <row r="147">
          <cell r="A147" t="str">
            <v>201.2017.10.1411.00011</v>
          </cell>
          <cell r="B147">
            <v>1</v>
          </cell>
          <cell r="C147">
            <v>0.6</v>
          </cell>
          <cell r="D147">
            <v>0</v>
          </cell>
          <cell r="E147">
            <v>0.4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201.2017.10.1411.00013</v>
          </cell>
          <cell r="B148">
            <v>1</v>
          </cell>
          <cell r="C148">
            <v>0.50871255027775708</v>
          </cell>
          <cell r="D148">
            <v>0</v>
          </cell>
          <cell r="E148">
            <v>0.49128744972224297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201.2017.10.1419.00005</v>
          </cell>
          <cell r="B149">
            <v>1</v>
          </cell>
          <cell r="C149">
            <v>0.50871255027775708</v>
          </cell>
          <cell r="D149">
            <v>0</v>
          </cell>
          <cell r="E149">
            <v>0.49128744972224297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204.2017.10.1411.00002</v>
          </cell>
          <cell r="B150">
            <v>1</v>
          </cell>
          <cell r="C150">
            <v>6.8392030413479979E-2</v>
          </cell>
          <cell r="D150">
            <v>0</v>
          </cell>
          <cell r="E150">
            <v>0.41035218248087985</v>
          </cell>
          <cell r="F150">
            <v>0.52125578710564024</v>
          </cell>
          <cell r="G150">
            <v>0</v>
          </cell>
          <cell r="H150">
            <v>0</v>
          </cell>
        </row>
        <row r="151">
          <cell r="A151" t="str">
            <v>210.2017.10.1429.00005</v>
          </cell>
          <cell r="B151">
            <v>1</v>
          </cell>
          <cell r="C151">
            <v>0.5</v>
          </cell>
          <cell r="D151">
            <v>0</v>
          </cell>
          <cell r="E151">
            <v>0.5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401.2017.10.1411.00012</v>
          </cell>
          <cell r="B152">
            <v>1</v>
          </cell>
          <cell r="C152">
            <v>0.1875</v>
          </cell>
          <cell r="D152">
            <v>0</v>
          </cell>
          <cell r="E152">
            <v>0.8125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201.2017.10.1411.00014</v>
          </cell>
          <cell r="B153">
            <v>1</v>
          </cell>
          <cell r="C153">
            <v>0.24811780664556962</v>
          </cell>
          <cell r="D153">
            <v>0</v>
          </cell>
          <cell r="E153">
            <v>0.75188219335443041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201.2017.10.1411.00015</v>
          </cell>
          <cell r="B154">
            <v>1</v>
          </cell>
          <cell r="C154">
            <v>9.1441195538766951E-2</v>
          </cell>
          <cell r="D154">
            <v>0</v>
          </cell>
          <cell r="E154">
            <v>0.5486471732326017</v>
          </cell>
          <cell r="F154">
            <v>0.35991163122863135</v>
          </cell>
          <cell r="G154">
            <v>0</v>
          </cell>
          <cell r="H154">
            <v>0</v>
          </cell>
        </row>
        <row r="155">
          <cell r="A155" t="str">
            <v>201.2017.10.1411.00016</v>
          </cell>
          <cell r="B155">
            <v>1</v>
          </cell>
          <cell r="C155">
            <v>9.1441195538766951E-2</v>
          </cell>
          <cell r="D155">
            <v>0</v>
          </cell>
          <cell r="E155">
            <v>0.5486471732326017</v>
          </cell>
          <cell r="F155">
            <v>0.35991163122863135</v>
          </cell>
          <cell r="G155">
            <v>0</v>
          </cell>
          <cell r="H155">
            <v>0</v>
          </cell>
        </row>
        <row r="156">
          <cell r="A156" t="str">
            <v>203.2017.10.1411.00009</v>
          </cell>
          <cell r="B156">
            <v>1</v>
          </cell>
          <cell r="C156">
            <v>0.6</v>
          </cell>
          <cell r="D156">
            <v>0</v>
          </cell>
          <cell r="E156">
            <v>0.4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204.2017.10.1411.00004</v>
          </cell>
          <cell r="B157">
            <v>1</v>
          </cell>
          <cell r="C157">
            <v>9.1441195538766951E-2</v>
          </cell>
          <cell r="D157">
            <v>0</v>
          </cell>
          <cell r="E157">
            <v>0.40855880446123305</v>
          </cell>
          <cell r="F157">
            <v>0.5</v>
          </cell>
          <cell r="G157">
            <v>0</v>
          </cell>
          <cell r="H157">
            <v>0</v>
          </cell>
        </row>
        <row r="158">
          <cell r="A158" t="str">
            <v>205.2017.10.1429.00011</v>
          </cell>
          <cell r="B158">
            <v>1</v>
          </cell>
          <cell r="C158">
            <v>0.21428571428571427</v>
          </cell>
          <cell r="D158">
            <v>0</v>
          </cell>
          <cell r="E158">
            <v>0.7857142857142857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305.2017.10.1411.00019</v>
          </cell>
          <cell r="B159">
            <v>1</v>
          </cell>
          <cell r="C159">
            <v>0.1380775554013178</v>
          </cell>
          <cell r="D159">
            <v>0</v>
          </cell>
          <cell r="E159">
            <v>0.86192244459868217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507 2016 10 1311 00008</v>
          </cell>
          <cell r="B160">
            <v>1</v>
          </cell>
          <cell r="C160">
            <v>0.52603524325031137</v>
          </cell>
          <cell r="D160">
            <v>0</v>
          </cell>
          <cell r="E160">
            <v>0.47396475674968869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212 2016 10 1312 00001</v>
          </cell>
          <cell r="B161">
            <v>1</v>
          </cell>
          <cell r="C161">
            <v>0.21982194092173141</v>
          </cell>
          <cell r="D161">
            <v>0</v>
          </cell>
          <cell r="E161">
            <v>0.78017805907826865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203 2016 10 1411 00006</v>
          </cell>
          <cell r="B162">
            <v>1</v>
          </cell>
          <cell r="C162">
            <v>0.625</v>
          </cell>
          <cell r="D162">
            <v>0</v>
          </cell>
          <cell r="E162">
            <v>0.375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203 2016 10 1411 00007</v>
          </cell>
          <cell r="B163">
            <v>1</v>
          </cell>
          <cell r="C163">
            <v>0.625</v>
          </cell>
          <cell r="D163">
            <v>0</v>
          </cell>
          <cell r="E163">
            <v>0.375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204 2016 10 1411 00003</v>
          </cell>
          <cell r="B164">
            <v>1</v>
          </cell>
          <cell r="C164">
            <v>5.6858551389668485E-2</v>
          </cell>
          <cell r="D164">
            <v>0</v>
          </cell>
          <cell r="E164">
            <v>0.39800985972767938</v>
          </cell>
          <cell r="F164">
            <v>0.54513158888265212</v>
          </cell>
          <cell r="G164">
            <v>0</v>
          </cell>
          <cell r="H164">
            <v>0</v>
          </cell>
        </row>
        <row r="165">
          <cell r="A165" t="str">
            <v>401 2016 10 1411 00011</v>
          </cell>
          <cell r="B165">
            <v>1</v>
          </cell>
          <cell r="C165">
            <v>0.5</v>
          </cell>
          <cell r="D165">
            <v>0</v>
          </cell>
          <cell r="E165">
            <v>0.5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203 2016 10 1411 00002</v>
          </cell>
          <cell r="B166">
            <v>1</v>
          </cell>
          <cell r="C166">
            <v>0.15625</v>
          </cell>
          <cell r="D166">
            <v>0</v>
          </cell>
          <cell r="E166">
            <v>0.84375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204 2016 10 1312 00001</v>
          </cell>
          <cell r="B167">
            <v>1</v>
          </cell>
          <cell r="C167">
            <v>0.35612535612535612</v>
          </cell>
          <cell r="D167">
            <v>0</v>
          </cell>
          <cell r="E167">
            <v>0.64387464387464388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201 2016 10 1411 00012</v>
          </cell>
          <cell r="B168">
            <v>1</v>
          </cell>
          <cell r="C168">
            <v>7.6138545351772266E-2</v>
          </cell>
          <cell r="D168">
            <v>0</v>
          </cell>
          <cell r="E168">
            <v>0.42386145464822778</v>
          </cell>
          <cell r="F168">
            <v>0.49999999999999994</v>
          </cell>
          <cell r="G168">
            <v>0</v>
          </cell>
          <cell r="H168">
            <v>0</v>
          </cell>
        </row>
        <row r="169">
          <cell r="A169" t="str">
            <v>201 2016 10 1411 00013</v>
          </cell>
          <cell r="B169">
            <v>1</v>
          </cell>
          <cell r="C169">
            <v>7.6138545351772266E-2</v>
          </cell>
          <cell r="D169">
            <v>0</v>
          </cell>
          <cell r="E169">
            <v>0.42386145464822778</v>
          </cell>
          <cell r="F169">
            <v>0.49999999999999994</v>
          </cell>
          <cell r="G169">
            <v>0</v>
          </cell>
          <cell r="H169">
            <v>0</v>
          </cell>
        </row>
        <row r="170">
          <cell r="A170" t="str">
            <v>201 2016 10 1411 00002</v>
          </cell>
          <cell r="B170">
            <v>1</v>
          </cell>
          <cell r="C170">
            <v>0.10886680973217024</v>
          </cell>
          <cell r="D170">
            <v>0</v>
          </cell>
          <cell r="E170">
            <v>0.49113319026782976</v>
          </cell>
          <cell r="F170">
            <v>0.40000055941068818</v>
          </cell>
          <cell r="G170">
            <v>0</v>
          </cell>
          <cell r="H170">
            <v>5.5941068821674378E-7</v>
          </cell>
        </row>
        <row r="171">
          <cell r="A171" t="str">
            <v>203 2016 10 1419 00002</v>
          </cell>
          <cell r="B171">
            <v>1</v>
          </cell>
          <cell r="C171">
            <v>0.3125</v>
          </cell>
          <cell r="D171">
            <v>0</v>
          </cell>
          <cell r="E171">
            <v>0.6875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204 2016 10 1411 00006</v>
          </cell>
          <cell r="B172">
            <v>1</v>
          </cell>
          <cell r="C172">
            <v>7.6138545351772266E-2</v>
          </cell>
          <cell r="D172">
            <v>0</v>
          </cell>
          <cell r="E172">
            <v>0.42386145464822778</v>
          </cell>
          <cell r="F172">
            <v>0.49999999999999994</v>
          </cell>
          <cell r="G172">
            <v>0</v>
          </cell>
          <cell r="H172">
            <v>0</v>
          </cell>
        </row>
        <row r="173">
          <cell r="A173" t="str">
            <v>205 2016 10 1419 00003</v>
          </cell>
          <cell r="B173">
            <v>1</v>
          </cell>
          <cell r="C173">
            <v>0.25</v>
          </cell>
          <cell r="D173">
            <v>0</v>
          </cell>
          <cell r="E173">
            <v>0.75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205 2016 10 1429 00008</v>
          </cell>
          <cell r="B174">
            <v>1</v>
          </cell>
          <cell r="C174">
            <v>0.17857142857142858</v>
          </cell>
          <cell r="D174">
            <v>0</v>
          </cell>
          <cell r="E174">
            <v>0.8214285714285714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210 2016 10 1429 00005</v>
          </cell>
          <cell r="B175">
            <v>1</v>
          </cell>
          <cell r="C175">
            <v>0.41666666666666669</v>
          </cell>
          <cell r="D175">
            <v>0</v>
          </cell>
          <cell r="E175">
            <v>0.58333333333333337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210 2016 10 1429 00006</v>
          </cell>
          <cell r="B176">
            <v>1</v>
          </cell>
          <cell r="C176">
            <v>0.41666666666666669</v>
          </cell>
          <cell r="D176">
            <v>0</v>
          </cell>
          <cell r="E176">
            <v>0.58333333333333337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210 2016 10 1429 00007</v>
          </cell>
          <cell r="B177">
            <v>1</v>
          </cell>
          <cell r="C177">
            <v>0.41666666666666669</v>
          </cell>
          <cell r="D177">
            <v>0</v>
          </cell>
          <cell r="E177">
            <v>0.58333333333333337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201 2016 10 1411 00014</v>
          </cell>
          <cell r="B178">
            <v>1</v>
          </cell>
          <cell r="C178">
            <v>0.40515716451568728</v>
          </cell>
          <cell r="D178">
            <v>0</v>
          </cell>
          <cell r="E178">
            <v>0.59484283548431272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201 2016 10 1419 00005</v>
          </cell>
          <cell r="B179">
            <v>1</v>
          </cell>
          <cell r="C179">
            <v>0.40515716451568728</v>
          </cell>
          <cell r="D179">
            <v>0</v>
          </cell>
          <cell r="E179">
            <v>0.59484283548431272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201 2016 10 1419 00006</v>
          </cell>
          <cell r="B180">
            <v>1</v>
          </cell>
          <cell r="C180">
            <v>0.50780393080866759</v>
          </cell>
          <cell r="D180">
            <v>0</v>
          </cell>
          <cell r="E180">
            <v>0.49219606919133241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201 2016 10 1411 00010</v>
          </cell>
          <cell r="B181">
            <v>1</v>
          </cell>
          <cell r="C181">
            <v>0.21100073428255531</v>
          </cell>
          <cell r="D181">
            <v>0</v>
          </cell>
          <cell r="E181">
            <v>0.78899926571744472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204 2016 10 1411 00008</v>
          </cell>
          <cell r="B182">
            <v>1</v>
          </cell>
          <cell r="C182">
            <v>4.5355834665283014E-2</v>
          </cell>
          <cell r="D182">
            <v>0</v>
          </cell>
          <cell r="E182">
            <v>0.31749084265698108</v>
          </cell>
          <cell r="F182">
            <v>0.63715332267773594</v>
          </cell>
          <cell r="G182">
            <v>0</v>
          </cell>
          <cell r="H182">
            <v>0</v>
          </cell>
        </row>
        <row r="183">
          <cell r="A183" t="str">
            <v>210 2016 10 1429 00009</v>
          </cell>
          <cell r="B183">
            <v>1</v>
          </cell>
          <cell r="C183">
            <v>0.41666666666666669</v>
          </cell>
          <cell r="D183">
            <v>0</v>
          </cell>
          <cell r="E183">
            <v>0.58333333333333337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210 2015 10 1411 00001</v>
          </cell>
          <cell r="B184">
            <v>1</v>
          </cell>
          <cell r="C184">
            <v>0.83333333333333337</v>
          </cell>
          <cell r="D184">
            <v>0</v>
          </cell>
          <cell r="E184">
            <v>0.16666666666666666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203 2012 10 1419 00004</v>
          </cell>
          <cell r="B185">
            <v>1</v>
          </cell>
          <cell r="C185">
            <v>0.56653115241500895</v>
          </cell>
          <cell r="D185">
            <v>0</v>
          </cell>
          <cell r="E185">
            <v>0.43346884758499099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504 2016 10 1212 00004</v>
          </cell>
          <cell r="B186">
            <v>2</v>
          </cell>
          <cell r="C186">
            <v>0.625</v>
          </cell>
          <cell r="D186">
            <v>0</v>
          </cell>
          <cell r="E186">
            <v>0.375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504 2016 10 1212 00004</v>
          </cell>
          <cell r="B187">
            <v>2</v>
          </cell>
          <cell r="C187">
            <v>0.25</v>
          </cell>
          <cell r="D187">
            <v>0</v>
          </cell>
          <cell r="E187">
            <v>0.75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204 2016 10 1411 00010</v>
          </cell>
          <cell r="B188">
            <v>2</v>
          </cell>
          <cell r="C188">
            <v>0.28409090909090912</v>
          </cell>
          <cell r="D188">
            <v>0</v>
          </cell>
          <cell r="E188">
            <v>0.71590909090909094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204 2016 10 1411 00010</v>
          </cell>
          <cell r="B189">
            <v>2</v>
          </cell>
          <cell r="C189">
            <v>3.6363636363636364E-3</v>
          </cell>
          <cell r="D189">
            <v>0</v>
          </cell>
          <cell r="E189">
            <v>9.2727272727272728E-3</v>
          </cell>
          <cell r="F189">
            <v>0.98709090909090913</v>
          </cell>
          <cell r="G189">
            <v>0</v>
          </cell>
          <cell r="H189">
            <v>0</v>
          </cell>
        </row>
        <row r="190">
          <cell r="A190" t="str">
            <v>204 2016 10 1411 00012</v>
          </cell>
          <cell r="B190">
            <v>1</v>
          </cell>
          <cell r="C190">
            <v>4.5298348512809922E-2</v>
          </cell>
          <cell r="D190">
            <v>0</v>
          </cell>
          <cell r="E190">
            <v>0.31708843958966942</v>
          </cell>
          <cell r="F190">
            <v>0.63761321189752063</v>
          </cell>
          <cell r="G190">
            <v>0</v>
          </cell>
          <cell r="H190">
            <v>0</v>
          </cell>
        </row>
        <row r="191">
          <cell r="A191" t="str">
            <v>204 2016 10 1411 00013</v>
          </cell>
          <cell r="B191">
            <v>1</v>
          </cell>
          <cell r="C191">
            <v>3.3475671890210508E-2</v>
          </cell>
          <cell r="D191">
            <v>0</v>
          </cell>
          <cell r="E191">
            <v>0.23432970323147356</v>
          </cell>
          <cell r="F191">
            <v>0.73219462487831588</v>
          </cell>
          <cell r="G191">
            <v>0</v>
          </cell>
          <cell r="H191">
            <v>0</v>
          </cell>
        </row>
        <row r="192">
          <cell r="A192" t="str">
            <v>204 2016 10 1411 00014</v>
          </cell>
          <cell r="B192">
            <v>1</v>
          </cell>
          <cell r="C192">
            <v>0.25474352829161245</v>
          </cell>
          <cell r="D192">
            <v>0</v>
          </cell>
          <cell r="E192">
            <v>0.74525647170838749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204 2016 10 1419 00002</v>
          </cell>
          <cell r="B193">
            <v>1</v>
          </cell>
          <cell r="C193">
            <v>0.25474352829161245</v>
          </cell>
          <cell r="D193">
            <v>0</v>
          </cell>
          <cell r="E193">
            <v>0.74525647170838749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205 2016 10 1411 00022</v>
          </cell>
          <cell r="B194">
            <v>1</v>
          </cell>
          <cell r="C194">
            <v>0.27133384779620107</v>
          </cell>
          <cell r="D194">
            <v>0</v>
          </cell>
          <cell r="E194">
            <v>0.72866615220379893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205 2016 10 1429 00013</v>
          </cell>
          <cell r="B195">
            <v>1</v>
          </cell>
          <cell r="C195">
            <v>0.22640149316312771</v>
          </cell>
          <cell r="D195">
            <v>0</v>
          </cell>
          <cell r="E195">
            <v>0.77359850683687226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206 2016 10 1421 00001</v>
          </cell>
          <cell r="B196">
            <v>1</v>
          </cell>
          <cell r="C196">
            <v>0.5</v>
          </cell>
          <cell r="D196">
            <v>0</v>
          </cell>
          <cell r="E196">
            <v>0.5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207 2016 10 1421 00001</v>
          </cell>
          <cell r="B197">
            <v>1</v>
          </cell>
          <cell r="C197">
            <v>0.15625</v>
          </cell>
          <cell r="D197">
            <v>0</v>
          </cell>
          <cell r="E197">
            <v>0.84375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401 2016 10 1411 00014</v>
          </cell>
          <cell r="B198">
            <v>1</v>
          </cell>
          <cell r="C198">
            <v>0.3125</v>
          </cell>
          <cell r="D198">
            <v>0</v>
          </cell>
          <cell r="E198">
            <v>0.6875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201.2012.10.1429.00017</v>
          </cell>
          <cell r="B199">
            <v>1</v>
          </cell>
          <cell r="C199">
            <v>0.83333333333333337</v>
          </cell>
          <cell r="D199">
            <v>0</v>
          </cell>
          <cell r="E199">
            <v>0.16666666666666666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203.2016.10.1411.00011</v>
          </cell>
          <cell r="B200">
            <v>1</v>
          </cell>
          <cell r="C200">
            <v>0.32249344744384856</v>
          </cell>
          <cell r="D200">
            <v>0</v>
          </cell>
          <cell r="E200">
            <v>0.67750655255615144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203.2013.10.1411.00013</v>
          </cell>
          <cell r="B201">
            <v>1</v>
          </cell>
          <cell r="C201">
            <v>0.33667766480371691</v>
          </cell>
          <cell r="D201">
            <v>0</v>
          </cell>
          <cell r="E201">
            <v>0.66332233519628303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205.2016.10.1429.00014</v>
          </cell>
          <cell r="B202">
            <v>1</v>
          </cell>
          <cell r="C202">
            <v>0.67835526698310433</v>
          </cell>
          <cell r="D202">
            <v>0</v>
          </cell>
          <cell r="E202">
            <v>0.32164473301689561</v>
          </cell>
          <cell r="F202">
            <v>0</v>
          </cell>
          <cell r="G202">
            <v>0</v>
          </cell>
          <cell r="H202">
            <v>0</v>
          </cell>
        </row>
        <row r="203">
          <cell r="A203" t="str">
            <v>206.2016.10.1429.00003</v>
          </cell>
          <cell r="B203">
            <v>1</v>
          </cell>
          <cell r="C203">
            <v>0.17857142857142858</v>
          </cell>
          <cell r="D203">
            <v>0</v>
          </cell>
          <cell r="E203">
            <v>0.8214285714285714</v>
          </cell>
          <cell r="F203">
            <v>0</v>
          </cell>
          <cell r="G203">
            <v>0</v>
          </cell>
          <cell r="H203">
            <v>0</v>
          </cell>
        </row>
        <row r="204">
          <cell r="A204" t="str">
            <v>211.2015.10.1411.00009</v>
          </cell>
          <cell r="B204">
            <v>1</v>
          </cell>
          <cell r="C204">
            <v>0.23671821442503987</v>
          </cell>
          <cell r="D204">
            <v>0</v>
          </cell>
          <cell r="E204">
            <v>0.76328178557496018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301.2016.10.1411.00007</v>
          </cell>
          <cell r="B205">
            <v>1</v>
          </cell>
          <cell r="C205">
            <v>2.2559125211266209E-2</v>
          </cell>
          <cell r="D205">
            <v>0</v>
          </cell>
          <cell r="E205">
            <v>0.15791387647886346</v>
          </cell>
          <cell r="F205">
            <v>0.8195269983098703</v>
          </cell>
          <cell r="G205">
            <v>0</v>
          </cell>
          <cell r="H205">
            <v>0</v>
          </cell>
        </row>
        <row r="206">
          <cell r="A206" t="str">
            <v>201.2016.10.1411.00007</v>
          </cell>
          <cell r="B206">
            <v>1</v>
          </cell>
          <cell r="C206">
            <v>0.41666666666666669</v>
          </cell>
          <cell r="D206">
            <v>0</v>
          </cell>
          <cell r="E206">
            <v>0.58333333333333337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201.2016.10.1419.00001</v>
          </cell>
          <cell r="B207">
            <v>1</v>
          </cell>
          <cell r="C207">
            <v>0.70347827799773199</v>
          </cell>
          <cell r="D207">
            <v>0</v>
          </cell>
          <cell r="E207">
            <v>0.29652172200226801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203.2010.10.1419.00001</v>
          </cell>
          <cell r="B208">
            <v>1</v>
          </cell>
          <cell r="C208">
            <v>0.83333333333333337</v>
          </cell>
          <cell r="D208">
            <v>0</v>
          </cell>
          <cell r="E208">
            <v>0.16666666666666666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205.2016.10.1411.00007</v>
          </cell>
          <cell r="B209">
            <v>1</v>
          </cell>
          <cell r="C209">
            <v>0.22421071456404948</v>
          </cell>
          <cell r="D209">
            <v>0</v>
          </cell>
          <cell r="E209">
            <v>0.77578928543595049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205.2016.10.1411.00008</v>
          </cell>
          <cell r="B210">
            <v>3</v>
          </cell>
          <cell r="C210">
            <v>0.625</v>
          </cell>
          <cell r="D210">
            <v>0</v>
          </cell>
          <cell r="E210">
            <v>0.375</v>
          </cell>
          <cell r="F210">
            <v>0</v>
          </cell>
          <cell r="G210">
            <v>0</v>
          </cell>
          <cell r="H210">
            <v>0</v>
          </cell>
        </row>
        <row r="211">
          <cell r="A211" t="str">
            <v>205.2016.10.1419.00001</v>
          </cell>
          <cell r="B211">
            <v>1</v>
          </cell>
          <cell r="C211">
            <v>0.625</v>
          </cell>
          <cell r="D211">
            <v>0</v>
          </cell>
          <cell r="E211">
            <v>0.375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203.2016.10.1411.00001</v>
          </cell>
          <cell r="B212">
            <v>1</v>
          </cell>
          <cell r="C212">
            <v>0.15625</v>
          </cell>
          <cell r="D212">
            <v>0</v>
          </cell>
          <cell r="E212">
            <v>0.84375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203.2016.10.1411.00002</v>
          </cell>
          <cell r="B213">
            <v>1</v>
          </cell>
          <cell r="C213">
            <v>0.15625</v>
          </cell>
          <cell r="D213">
            <v>0</v>
          </cell>
          <cell r="E213">
            <v>0.84375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203.2016.10.1419.00001</v>
          </cell>
          <cell r="B214">
            <v>1</v>
          </cell>
          <cell r="C214">
            <v>0.27777777777777779</v>
          </cell>
          <cell r="D214">
            <v>0</v>
          </cell>
          <cell r="E214">
            <v>0.72222222222222221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203.2016.10.1419.00002</v>
          </cell>
          <cell r="B215">
            <v>1</v>
          </cell>
          <cell r="C215">
            <v>0.3125</v>
          </cell>
          <cell r="D215">
            <v>0</v>
          </cell>
          <cell r="E215">
            <v>0.6875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401.2016.10.1411.00005</v>
          </cell>
          <cell r="B216">
            <v>2</v>
          </cell>
          <cell r="C216">
            <v>0.625</v>
          </cell>
          <cell r="D216">
            <v>0</v>
          </cell>
          <cell r="E216">
            <v>0.375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401.2016.10.1411.00005</v>
          </cell>
          <cell r="B217">
            <v>2</v>
          </cell>
          <cell r="C217">
            <v>0.625</v>
          </cell>
          <cell r="D217">
            <v>0</v>
          </cell>
          <cell r="E217">
            <v>0.375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203.2016.10.1312.00001</v>
          </cell>
          <cell r="B218">
            <v>1</v>
          </cell>
          <cell r="C218">
            <v>0.23317632793918761</v>
          </cell>
          <cell r="D218">
            <v>0</v>
          </cell>
          <cell r="E218">
            <v>0.76682367206081237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201.2016.10.1411.00002</v>
          </cell>
          <cell r="B219">
            <v>1</v>
          </cell>
          <cell r="C219">
            <v>0.10886680973217024</v>
          </cell>
          <cell r="D219">
            <v>0</v>
          </cell>
          <cell r="E219">
            <v>0.49113319026782976</v>
          </cell>
          <cell r="F219">
            <v>0.4</v>
          </cell>
          <cell r="G219">
            <v>0</v>
          </cell>
          <cell r="H219">
            <v>0</v>
          </cell>
        </row>
        <row r="220">
          <cell r="A220" t="str">
            <v>204.2016.10.1411.00001</v>
          </cell>
          <cell r="B220">
            <v>1</v>
          </cell>
          <cell r="C220">
            <v>0.23267501814865141</v>
          </cell>
          <cell r="D220">
            <v>0</v>
          </cell>
          <cell r="E220">
            <v>0.76732498185134856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205.2016.10.1411.00003</v>
          </cell>
          <cell r="B221">
            <v>2</v>
          </cell>
          <cell r="C221">
            <v>0.25361944468874198</v>
          </cell>
          <cell r="D221">
            <v>0</v>
          </cell>
          <cell r="E221">
            <v>0.74638055531125802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205.2016.10.1411.00004</v>
          </cell>
          <cell r="B222">
            <v>1</v>
          </cell>
          <cell r="C222">
            <v>0.41666666666666669</v>
          </cell>
          <cell r="D222">
            <v>0</v>
          </cell>
          <cell r="E222">
            <v>0.58333333333333337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205.2016.10.1429.00002</v>
          </cell>
          <cell r="B223">
            <v>1</v>
          </cell>
          <cell r="C223">
            <v>0.23593675385001595</v>
          </cell>
          <cell r="D223">
            <v>0</v>
          </cell>
          <cell r="E223">
            <v>0.764063246149984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205.2016.10.1429.00003</v>
          </cell>
          <cell r="B224">
            <v>1</v>
          </cell>
          <cell r="C224">
            <v>0.25</v>
          </cell>
          <cell r="D224">
            <v>0</v>
          </cell>
          <cell r="E224">
            <v>0.75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304.2016.10.1429.00001</v>
          </cell>
          <cell r="B225">
            <v>1</v>
          </cell>
          <cell r="C225">
            <v>0.83333333333333337</v>
          </cell>
          <cell r="D225">
            <v>0</v>
          </cell>
          <cell r="E225">
            <v>0.16666666666666666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301.2016.10.1411.00001</v>
          </cell>
          <cell r="B226">
            <v>1</v>
          </cell>
          <cell r="C226">
            <v>0.25</v>
          </cell>
          <cell r="D226">
            <v>0</v>
          </cell>
          <cell r="E226">
            <v>0.75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301.2016.10.1411.00002</v>
          </cell>
          <cell r="B227">
            <v>1</v>
          </cell>
          <cell r="C227">
            <v>0.25</v>
          </cell>
          <cell r="D227">
            <v>0</v>
          </cell>
          <cell r="E227">
            <v>0.75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301.2016.10.1429.00001</v>
          </cell>
          <cell r="B228">
            <v>1</v>
          </cell>
          <cell r="C228">
            <v>0.25</v>
          </cell>
          <cell r="D228">
            <v>0</v>
          </cell>
          <cell r="E228">
            <v>0.75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301.2016.10.1429.00002</v>
          </cell>
          <cell r="B229">
            <v>1</v>
          </cell>
          <cell r="C229">
            <v>0.25</v>
          </cell>
          <cell r="D229">
            <v>0</v>
          </cell>
          <cell r="E229">
            <v>0.75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401.2016.10.1411.00001</v>
          </cell>
          <cell r="B230">
            <v>1</v>
          </cell>
          <cell r="C230">
            <v>0.1168714722346106</v>
          </cell>
          <cell r="D230">
            <v>0</v>
          </cell>
          <cell r="E230">
            <v>0.81810030564227421</v>
          </cell>
          <cell r="F230">
            <v>6.5028222123115209E-2</v>
          </cell>
          <cell r="G230">
            <v>0</v>
          </cell>
          <cell r="H230">
            <v>0</v>
          </cell>
        </row>
        <row r="231">
          <cell r="A231" t="str">
            <v>401.2016.10.1411.00003</v>
          </cell>
          <cell r="B231">
            <v>1</v>
          </cell>
          <cell r="C231">
            <v>0.1167221797353488</v>
          </cell>
          <cell r="D231">
            <v>0</v>
          </cell>
          <cell r="E231">
            <v>0.88327782026465118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401.2016.10.1411.00004</v>
          </cell>
          <cell r="B232">
            <v>1</v>
          </cell>
          <cell r="C232">
            <v>0.12937756762720712</v>
          </cell>
          <cell r="D232">
            <v>0</v>
          </cell>
          <cell r="E232">
            <v>0.87062243237279291</v>
          </cell>
          <cell r="F232">
            <v>0</v>
          </cell>
          <cell r="G232">
            <v>0</v>
          </cell>
          <cell r="H232">
            <v>0</v>
          </cell>
        </row>
        <row r="233">
          <cell r="A233" t="str">
            <v>401.2016.10.1419.00001</v>
          </cell>
          <cell r="B233">
            <v>1</v>
          </cell>
          <cell r="C233">
            <v>0.23287962172897284</v>
          </cell>
          <cell r="D233">
            <v>0</v>
          </cell>
          <cell r="E233">
            <v>0.76712037827102719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401.2015.10.1411.00005</v>
          </cell>
          <cell r="B234">
            <v>1</v>
          </cell>
          <cell r="C234">
            <v>0.3125</v>
          </cell>
          <cell r="D234">
            <v>0</v>
          </cell>
          <cell r="E234">
            <v>0.6875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501.2016.10.1411.00007</v>
          </cell>
          <cell r="B235">
            <v>1</v>
          </cell>
          <cell r="C235">
            <v>0.23055818135706546</v>
          </cell>
          <cell r="D235">
            <v>0</v>
          </cell>
          <cell r="E235">
            <v>0.76944181864293459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501.2016.10.1419.00002</v>
          </cell>
          <cell r="B236">
            <v>1</v>
          </cell>
          <cell r="C236">
            <v>0.23055818135706546</v>
          </cell>
          <cell r="D236">
            <v>0</v>
          </cell>
          <cell r="E236">
            <v>0.76944181864293459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501.2016.10.1312.00001</v>
          </cell>
          <cell r="B237">
            <v>1</v>
          </cell>
          <cell r="C237">
            <v>0.25</v>
          </cell>
          <cell r="D237">
            <v>0</v>
          </cell>
          <cell r="E237">
            <v>0.75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201.2016.10.1411.00009</v>
          </cell>
          <cell r="B238">
            <v>1</v>
          </cell>
          <cell r="C238">
            <v>0.76283376265617497</v>
          </cell>
          <cell r="D238">
            <v>0</v>
          </cell>
          <cell r="E238">
            <v>0.23716623734382505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201.2016.10.1411.00010</v>
          </cell>
          <cell r="B239">
            <v>1</v>
          </cell>
          <cell r="C239">
            <v>0.21100073428255531</v>
          </cell>
          <cell r="D239">
            <v>0</v>
          </cell>
          <cell r="E239">
            <v>0.78899926571744472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201.2016.10.1411.00011</v>
          </cell>
          <cell r="B240">
            <v>1</v>
          </cell>
          <cell r="C240">
            <v>0.21367999864612353</v>
          </cell>
          <cell r="D240">
            <v>0</v>
          </cell>
          <cell r="E240">
            <v>0.78632000135387647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201.2016.10.1429.00005</v>
          </cell>
          <cell r="B241">
            <v>1</v>
          </cell>
          <cell r="C241">
            <v>0.625</v>
          </cell>
          <cell r="D241">
            <v>0</v>
          </cell>
          <cell r="E241">
            <v>0.375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203.2016.10.1411.00003</v>
          </cell>
          <cell r="B242">
            <v>1</v>
          </cell>
          <cell r="C242">
            <v>0.41666666666666669</v>
          </cell>
          <cell r="D242">
            <v>0</v>
          </cell>
          <cell r="E242">
            <v>0.58333333333333337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205.2016.10.1411.00012</v>
          </cell>
          <cell r="B243">
            <v>1</v>
          </cell>
          <cell r="C243">
            <v>0.25361944468874198</v>
          </cell>
          <cell r="D243">
            <v>0</v>
          </cell>
          <cell r="E243">
            <v>0.74638055531125802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205.2016.10.1429.00007</v>
          </cell>
          <cell r="B244">
            <v>1</v>
          </cell>
          <cell r="C244">
            <v>1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205.2016.10.1411.00003</v>
          </cell>
          <cell r="B245">
            <v>2</v>
          </cell>
          <cell r="C245">
            <v>0.25361944468874198</v>
          </cell>
          <cell r="D245">
            <v>0</v>
          </cell>
          <cell r="E245">
            <v>0.74638055531125802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209.2016.10.1411.00002</v>
          </cell>
          <cell r="B246">
            <v>1</v>
          </cell>
          <cell r="C246">
            <v>0.83632178986244177</v>
          </cell>
          <cell r="D246">
            <v>0</v>
          </cell>
          <cell r="E246">
            <v>0.16367821013755821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210.2016.10.1411.00001</v>
          </cell>
          <cell r="B247">
            <v>1</v>
          </cell>
          <cell r="C247">
            <v>0.6909263052751754</v>
          </cell>
          <cell r="D247">
            <v>0</v>
          </cell>
          <cell r="E247">
            <v>0.30907369472482465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301.2016.10.1411.00004</v>
          </cell>
          <cell r="B248">
            <v>1</v>
          </cell>
          <cell r="C248">
            <v>0.19470404984423675</v>
          </cell>
          <cell r="D248">
            <v>0</v>
          </cell>
          <cell r="E248">
            <v>0.80529595015576327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305.2016.10.1414.00006</v>
          </cell>
          <cell r="B249">
            <v>2</v>
          </cell>
          <cell r="C249">
            <v>1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505.2016.10.1414.00002</v>
          </cell>
          <cell r="B250">
            <v>2</v>
          </cell>
          <cell r="C250">
            <v>1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505.2016.10.1411.00011</v>
          </cell>
          <cell r="B251">
            <v>2</v>
          </cell>
          <cell r="C251">
            <v>1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503.2016.10.1414.00001</v>
          </cell>
          <cell r="B252">
            <v>2</v>
          </cell>
          <cell r="C252">
            <v>1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505.2016.10.1414.00003</v>
          </cell>
          <cell r="B253">
            <v>2</v>
          </cell>
          <cell r="C253">
            <v>1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505.2016.10.1411.00013</v>
          </cell>
          <cell r="B254">
            <v>2</v>
          </cell>
          <cell r="C254">
            <v>1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204.2017.10.1411.00006</v>
          </cell>
          <cell r="B255">
            <v>1</v>
          </cell>
          <cell r="C255">
            <v>0.28409090909090906</v>
          </cell>
          <cell r="D255">
            <v>0</v>
          </cell>
          <cell r="E255">
            <v>0.71590909090909094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204.2017.10.1411.00008</v>
          </cell>
          <cell r="B256">
            <v>1</v>
          </cell>
          <cell r="C256">
            <v>5.5273608970538242E-2</v>
          </cell>
          <cell r="D256">
            <v>0</v>
          </cell>
          <cell r="E256">
            <v>0.33164165382322947</v>
          </cell>
          <cell r="F256">
            <v>0.61308473720623224</v>
          </cell>
          <cell r="G256">
            <v>0</v>
          </cell>
          <cell r="H256">
            <v>0</v>
          </cell>
        </row>
        <row r="257">
          <cell r="A257" t="str">
            <v>206.2017.10.1429.00001</v>
          </cell>
          <cell r="B257">
            <v>1</v>
          </cell>
          <cell r="C257">
            <v>0.21428571428571427</v>
          </cell>
          <cell r="D257">
            <v>0</v>
          </cell>
          <cell r="E257">
            <v>0.7857142857142857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207.2017.10.1421.00001</v>
          </cell>
          <cell r="B258">
            <v>1</v>
          </cell>
          <cell r="C258">
            <v>0.1875</v>
          </cell>
          <cell r="D258">
            <v>0</v>
          </cell>
          <cell r="E258">
            <v>0.8125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210.2017.10.1411.00003</v>
          </cell>
          <cell r="B259">
            <v>1</v>
          </cell>
          <cell r="C259">
            <v>0.83693114755022102</v>
          </cell>
          <cell r="D259">
            <v>0</v>
          </cell>
          <cell r="E259">
            <v>0.16306885244977892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210.2017.10.1411.00004</v>
          </cell>
          <cell r="B260">
            <v>1</v>
          </cell>
          <cell r="C260">
            <v>0.6</v>
          </cell>
          <cell r="D260">
            <v>0</v>
          </cell>
          <cell r="E260">
            <v>0.4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210.2017.10.1429.00007</v>
          </cell>
          <cell r="B261">
            <v>1</v>
          </cell>
          <cell r="C261">
            <v>0.5</v>
          </cell>
          <cell r="D261">
            <v>0</v>
          </cell>
          <cell r="E261">
            <v>0.5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203.2012.10.1419.00004</v>
          </cell>
          <cell r="B262">
            <v>1</v>
          </cell>
          <cell r="C262">
            <v>0.68181818181818177</v>
          </cell>
          <cell r="D262">
            <v>0</v>
          </cell>
          <cell r="E262">
            <v>0.31818181818181818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204.2017.10.1419.00002</v>
          </cell>
          <cell r="B263">
            <v>1</v>
          </cell>
          <cell r="C263">
            <v>0.29622795175355099</v>
          </cell>
          <cell r="D263">
            <v>0</v>
          </cell>
          <cell r="E263">
            <v>0.70377204824644901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205.2017.10.1429.00012</v>
          </cell>
          <cell r="B264">
            <v>1</v>
          </cell>
          <cell r="C264">
            <v>0.28312410462001913</v>
          </cell>
          <cell r="D264">
            <v>0</v>
          </cell>
          <cell r="E264">
            <v>0.71687589537998087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204.2017.10.1411.00009</v>
          </cell>
          <cell r="B265">
            <v>1</v>
          </cell>
          <cell r="C265">
            <v>0.29622795175355099</v>
          </cell>
          <cell r="D265">
            <v>0</v>
          </cell>
          <cell r="E265">
            <v>0.70377204824644901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302.2017.10.1411.00004</v>
          </cell>
          <cell r="B266">
            <v>1</v>
          </cell>
          <cell r="C266">
            <v>0.75</v>
          </cell>
          <cell r="D266">
            <v>0</v>
          </cell>
          <cell r="E266">
            <v>0.25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201.2017.10.1429.00012</v>
          </cell>
          <cell r="B267">
            <v>1</v>
          </cell>
          <cell r="C267">
            <v>0.6</v>
          </cell>
          <cell r="D267">
            <v>0</v>
          </cell>
          <cell r="E267">
            <v>0.4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201.2017.10.1226.00011</v>
          </cell>
          <cell r="B268">
            <v>1</v>
          </cell>
          <cell r="C268">
            <v>0.75</v>
          </cell>
          <cell r="D268">
            <v>0</v>
          </cell>
          <cell r="E268">
            <v>0.25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206.2017.10.1226.00021</v>
          </cell>
          <cell r="B269">
            <v>1</v>
          </cell>
          <cell r="C269">
            <v>0.5</v>
          </cell>
          <cell r="D269">
            <v>0</v>
          </cell>
          <cell r="E269">
            <v>0.5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110.2013.10.1414.00009</v>
          </cell>
          <cell r="B270">
            <v>6</v>
          </cell>
          <cell r="C270">
            <v>1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110.2013.10.1414.00009</v>
          </cell>
          <cell r="B271">
            <v>6</v>
          </cell>
          <cell r="C271">
            <v>1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203.2012.11.1411.00001</v>
          </cell>
          <cell r="B272">
            <v>3</v>
          </cell>
          <cell r="C272">
            <v>0.33333333333333331</v>
          </cell>
          <cell r="D272">
            <v>0</v>
          </cell>
          <cell r="E272">
            <v>0.66666666666666663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203.2011.10.1419.00009</v>
          </cell>
          <cell r="B273">
            <v>3</v>
          </cell>
          <cell r="C273">
            <v>1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201.2016.41.1411.00002</v>
          </cell>
          <cell r="B274">
            <v>3</v>
          </cell>
          <cell r="C274">
            <v>0.21100073428255531</v>
          </cell>
          <cell r="D274">
            <v>0</v>
          </cell>
          <cell r="E274">
            <v>0.78899926571744472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201.2015.10.1419.00001</v>
          </cell>
          <cell r="B275">
            <v>3</v>
          </cell>
          <cell r="C275">
            <v>1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205.2016.10.1411.00008</v>
          </cell>
          <cell r="B276">
            <v>3</v>
          </cell>
          <cell r="C276">
            <v>0.625</v>
          </cell>
          <cell r="D276">
            <v>0</v>
          </cell>
          <cell r="E276">
            <v>0.375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206.2015.10.1411.00005</v>
          </cell>
          <cell r="B277">
            <v>3</v>
          </cell>
          <cell r="C277">
            <v>1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204.2011.10.1411.00006</v>
          </cell>
          <cell r="B278">
            <v>2</v>
          </cell>
          <cell r="C278">
            <v>1.4000000000000002E-2</v>
          </cell>
          <cell r="D278">
            <v>0</v>
          </cell>
          <cell r="E278">
            <v>0</v>
          </cell>
          <cell r="F278">
            <v>0.98599999999999999</v>
          </cell>
          <cell r="G278">
            <v>0</v>
          </cell>
          <cell r="H278">
            <v>0</v>
          </cell>
        </row>
        <row r="279">
          <cell r="A279" t="str">
            <v>204.2011.12.1411.00002</v>
          </cell>
          <cell r="B279">
            <v>4</v>
          </cell>
          <cell r="C279">
            <v>0.13888888888888901</v>
          </cell>
          <cell r="D279">
            <v>8.6111111111111097E-2</v>
          </cell>
          <cell r="E279">
            <v>0.77500000000000002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204.2009.10.1411.00010</v>
          </cell>
          <cell r="B280">
            <v>3</v>
          </cell>
          <cell r="C280">
            <v>1.38888888888889E-2</v>
          </cell>
          <cell r="D280">
            <v>0</v>
          </cell>
          <cell r="E280">
            <v>0</v>
          </cell>
          <cell r="F280">
            <v>0.98611111111111105</v>
          </cell>
          <cell r="G280">
            <v>0</v>
          </cell>
          <cell r="H280">
            <v>0</v>
          </cell>
        </row>
        <row r="281">
          <cell r="A281" t="str">
            <v>301.2013.10.1429.00005</v>
          </cell>
          <cell r="B281">
            <v>6</v>
          </cell>
          <cell r="C281">
            <v>1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210.2016.10.1429.00008</v>
          </cell>
          <cell r="B282">
            <v>3</v>
          </cell>
          <cell r="C282">
            <v>1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301.2013.10.1429.00005</v>
          </cell>
          <cell r="B283">
            <v>6</v>
          </cell>
          <cell r="C283">
            <v>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304.2015.10.1414.00002</v>
          </cell>
          <cell r="B284">
            <v>3</v>
          </cell>
          <cell r="C284">
            <v>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301.2015.10.1411.00008</v>
          </cell>
          <cell r="B285">
            <v>3</v>
          </cell>
          <cell r="C285">
            <v>1.9427774334744439E-2</v>
          </cell>
          <cell r="D285">
            <v>0</v>
          </cell>
          <cell r="E285">
            <v>0.13599442034321105</v>
          </cell>
          <cell r="F285">
            <v>0.84457780532204452</v>
          </cell>
          <cell r="G285">
            <v>0</v>
          </cell>
          <cell r="H285">
            <v>0</v>
          </cell>
        </row>
        <row r="286">
          <cell r="A286" t="str">
            <v>302.2017.10.1429.00001</v>
          </cell>
          <cell r="B286">
            <v>2</v>
          </cell>
          <cell r="C286">
            <v>0.43007903992595758</v>
          </cell>
          <cell r="D286">
            <v>0</v>
          </cell>
          <cell r="E286">
            <v>0.56992096007404236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304.2017.10.1414.00002</v>
          </cell>
          <cell r="B287">
            <v>1</v>
          </cell>
          <cell r="C287">
            <v>1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204.2013.10.1419.00004</v>
          </cell>
          <cell r="B288">
            <v>3</v>
          </cell>
          <cell r="C288">
            <v>0.24465998989554241</v>
          </cell>
          <cell r="D288">
            <v>0</v>
          </cell>
          <cell r="E288">
            <v>0.75534001010445762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204.2015.10.1411.00010</v>
          </cell>
          <cell r="B289">
            <v>3</v>
          </cell>
          <cell r="C289">
            <v>8.5034013605442167E-3</v>
          </cell>
          <cell r="D289">
            <v>0</v>
          </cell>
          <cell r="E289">
            <v>0</v>
          </cell>
          <cell r="F289">
            <v>0.99149659863945583</v>
          </cell>
          <cell r="G289">
            <v>0</v>
          </cell>
          <cell r="H289">
            <v>0</v>
          </cell>
        </row>
        <row r="290">
          <cell r="A290" t="str">
            <v>208.2014.10.1411.00002</v>
          </cell>
          <cell r="B290">
            <v>3</v>
          </cell>
          <cell r="C290">
            <v>0.14285714285714285</v>
          </cell>
          <cell r="D290">
            <v>0</v>
          </cell>
          <cell r="E290">
            <v>0.8571428571428571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305.2015.10.1414.00003</v>
          </cell>
          <cell r="B291">
            <v>3</v>
          </cell>
          <cell r="C291">
            <v>1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502.2012.10.1411.00010</v>
          </cell>
          <cell r="B292">
            <v>6</v>
          </cell>
          <cell r="C292">
            <v>1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305.2016.10.1414.00006</v>
          </cell>
          <cell r="B293">
            <v>2</v>
          </cell>
          <cell r="C293">
            <v>1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505.2014.10.1411.00003</v>
          </cell>
          <cell r="B294">
            <v>6</v>
          </cell>
          <cell r="C294">
            <v>1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505.2016.10.1414.00002</v>
          </cell>
          <cell r="B295">
            <v>2</v>
          </cell>
          <cell r="C295">
            <v>1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505.2016.10.1411.00011</v>
          </cell>
          <cell r="B296">
            <v>2</v>
          </cell>
          <cell r="C296">
            <v>1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501.2012.10.1411.00004</v>
          </cell>
          <cell r="B297">
            <v>3</v>
          </cell>
          <cell r="C297">
            <v>1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503.2016.10.1414.00001</v>
          </cell>
          <cell r="B298">
            <v>2</v>
          </cell>
          <cell r="C298">
            <v>1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505.2016.10.1414.00003</v>
          </cell>
          <cell r="B299">
            <v>2</v>
          </cell>
          <cell r="C299">
            <v>1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505.2016.10.1411.00013</v>
          </cell>
          <cell r="B300">
            <v>2</v>
          </cell>
          <cell r="C300">
            <v>1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505.2015.10.1414.00003</v>
          </cell>
          <cell r="B301">
            <v>3</v>
          </cell>
          <cell r="C301">
            <v>1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505.2014.10.1411.00003</v>
          </cell>
          <cell r="B302">
            <v>6</v>
          </cell>
          <cell r="C302">
            <v>1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505.2014.10.1411.00005</v>
          </cell>
          <cell r="B303">
            <v>3</v>
          </cell>
          <cell r="C303">
            <v>1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402.2017.10.1411.00003</v>
          </cell>
          <cell r="B304">
            <v>1</v>
          </cell>
          <cell r="C304">
            <v>1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501.2017.10.1411.00020</v>
          </cell>
          <cell r="B305">
            <v>1</v>
          </cell>
          <cell r="C305">
            <v>1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502.2017.10.1411.00001</v>
          </cell>
          <cell r="B306">
            <v>2</v>
          </cell>
          <cell r="C306">
            <v>1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502.2017.10.1411.00001</v>
          </cell>
          <cell r="B307">
            <v>2</v>
          </cell>
          <cell r="C307">
            <v>1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505.2017.10.1411.00023</v>
          </cell>
          <cell r="B308">
            <v>3</v>
          </cell>
          <cell r="C308">
            <v>1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</row>
        <row r="309">
          <cell r="A309" t="str">
            <v>505.2017.10.1411.00023</v>
          </cell>
          <cell r="B309">
            <v>3</v>
          </cell>
          <cell r="C309">
            <v>1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505.2017.10.1411.00023</v>
          </cell>
          <cell r="B310">
            <v>3</v>
          </cell>
          <cell r="C310">
            <v>1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505.2017.10.1414.00002</v>
          </cell>
          <cell r="B311">
            <v>1</v>
          </cell>
          <cell r="C311">
            <v>1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305.2017.10.1414.00004</v>
          </cell>
          <cell r="B312">
            <v>1</v>
          </cell>
          <cell r="C312">
            <v>1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D0201.2018.10.1411.00004</v>
          </cell>
          <cell r="B313">
            <v>1</v>
          </cell>
          <cell r="C313">
            <v>5.5919738027211292E-2</v>
          </cell>
          <cell r="D313">
            <v>0</v>
          </cell>
          <cell r="E313">
            <v>0.33551842816326777</v>
          </cell>
          <cell r="F313">
            <v>0.608561833809521</v>
          </cell>
          <cell r="G313">
            <v>0</v>
          </cell>
          <cell r="H313">
            <v>0</v>
          </cell>
          <cell r="J313" t="str">
            <v>SIEHA SOCIETE IMMOBILIERE</v>
          </cell>
        </row>
        <row r="314">
          <cell r="A314" t="str">
            <v>D0201.2018.10.1419.00001</v>
          </cell>
          <cell r="B314">
            <v>1</v>
          </cell>
          <cell r="C314">
            <v>0.71165715774094396</v>
          </cell>
          <cell r="D314">
            <v>0</v>
          </cell>
          <cell r="E314">
            <v>0.28834284225905604</v>
          </cell>
          <cell r="F314">
            <v>0</v>
          </cell>
          <cell r="G314">
            <v>0</v>
          </cell>
          <cell r="H314">
            <v>0</v>
          </cell>
          <cell r="J314" t="str">
            <v>TENES LILMIYAH SPA</v>
          </cell>
        </row>
        <row r="315">
          <cell r="A315" t="str">
            <v>D0201.2018.10.1429.00003</v>
          </cell>
          <cell r="B315">
            <v>1</v>
          </cell>
          <cell r="C315">
            <v>0.6</v>
          </cell>
          <cell r="D315">
            <v>0</v>
          </cell>
          <cell r="E315">
            <v>0.4</v>
          </cell>
          <cell r="F315">
            <v>0</v>
          </cell>
          <cell r="G315">
            <v>0</v>
          </cell>
          <cell r="H315">
            <v>0</v>
          </cell>
          <cell r="J315" t="str">
            <v>GROUPE LAFARGE</v>
          </cell>
        </row>
        <row r="316">
          <cell r="A316" t="str">
            <v>D0201.2018.10.1429.00005</v>
          </cell>
          <cell r="B316">
            <v>1</v>
          </cell>
          <cell r="C316">
            <v>0.75</v>
          </cell>
          <cell r="D316">
            <v>0</v>
          </cell>
          <cell r="E316">
            <v>0.25</v>
          </cell>
          <cell r="F316">
            <v>0</v>
          </cell>
          <cell r="G316">
            <v>0</v>
          </cell>
          <cell r="H316">
            <v>0</v>
          </cell>
          <cell r="J316" t="str">
            <v>DELOITTE  ALGERIE</v>
          </cell>
        </row>
        <row r="317">
          <cell r="A317" t="str">
            <v>D0203.2018.10.1411.00003</v>
          </cell>
          <cell r="B317">
            <v>1</v>
          </cell>
          <cell r="C317">
            <v>0.75</v>
          </cell>
          <cell r="D317">
            <v>0</v>
          </cell>
          <cell r="E317">
            <v>0.25</v>
          </cell>
          <cell r="F317">
            <v>0</v>
          </cell>
          <cell r="G317">
            <v>0</v>
          </cell>
          <cell r="H317">
            <v>0</v>
          </cell>
          <cell r="J317" t="str">
            <v>ARAB BANK PLC ALGERIA</v>
          </cell>
        </row>
        <row r="318">
          <cell r="A318" t="str">
            <v>D0203.2018.10.1411.00004</v>
          </cell>
          <cell r="B318">
            <v>1</v>
          </cell>
          <cell r="C318">
            <v>0.5</v>
          </cell>
          <cell r="D318">
            <v>0</v>
          </cell>
          <cell r="E318">
            <v>0.5</v>
          </cell>
          <cell r="F318">
            <v>0</v>
          </cell>
          <cell r="G318">
            <v>0</v>
          </cell>
          <cell r="H318">
            <v>0</v>
          </cell>
          <cell r="J318" t="str">
            <v>EGH CHAINE EL AURASSI</v>
          </cell>
        </row>
        <row r="319">
          <cell r="A319" t="str">
            <v>D0203.2018.10.1419.00001</v>
          </cell>
          <cell r="B319">
            <v>1</v>
          </cell>
          <cell r="C319">
            <v>0.5</v>
          </cell>
          <cell r="D319">
            <v>0</v>
          </cell>
          <cell r="E319">
            <v>0.5</v>
          </cell>
          <cell r="F319">
            <v>0</v>
          </cell>
          <cell r="G319">
            <v>0</v>
          </cell>
          <cell r="H319">
            <v>0</v>
          </cell>
          <cell r="J319" t="str">
            <v>EURL CARIP</v>
          </cell>
        </row>
        <row r="320">
          <cell r="A320" t="str">
            <v>D0604.2018.10.1411.00001</v>
          </cell>
          <cell r="B320">
            <v>1</v>
          </cell>
          <cell r="C320">
            <v>0.17404395480078494</v>
          </cell>
          <cell r="D320">
            <v>0</v>
          </cell>
          <cell r="E320">
            <v>0.82595604519921506</v>
          </cell>
          <cell r="F320">
            <v>0</v>
          </cell>
          <cell r="G320">
            <v>0</v>
          </cell>
          <cell r="H320">
            <v>0</v>
          </cell>
          <cell r="J320" t="str">
            <v>ADVANCED ENERGY SYSTEMS (ADES) S.A.E</v>
          </cell>
        </row>
        <row r="321">
          <cell r="A321" t="str">
            <v>D0604.2018.10.1411.00003</v>
          </cell>
          <cell r="B321">
            <v>1</v>
          </cell>
          <cell r="C321">
            <v>0.2629263350522873</v>
          </cell>
          <cell r="D321">
            <v>0</v>
          </cell>
          <cell r="E321">
            <v>0.73707366494771276</v>
          </cell>
          <cell r="F321">
            <v>0</v>
          </cell>
          <cell r="G321">
            <v>0</v>
          </cell>
          <cell r="H321">
            <v>0</v>
          </cell>
          <cell r="J321" t="str">
            <v>STATOIL SIGMA NETHERLANDS BV STATOIL SIGMA NETHERLANDS BV</v>
          </cell>
        </row>
        <row r="322">
          <cell r="A322" t="str">
            <v>D0604.2018.10.1411.00005</v>
          </cell>
          <cell r="B322">
            <v>1</v>
          </cell>
          <cell r="C322">
            <v>4.344539348492879E-2</v>
          </cell>
          <cell r="D322">
            <v>0</v>
          </cell>
          <cell r="E322">
            <v>0.26067236090957274</v>
          </cell>
          <cell r="F322">
            <v>0.6958822456054985</v>
          </cell>
          <cell r="G322">
            <v>0</v>
          </cell>
          <cell r="H322">
            <v>0</v>
          </cell>
          <cell r="J322" t="str">
            <v>Sharika El Djazairia El Omania Lil Asmida SPA</v>
          </cell>
        </row>
        <row r="323">
          <cell r="A323" t="str">
            <v>D0605.2018.10.1411.00008</v>
          </cell>
          <cell r="B323">
            <v>1</v>
          </cell>
          <cell r="C323">
            <v>0.3</v>
          </cell>
          <cell r="D323">
            <v>0</v>
          </cell>
          <cell r="E323">
            <v>0.7</v>
          </cell>
          <cell r="F323">
            <v>0</v>
          </cell>
          <cell r="G323">
            <v>0</v>
          </cell>
          <cell r="H323">
            <v>0</v>
          </cell>
          <cell r="J323" t="str">
            <v>COSIDER CARRIERES</v>
          </cell>
        </row>
        <row r="324">
          <cell r="A324" t="str">
            <v>D0605.2018.10.1411.00011</v>
          </cell>
          <cell r="B324">
            <v>1</v>
          </cell>
          <cell r="C324">
            <v>0.55128750000179305</v>
          </cell>
          <cell r="D324">
            <v>0</v>
          </cell>
          <cell r="E324">
            <v>0.44871249999820695</v>
          </cell>
          <cell r="F324">
            <v>0</v>
          </cell>
          <cell r="G324">
            <v>0</v>
          </cell>
          <cell r="H324">
            <v>0</v>
          </cell>
          <cell r="J324" t="str">
            <v>EGIS ALGERIE</v>
          </cell>
        </row>
        <row r="325">
          <cell r="A325" t="str">
            <v>D0605.2018.10.1429.00003</v>
          </cell>
          <cell r="B325">
            <v>1</v>
          </cell>
          <cell r="C325">
            <v>0.75</v>
          </cell>
          <cell r="D325">
            <v>0</v>
          </cell>
          <cell r="E325">
            <v>0.25</v>
          </cell>
          <cell r="F325">
            <v>0</v>
          </cell>
          <cell r="G325">
            <v>0</v>
          </cell>
          <cell r="H325">
            <v>0</v>
          </cell>
          <cell r="J325" t="str">
            <v>BUREAU VERITAS ALGERIE .</v>
          </cell>
        </row>
        <row r="326">
          <cell r="A326" t="str">
            <v>D0605.2018.10.1429.00007</v>
          </cell>
          <cell r="B326">
            <v>1</v>
          </cell>
          <cell r="C326">
            <v>0.375</v>
          </cell>
          <cell r="D326">
            <v>0</v>
          </cell>
          <cell r="E326">
            <v>0.625</v>
          </cell>
          <cell r="F326">
            <v>0</v>
          </cell>
          <cell r="G326">
            <v>0</v>
          </cell>
          <cell r="H326">
            <v>0</v>
          </cell>
          <cell r="J326" t="str">
            <v>EPE- SPA C.T.H</v>
          </cell>
        </row>
        <row r="327">
          <cell r="A327" t="str">
            <v>D1007.2018.10.1411.00001</v>
          </cell>
          <cell r="B327">
            <v>1</v>
          </cell>
          <cell r="C327">
            <v>0.75</v>
          </cell>
          <cell r="D327">
            <v>0</v>
          </cell>
          <cell r="E327">
            <v>0.25</v>
          </cell>
          <cell r="F327">
            <v>0</v>
          </cell>
          <cell r="G327">
            <v>0</v>
          </cell>
          <cell r="H327">
            <v>0</v>
          </cell>
          <cell r="J327" t="str">
            <v>SPA GENERAL EMBALLAGE</v>
          </cell>
        </row>
        <row r="328">
          <cell r="A328" t="str">
            <v>D0209.2018.10.1411.00003</v>
          </cell>
          <cell r="B328">
            <v>1</v>
          </cell>
          <cell r="C328">
            <v>0.3</v>
          </cell>
          <cell r="D328">
            <v>0</v>
          </cell>
          <cell r="E328">
            <v>0.7</v>
          </cell>
          <cell r="F328">
            <v>0</v>
          </cell>
          <cell r="G328">
            <v>0</v>
          </cell>
          <cell r="H328">
            <v>0</v>
          </cell>
          <cell r="J328" t="str">
            <v>COSIDER CANALISATION .</v>
          </cell>
        </row>
        <row r="329">
          <cell r="A329" t="str">
            <v>D0209.2018.10.1411.00004</v>
          </cell>
          <cell r="B329">
            <v>1</v>
          </cell>
          <cell r="C329">
            <v>0.3</v>
          </cell>
          <cell r="D329">
            <v>0</v>
          </cell>
          <cell r="E329">
            <v>0.7</v>
          </cell>
          <cell r="F329">
            <v>0</v>
          </cell>
          <cell r="G329">
            <v>0</v>
          </cell>
          <cell r="H329">
            <v>0</v>
          </cell>
          <cell r="J329" t="str">
            <v>COSIDER PROMOTION</v>
          </cell>
        </row>
        <row r="330">
          <cell r="A330" t="str">
            <v>D0212.2018.10.1419.00002</v>
          </cell>
          <cell r="B330">
            <v>1</v>
          </cell>
          <cell r="C330">
            <v>0.75</v>
          </cell>
          <cell r="D330">
            <v>0</v>
          </cell>
          <cell r="E330">
            <v>0.25</v>
          </cell>
          <cell r="F330">
            <v>0</v>
          </cell>
          <cell r="G330">
            <v>0</v>
          </cell>
          <cell r="H330">
            <v>0</v>
          </cell>
          <cell r="J330" t="str">
            <v>ARMATURE TECHNIQUE SPA</v>
          </cell>
        </row>
        <row r="331">
          <cell r="A331" t="str">
            <v>D0302.2018.10.1411.00001</v>
          </cell>
          <cell r="B331">
            <v>1</v>
          </cell>
          <cell r="C331">
            <v>2.6100528796713422E-2</v>
          </cell>
          <cell r="D331">
            <v>0</v>
          </cell>
          <cell r="E331">
            <v>0.15660317278028052</v>
          </cell>
          <cell r="F331">
            <v>0.817296298423006</v>
          </cell>
          <cell r="G331">
            <v>0</v>
          </cell>
          <cell r="H331">
            <v>0</v>
          </cell>
          <cell r="J331" t="str">
            <v>EURL GCCO  LE MERIDIEN - ORAN</v>
          </cell>
        </row>
        <row r="332">
          <cell r="A332" t="str">
            <v>D0302.2018.10.1411.00002</v>
          </cell>
          <cell r="B332">
            <v>1</v>
          </cell>
          <cell r="C332">
            <v>0.75</v>
          </cell>
          <cell r="D332">
            <v>0</v>
          </cell>
          <cell r="E332">
            <v>0.25</v>
          </cell>
          <cell r="F332">
            <v>0</v>
          </cell>
          <cell r="G332">
            <v>0</v>
          </cell>
          <cell r="H332">
            <v>0</v>
          </cell>
          <cell r="J332" t="str">
            <v>SARL UNION SHIPPING COMPANY</v>
          </cell>
        </row>
        <row r="333">
          <cell r="A333" t="str">
            <v>D0302.2018.10.1411.00003</v>
          </cell>
          <cell r="B333">
            <v>1</v>
          </cell>
          <cell r="C333">
            <v>0.75</v>
          </cell>
          <cell r="D333">
            <v>0</v>
          </cell>
          <cell r="E333">
            <v>0.25</v>
          </cell>
          <cell r="F333">
            <v>0</v>
          </cell>
          <cell r="G333">
            <v>0</v>
          </cell>
          <cell r="H333">
            <v>0</v>
          </cell>
          <cell r="J333" t="str">
            <v>SARL INTERMAR</v>
          </cell>
        </row>
        <row r="334">
          <cell r="A334" t="str">
            <v>D0302.2018.10.1429.00001</v>
          </cell>
          <cell r="B334">
            <v>1</v>
          </cell>
          <cell r="C334">
            <v>0.363598020572376</v>
          </cell>
          <cell r="D334">
            <v>0</v>
          </cell>
          <cell r="E334">
            <v>0.636401979427624</v>
          </cell>
          <cell r="F334">
            <v>0</v>
          </cell>
          <cell r="G334">
            <v>0</v>
          </cell>
          <cell r="H334">
            <v>0</v>
          </cell>
          <cell r="J334" t="str">
            <v>EURL GCCO  LE MERIDIEN - ORAN</v>
          </cell>
        </row>
        <row r="335">
          <cell r="A335" t="str">
            <v>D0401.2018.10.1411.00001</v>
          </cell>
          <cell r="B335">
            <v>1</v>
          </cell>
          <cell r="C335">
            <v>0.1305329661005887</v>
          </cell>
          <cell r="D335">
            <v>0</v>
          </cell>
          <cell r="E335">
            <v>0.86946703389941127</v>
          </cell>
          <cell r="F335">
            <v>0</v>
          </cell>
          <cell r="G335">
            <v>0</v>
          </cell>
          <cell r="H335">
            <v>0</v>
          </cell>
          <cell r="J335" t="str">
            <v>SPA TASSILI</v>
          </cell>
        </row>
        <row r="336">
          <cell r="A336" t="str">
            <v>D0401.2018.10.1411.00003</v>
          </cell>
          <cell r="B336">
            <v>1</v>
          </cell>
          <cell r="C336">
            <v>0.13497802557743599</v>
          </cell>
          <cell r="D336">
            <v>0</v>
          </cell>
          <cell r="E336">
            <v>0.86502197442256401</v>
          </cell>
          <cell r="F336">
            <v>0</v>
          </cell>
          <cell r="G336">
            <v>0</v>
          </cell>
          <cell r="H336">
            <v>0</v>
          </cell>
          <cell r="J336" t="str">
            <v>SAHARA WELL CONSTRUCTION SERVICES</v>
          </cell>
        </row>
        <row r="337">
          <cell r="A337" t="str">
            <v>D0401.2018.10.1411.00005</v>
          </cell>
          <cell r="B337">
            <v>1</v>
          </cell>
          <cell r="C337">
            <v>0.1471986189236778</v>
          </cell>
          <cell r="D337">
            <v>0</v>
          </cell>
          <cell r="E337">
            <v>0.8528013810763222</v>
          </cell>
          <cell r="F337">
            <v>0</v>
          </cell>
          <cell r="G337">
            <v>0</v>
          </cell>
          <cell r="H337">
            <v>0</v>
          </cell>
          <cell r="J337" t="str">
            <v>NPS Bahrain for Oil &amp; Gas Well Services</v>
          </cell>
        </row>
        <row r="338">
          <cell r="A338" t="str">
            <v>D0401.2018.10.1411.00006</v>
          </cell>
          <cell r="B338">
            <v>1</v>
          </cell>
          <cell r="C338">
            <v>0.15</v>
          </cell>
          <cell r="D338">
            <v>0</v>
          </cell>
          <cell r="E338">
            <v>0.85</v>
          </cell>
          <cell r="F338">
            <v>0</v>
          </cell>
          <cell r="G338">
            <v>0</v>
          </cell>
          <cell r="H338">
            <v>0</v>
          </cell>
          <cell r="J338" t="str">
            <v>RED MED SPA</v>
          </cell>
        </row>
        <row r="339">
          <cell r="A339" t="str">
            <v>D0401.2018.10.1429.00002</v>
          </cell>
          <cell r="B339">
            <v>1</v>
          </cell>
          <cell r="C339">
            <v>0.26495751406262008</v>
          </cell>
          <cell r="D339">
            <v>0</v>
          </cell>
          <cell r="E339">
            <v>0.73504248593737997</v>
          </cell>
          <cell r="F339">
            <v>0</v>
          </cell>
          <cell r="G339">
            <v>0</v>
          </cell>
          <cell r="H339">
            <v>0</v>
          </cell>
          <cell r="J339" t="str">
            <v>NPS Bahrain for Oil &amp; Gas Well Services</v>
          </cell>
        </row>
        <row r="340">
          <cell r="A340" t="str">
            <v>D0801.2018.10.1312.00001</v>
          </cell>
          <cell r="B340">
            <v>1</v>
          </cell>
          <cell r="C340">
            <v>0.3</v>
          </cell>
          <cell r="D340">
            <v>0</v>
          </cell>
          <cell r="E340">
            <v>0.7</v>
          </cell>
          <cell r="F340">
            <v>0</v>
          </cell>
          <cell r="G340">
            <v>0</v>
          </cell>
          <cell r="H340">
            <v>0</v>
          </cell>
          <cell r="J340" t="str">
            <v>SARPI SPA</v>
          </cell>
        </row>
        <row r="341">
          <cell r="A341" t="str">
            <v>D1002.2018.10.2018.00005</v>
          </cell>
          <cell r="B341">
            <v>1</v>
          </cell>
          <cell r="C341">
            <v>0.5</v>
          </cell>
          <cell r="D341">
            <v>0</v>
          </cell>
          <cell r="E341">
            <v>0.5</v>
          </cell>
          <cell r="F341">
            <v>0</v>
          </cell>
          <cell r="G341">
            <v>0</v>
          </cell>
          <cell r="H341">
            <v>0</v>
          </cell>
          <cell r="J341" t="str">
            <v>SARL SET</v>
          </cell>
        </row>
        <row r="342">
          <cell r="A342" t="str">
            <v>D1002.2018.10.1226.00006</v>
          </cell>
          <cell r="B342">
            <v>1</v>
          </cell>
          <cell r="C342">
            <v>0.5</v>
          </cell>
          <cell r="D342">
            <v>0</v>
          </cell>
          <cell r="E342">
            <v>0.5</v>
          </cell>
          <cell r="F342">
            <v>0</v>
          </cell>
          <cell r="G342">
            <v>0</v>
          </cell>
          <cell r="H342">
            <v>0</v>
          </cell>
          <cell r="J342" t="str">
            <v>SARL AGHEM</v>
          </cell>
        </row>
        <row r="343">
          <cell r="A343" t="str">
            <v>D0605.2018.10.1226.00001</v>
          </cell>
          <cell r="B343">
            <v>1</v>
          </cell>
          <cell r="C343">
            <v>0.6</v>
          </cell>
          <cell r="D343">
            <v>0</v>
          </cell>
          <cell r="E343">
            <v>0.4</v>
          </cell>
          <cell r="F343">
            <v>0</v>
          </cell>
          <cell r="G343">
            <v>0</v>
          </cell>
          <cell r="H343">
            <v>0</v>
          </cell>
          <cell r="J343" t="str">
            <v>SIDAL SPA AIR LIQUIDE</v>
          </cell>
        </row>
        <row r="344">
          <cell r="A344" t="str">
            <v>203.2017.10.1411.00011</v>
          </cell>
          <cell r="B344">
            <v>1</v>
          </cell>
          <cell r="C344">
            <v>1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210.2016.10.1312.00002</v>
          </cell>
          <cell r="B345">
            <v>3</v>
          </cell>
          <cell r="C345">
            <v>1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210.2016.10.1312.00003</v>
          </cell>
          <cell r="B346">
            <v>3</v>
          </cell>
          <cell r="C346">
            <v>1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210.2016.10.1312.00003</v>
          </cell>
          <cell r="B347">
            <v>3</v>
          </cell>
          <cell r="C347">
            <v>1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210.2016.10.1312.00002</v>
          </cell>
          <cell r="B348">
            <v>3</v>
          </cell>
          <cell r="C348">
            <v>1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A349" t="str">
            <v>201.2016.10.1312.00001</v>
          </cell>
          <cell r="B349">
            <v>1</v>
          </cell>
          <cell r="C349">
            <v>1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201.2016.10.1312.00002</v>
          </cell>
          <cell r="B350">
            <v>1</v>
          </cell>
          <cell r="C350">
            <v>1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210.2016.10.1312.00003</v>
          </cell>
          <cell r="B351">
            <v>3</v>
          </cell>
          <cell r="C351">
            <v>1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</row>
        <row r="352">
          <cell r="A352" t="str">
            <v>210.2016.10.1312.00002</v>
          </cell>
          <cell r="B352">
            <v>3</v>
          </cell>
          <cell r="C352">
            <v>1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201.2015.10.1312.00002</v>
          </cell>
          <cell r="B353">
            <v>1</v>
          </cell>
          <cell r="C353">
            <v>1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203.2015.10.1312.00001</v>
          </cell>
          <cell r="B354">
            <v>1</v>
          </cell>
          <cell r="C354">
            <v>0.25</v>
          </cell>
          <cell r="D354">
            <v>0</v>
          </cell>
          <cell r="E354">
            <v>0.75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203.2015.10.1312.00004</v>
          </cell>
          <cell r="B355">
            <v>1</v>
          </cell>
          <cell r="C355">
            <v>1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204.2015.10.1411.00002</v>
          </cell>
          <cell r="B356">
            <v>1</v>
          </cell>
          <cell r="C356">
            <v>0.52593379545382823</v>
          </cell>
          <cell r="D356">
            <v>0</v>
          </cell>
          <cell r="E356">
            <v>0.47406620454617171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201.2014.10.1312.00003</v>
          </cell>
          <cell r="B357">
            <v>1</v>
          </cell>
          <cell r="C357">
            <v>0.5</v>
          </cell>
          <cell r="D357">
            <v>0</v>
          </cell>
          <cell r="E357">
            <v>0.5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201.2013.10.1312.00012</v>
          </cell>
          <cell r="B358">
            <v>1</v>
          </cell>
          <cell r="C358">
            <v>0.5</v>
          </cell>
          <cell r="D358">
            <v>0</v>
          </cell>
          <cell r="E358">
            <v>0.5</v>
          </cell>
          <cell r="F358">
            <v>0</v>
          </cell>
          <cell r="G358">
            <v>0</v>
          </cell>
          <cell r="H358">
            <v>0</v>
          </cell>
        </row>
        <row r="359">
          <cell r="A359" t="str">
            <v>201.2013.10.1312.00006</v>
          </cell>
          <cell r="B359">
            <v>1</v>
          </cell>
          <cell r="C359">
            <v>0.5</v>
          </cell>
          <cell r="D359">
            <v>0</v>
          </cell>
          <cell r="E359">
            <v>0.5</v>
          </cell>
          <cell r="F359">
            <v>0</v>
          </cell>
          <cell r="G359">
            <v>0</v>
          </cell>
          <cell r="H359">
            <v>0</v>
          </cell>
        </row>
        <row r="360">
          <cell r="A360" t="str">
            <v>203.2011.10.1312.00001</v>
          </cell>
          <cell r="C360">
            <v>0.3</v>
          </cell>
          <cell r="D360">
            <v>0</v>
          </cell>
          <cell r="E360">
            <v>0.7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206.2018.10.1429.00001</v>
          </cell>
          <cell r="C361">
            <v>1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A362" t="str">
            <v>502.2018.10.1411.00001</v>
          </cell>
          <cell r="C362">
            <v>1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</row>
        <row r="363">
          <cell r="A363" t="str">
            <v>201.2018.10.1411.00005</v>
          </cell>
          <cell r="C363">
            <v>0.6</v>
          </cell>
          <cell r="D363">
            <v>0</v>
          </cell>
          <cell r="E363">
            <v>0.4</v>
          </cell>
          <cell r="F363">
            <v>0</v>
          </cell>
          <cell r="G363">
            <v>0</v>
          </cell>
        </row>
        <row r="364">
          <cell r="A364" t="str">
            <v>201.2018.10.1411.00006</v>
          </cell>
          <cell r="C364">
            <v>0.21252279218395009</v>
          </cell>
          <cell r="D364">
            <v>0</v>
          </cell>
          <cell r="E364">
            <v>0.78747720781604991</v>
          </cell>
          <cell r="F364">
            <v>0</v>
          </cell>
          <cell r="G364">
            <v>0</v>
          </cell>
        </row>
        <row r="365">
          <cell r="A365" t="str">
            <v>204.2018.10.1411.00006</v>
          </cell>
          <cell r="C365">
            <v>6.5604999999999997E-2</v>
          </cell>
          <cell r="D365">
            <v>0</v>
          </cell>
          <cell r="E365">
            <v>0.39362799999999998</v>
          </cell>
          <cell r="F365">
            <v>0.540767</v>
          </cell>
          <cell r="G365">
            <v>0</v>
          </cell>
        </row>
        <row r="366">
          <cell r="A366" t="str">
            <v>501.2018.10.1411.00006</v>
          </cell>
          <cell r="C366">
            <v>0.71024106895826422</v>
          </cell>
          <cell r="D366">
            <v>0</v>
          </cell>
          <cell r="E366">
            <v>0.28975893104173578</v>
          </cell>
          <cell r="F366">
            <v>0</v>
          </cell>
          <cell r="G366">
            <v>0</v>
          </cell>
        </row>
        <row r="367">
          <cell r="A367" t="str">
            <v>504.2018.10.1411.00003</v>
          </cell>
          <cell r="C367">
            <v>0.25</v>
          </cell>
          <cell r="D367">
            <v>0</v>
          </cell>
          <cell r="E367">
            <v>0.75</v>
          </cell>
          <cell r="F367">
            <v>0</v>
          </cell>
          <cell r="G367">
            <v>0</v>
          </cell>
        </row>
        <row r="368">
          <cell r="A368" t="str">
            <v>205.2018.10.1411.00013</v>
          </cell>
          <cell r="C368">
            <v>0.3</v>
          </cell>
          <cell r="D368">
            <v>0</v>
          </cell>
          <cell r="E368">
            <v>0.7</v>
          </cell>
          <cell r="F368">
            <v>0</v>
          </cell>
          <cell r="G368">
            <v>0</v>
          </cell>
        </row>
        <row r="369">
          <cell r="A369" t="str">
            <v>205.2018.10.1429.00010</v>
          </cell>
          <cell r="C369">
            <v>0.13636363636363635</v>
          </cell>
          <cell r="D369">
            <v>0</v>
          </cell>
          <cell r="E369">
            <v>0.86363636363636365</v>
          </cell>
          <cell r="F369">
            <v>0</v>
          </cell>
          <cell r="G369">
            <v>0</v>
          </cell>
        </row>
        <row r="370">
          <cell r="A370" t="str">
            <v>401.2018.10.1411.00012</v>
          </cell>
          <cell r="C370">
            <v>0.1875</v>
          </cell>
          <cell r="D370">
            <v>0</v>
          </cell>
          <cell r="E370">
            <v>0.8125</v>
          </cell>
          <cell r="F370">
            <v>0</v>
          </cell>
          <cell r="G370">
            <v>0</v>
          </cell>
        </row>
        <row r="371">
          <cell r="A371" t="str">
            <v>201.2018.10.1311.00001</v>
          </cell>
          <cell r="C371">
            <v>0.42732607828613756</v>
          </cell>
          <cell r="D371">
            <v>0</v>
          </cell>
          <cell r="E371">
            <v>0.57267392171386244</v>
          </cell>
          <cell r="F371">
            <v>0</v>
          </cell>
          <cell r="G371">
            <v>0</v>
          </cell>
        </row>
        <row r="372">
          <cell r="A372" t="str">
            <v>201.2018.10.1411.00007</v>
          </cell>
          <cell r="C372">
            <v>0.42685061082322406</v>
          </cell>
          <cell r="D372">
            <v>0</v>
          </cell>
          <cell r="E372">
            <v>0.57314938917677594</v>
          </cell>
          <cell r="F372">
            <v>0</v>
          </cell>
          <cell r="G372">
            <v>0</v>
          </cell>
        </row>
        <row r="373">
          <cell r="A373" t="str">
            <v>201.2018.10.1419.00002</v>
          </cell>
          <cell r="C373">
            <v>0.42685061082322406</v>
          </cell>
          <cell r="D373">
            <v>0</v>
          </cell>
          <cell r="E373">
            <v>0.57314938917677594</v>
          </cell>
          <cell r="F373">
            <v>0</v>
          </cell>
          <cell r="G373">
            <v>0</v>
          </cell>
        </row>
        <row r="374">
          <cell r="A374" t="str">
            <v>204.2018.10.1411.00011</v>
          </cell>
          <cell r="C374">
            <v>8.7677000000000005E-2</v>
          </cell>
          <cell r="D374">
            <v>0</v>
          </cell>
          <cell r="E374">
            <v>0.52605999999999997</v>
          </cell>
          <cell r="F374">
            <v>0.38626300000000002</v>
          </cell>
          <cell r="G374">
            <v>0</v>
          </cell>
        </row>
        <row r="375">
          <cell r="A375" t="str">
            <v>204.2018.10.1411.00012</v>
          </cell>
          <cell r="C375">
            <v>8.7677000000000005E-2</v>
          </cell>
          <cell r="D375">
            <v>0</v>
          </cell>
          <cell r="E375">
            <v>0.52605999999999997</v>
          </cell>
          <cell r="F375">
            <v>0.38626300000000002</v>
          </cell>
          <cell r="G375">
            <v>0</v>
          </cell>
        </row>
        <row r="376">
          <cell r="A376" t="str">
            <v>204.2018.10.1411.00014</v>
          </cell>
          <cell r="C376">
            <v>5.1724137931034482E-2</v>
          </cell>
          <cell r="D376">
            <v>0</v>
          </cell>
          <cell r="E376">
            <v>0.31034482758620691</v>
          </cell>
          <cell r="F376">
            <v>0.63793103448275867</v>
          </cell>
          <cell r="G376">
            <v>0</v>
          </cell>
        </row>
        <row r="377">
          <cell r="A377" t="str">
            <v>205.2018.10.1429.00011</v>
          </cell>
          <cell r="C377">
            <v>0.21428571428571427</v>
          </cell>
          <cell r="D377">
            <v>0</v>
          </cell>
          <cell r="E377">
            <v>0.7857142857142857</v>
          </cell>
          <cell r="F377">
            <v>0</v>
          </cell>
          <cell r="G377">
            <v>0</v>
          </cell>
        </row>
        <row r="378">
          <cell r="A378" t="str">
            <v>209.2018.10.1411.00005</v>
          </cell>
          <cell r="C378">
            <v>0.11228100000045733</v>
          </cell>
          <cell r="D378">
            <v>0</v>
          </cell>
          <cell r="E378">
            <v>0.88771899999954262</v>
          </cell>
          <cell r="F378">
            <v>0</v>
          </cell>
          <cell r="G378">
            <v>0</v>
          </cell>
        </row>
        <row r="379">
          <cell r="A379" t="str">
            <v>205.2018.10.1226.00002</v>
          </cell>
          <cell r="C379">
            <v>0.375</v>
          </cell>
          <cell r="D379">
            <v>0</v>
          </cell>
          <cell r="E379">
            <v>0.625</v>
          </cell>
          <cell r="F379">
            <v>0</v>
          </cell>
          <cell r="G379">
            <v>0</v>
          </cell>
        </row>
        <row r="380">
          <cell r="A380" t="str">
            <v>209.2018.10.1226.00002</v>
          </cell>
          <cell r="C380">
            <v>0.75</v>
          </cell>
          <cell r="D380">
            <v>0</v>
          </cell>
          <cell r="E380">
            <v>0.25</v>
          </cell>
          <cell r="F380">
            <v>0</v>
          </cell>
          <cell r="G380">
            <v>0</v>
          </cell>
        </row>
        <row r="381">
          <cell r="A381" t="str">
            <v>305.2018.10.1411.00015</v>
          </cell>
          <cell r="C381">
            <v>0.12926744140953217</v>
          </cell>
          <cell r="D381">
            <v>0</v>
          </cell>
          <cell r="E381">
            <v>0.87073255859046783</v>
          </cell>
          <cell r="F381">
            <v>0</v>
          </cell>
          <cell r="G381">
            <v>0</v>
          </cell>
        </row>
        <row r="382">
          <cell r="A382" t="str">
            <v>201.2018.10.1411.00004</v>
          </cell>
          <cell r="C382">
            <v>5.5919738027211292E-2</v>
          </cell>
          <cell r="D382">
            <v>0</v>
          </cell>
          <cell r="E382">
            <v>0.33551842816326777</v>
          </cell>
          <cell r="F382">
            <v>0.608561833809521</v>
          </cell>
          <cell r="G382">
            <v>0</v>
          </cell>
        </row>
        <row r="383">
          <cell r="A383" t="str">
            <v>505.2018.10.1411.00013</v>
          </cell>
          <cell r="C383">
            <v>1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</row>
        <row r="384">
          <cell r="A384" t="str">
            <v>204.2018.10.1411.00019</v>
          </cell>
          <cell r="C384">
            <v>0.28409090909090906</v>
          </cell>
          <cell r="D384">
            <v>0</v>
          </cell>
          <cell r="E384">
            <v>0.71590909090909094</v>
          </cell>
          <cell r="F384">
            <v>0</v>
          </cell>
          <cell r="G384">
            <v>0</v>
          </cell>
        </row>
        <row r="385">
          <cell r="A385" t="str">
            <v>201.2018.10.1411.00008</v>
          </cell>
          <cell r="C385">
            <v>0.230268</v>
          </cell>
          <cell r="D385">
            <v>0</v>
          </cell>
          <cell r="E385">
            <v>0</v>
          </cell>
          <cell r="F385">
            <v>0.76973199999845077</v>
          </cell>
          <cell r="G385">
            <v>0</v>
          </cell>
        </row>
        <row r="386">
          <cell r="A386" t="str">
            <v>203.2018.10.1411.00010</v>
          </cell>
          <cell r="C386">
            <v>1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</row>
        <row r="387">
          <cell r="A387" t="str">
            <v>203.2018.10.1411.00010</v>
          </cell>
          <cell r="C387">
            <v>1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A388" t="str">
            <v>203.2018.10.1411.00010</v>
          </cell>
          <cell r="C388">
            <v>1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</row>
        <row r="389">
          <cell r="A389" t="str">
            <v>203.2018.10.1411.00010</v>
          </cell>
          <cell r="C389">
            <v>1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A390" t="str">
            <v>204.2018.10.1411.00004</v>
          </cell>
          <cell r="C390">
            <v>0.1</v>
          </cell>
          <cell r="D390">
            <v>0</v>
          </cell>
          <cell r="E390">
            <v>0</v>
          </cell>
          <cell r="F390">
            <v>0.9</v>
          </cell>
          <cell r="G390">
            <v>0</v>
          </cell>
        </row>
        <row r="391">
          <cell r="A391" t="str">
            <v>505.2018.10.1414.00002</v>
          </cell>
          <cell r="C391">
            <v>1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</row>
        <row r="392">
          <cell r="A392" t="str">
            <v>505.2018.65.1414.00004</v>
          </cell>
          <cell r="C392">
            <v>1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</row>
        <row r="393">
          <cell r="A393" t="str">
            <v>305.2018.10.1414.00004</v>
          </cell>
          <cell r="C393">
            <v>1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</row>
        <row r="394">
          <cell r="A394" t="str">
            <v>204.2015.10.1312.00001</v>
          </cell>
          <cell r="C394">
            <v>0.1</v>
          </cell>
          <cell r="E394">
            <v>0.7</v>
          </cell>
        </row>
        <row r="395">
          <cell r="A395" t="str">
            <v>203.2014.10.1312.00004</v>
          </cell>
          <cell r="C395">
            <v>0.4</v>
          </cell>
          <cell r="E395">
            <v>0.6</v>
          </cell>
        </row>
        <row r="396">
          <cell r="A396" t="str">
            <v>203.2014.10.1312.00003</v>
          </cell>
          <cell r="C396">
            <v>0.4</v>
          </cell>
          <cell r="E396">
            <v>0.6</v>
          </cell>
        </row>
        <row r="397">
          <cell r="A397" t="str">
            <v>203.2014.10.1312.00005</v>
          </cell>
          <cell r="C397">
            <v>0.4</v>
          </cell>
          <cell r="E397">
            <v>0.6</v>
          </cell>
        </row>
        <row r="398">
          <cell r="A398" t="str">
            <v>211.2016.10.1411.00006</v>
          </cell>
          <cell r="C398">
            <v>0.56949839492572374</v>
          </cell>
          <cell r="E398">
            <v>0.43050160507427626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P par reassu"/>
      <sheetName val="Feuil3"/>
      <sheetName val="SAP au 30.03.2018"/>
      <sheetName val="Verif 2"/>
      <sheetName val="Feuil1"/>
      <sheetName val="SHRE"/>
      <sheetName val="SAP_par_reassu"/>
      <sheetName val="SAP_au_30_03_2018"/>
      <sheetName val="Verif_2"/>
      <sheetName val="SAP_par_reassu1"/>
      <sheetName val="SAP_au_30_03_20181"/>
      <sheetName val="Verif_21"/>
      <sheetName val="SAP_par_reassu2"/>
      <sheetName val="SAP_au_30_03_20182"/>
      <sheetName val="Verif_22"/>
      <sheetName val="SAP_par_reassu4"/>
      <sheetName val="SAP_au_30_03_20184"/>
      <sheetName val="Verif_24"/>
      <sheetName val="SAP_par_reassu3"/>
      <sheetName val="SAP_au_30_03_20183"/>
      <sheetName val="Verif_23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2">
          <cell r="A2" t="str">
            <v>Police</v>
          </cell>
          <cell r="B2" t="str">
            <v>Taux cession</v>
          </cell>
        </row>
        <row r="3">
          <cell r="A3" t="str">
            <v>204.2008.10.1211.0004</v>
          </cell>
          <cell r="B3">
            <v>0.82</v>
          </cell>
        </row>
        <row r="4">
          <cell r="A4" t="str">
            <v>204.2009.10.1211.0001</v>
          </cell>
          <cell r="B4">
            <v>0.82000000000000006</v>
          </cell>
        </row>
        <row r="5">
          <cell r="A5" t="str">
            <v>204.2009.10.1211.0002</v>
          </cell>
          <cell r="B5">
            <v>0.82000000000000006</v>
          </cell>
        </row>
        <row r="6">
          <cell r="A6" t="str">
            <v>204.2010.10.1211.0001</v>
          </cell>
          <cell r="B6">
            <v>0.82</v>
          </cell>
        </row>
        <row r="7">
          <cell r="A7" t="str">
            <v>204.2010.10.1211.0002</v>
          </cell>
          <cell r="B7">
            <v>0.82</v>
          </cell>
        </row>
        <row r="8">
          <cell r="A8" t="str">
            <v>204.2011.10.1211.0005</v>
          </cell>
          <cell r="B8">
            <v>0.42</v>
          </cell>
        </row>
        <row r="9">
          <cell r="A9" t="str">
            <v>204.2011.10.1211.0006</v>
          </cell>
          <cell r="B9">
            <v>0.42</v>
          </cell>
        </row>
        <row r="10">
          <cell r="A10" t="str">
            <v>204.2012.10.1211.0009</v>
          </cell>
          <cell r="B10">
            <v>0.42</v>
          </cell>
        </row>
        <row r="11">
          <cell r="A11" t="str">
            <v>204.2013.10.1211.00011</v>
          </cell>
          <cell r="B11">
            <v>0.42</v>
          </cell>
        </row>
        <row r="12">
          <cell r="A12" t="str">
            <v>204.2013.10.1211.00013</v>
          </cell>
          <cell r="B12">
            <v>0.42</v>
          </cell>
        </row>
        <row r="13">
          <cell r="A13" t="str">
            <v>204.2013.10.1211.0011</v>
          </cell>
          <cell r="B13">
            <v>0.42</v>
          </cell>
        </row>
        <row r="14">
          <cell r="A14" t="str">
            <v>204.2014.10.1211.00010</v>
          </cell>
          <cell r="B14">
            <v>0.42</v>
          </cell>
        </row>
        <row r="15">
          <cell r="A15" t="str">
            <v>204.2010.10.1211.0001</v>
          </cell>
          <cell r="B15">
            <v>0.42</v>
          </cell>
        </row>
        <row r="16">
          <cell r="A16" t="str">
            <v>401.2015.10.1211.00018</v>
          </cell>
          <cell r="B16">
            <v>0.2</v>
          </cell>
        </row>
        <row r="17">
          <cell r="A17" t="str">
            <v>401.2015.10.1211.00019</v>
          </cell>
          <cell r="B17">
            <v>0.2</v>
          </cell>
        </row>
        <row r="18">
          <cell r="A18" t="str">
            <v>204.2014.10.1211.00009</v>
          </cell>
          <cell r="B18">
            <v>0.42</v>
          </cell>
        </row>
        <row r="19">
          <cell r="A19" t="str">
            <v>204.2015.10.1211.00009</v>
          </cell>
          <cell r="B19">
            <v>0.42</v>
          </cell>
        </row>
        <row r="20">
          <cell r="A20" t="str">
            <v>401.2016.10.1211.00016</v>
          </cell>
          <cell r="B20">
            <v>0.2</v>
          </cell>
        </row>
        <row r="21">
          <cell r="A21" t="str">
            <v>401.2016.10.1211.00015</v>
          </cell>
          <cell r="B21">
            <v>0.2</v>
          </cell>
        </row>
        <row r="22">
          <cell r="A22" t="str">
            <v>302.2016.10.1211.0001</v>
          </cell>
          <cell r="B22">
            <v>0.02</v>
          </cell>
        </row>
        <row r="23">
          <cell r="A23" t="str">
            <v>204.2016.10.1211.00013</v>
          </cell>
          <cell r="B23">
            <v>0.42</v>
          </cell>
        </row>
        <row r="24">
          <cell r="A24" t="str">
            <v>204.2016.10.1411.00010</v>
          </cell>
          <cell r="B24">
            <v>0.02</v>
          </cell>
        </row>
        <row r="25">
          <cell r="A25" t="str">
            <v>204.2016.10.1211.00015</v>
          </cell>
          <cell r="B25">
            <v>0.42</v>
          </cell>
        </row>
        <row r="26">
          <cell r="A26" t="str">
            <v>204.2017.10.1227.0001</v>
          </cell>
          <cell r="B26">
            <v>0.42</v>
          </cell>
        </row>
        <row r="27">
          <cell r="A27" t="str">
            <v>204.2017.10.1411.0006</v>
          </cell>
          <cell r="B27">
            <v>0.02</v>
          </cell>
        </row>
        <row r="28">
          <cell r="A28" t="str">
            <v>302.2017.10.1227.0001</v>
          </cell>
          <cell r="B28">
            <v>0.02</v>
          </cell>
        </row>
        <row r="29">
          <cell r="A29" t="str">
            <v>401.2017.10.1211.0011</v>
          </cell>
          <cell r="B29">
            <v>0.2</v>
          </cell>
        </row>
        <row r="30">
          <cell r="A30" t="str">
            <v>204.2017.10.1211.0008</v>
          </cell>
          <cell r="B30">
            <v>0.42</v>
          </cell>
        </row>
        <row r="31">
          <cell r="A31" t="str">
            <v>204.2016.10.1411.00010</v>
          </cell>
          <cell r="B31">
            <v>0.02</v>
          </cell>
        </row>
        <row r="32">
          <cell r="A32" t="str">
            <v>204.2015.10.1211.00011</v>
          </cell>
          <cell r="B32">
            <v>0.42</v>
          </cell>
        </row>
        <row r="33">
          <cell r="A33" t="str">
            <v>401.2017.10.1211.0012</v>
          </cell>
          <cell r="B33">
            <v>0.2</v>
          </cell>
        </row>
        <row r="34">
          <cell r="A34" t="str">
            <v>204.2017.10.1227.00001</v>
          </cell>
          <cell r="B34">
            <v>0.42</v>
          </cell>
        </row>
        <row r="35">
          <cell r="A35" t="str">
            <v>302.2016.10.1211.00001</v>
          </cell>
          <cell r="B35">
            <v>0.02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E 1T 2021"/>
      <sheetName val="TCD 1T 2021"/>
      <sheetName val="DETAIL REASS"/>
      <sheetName val="1T RC "/>
      <sheetName val="Sinsitre réglé 1T 2021"/>
      <sheetName val="verif 02"/>
      <sheetName val="CONSOLIDE_1T_2021"/>
      <sheetName val="TCD_1T_2021"/>
      <sheetName val="DETAIL_REASS"/>
      <sheetName val="1T_RC_"/>
      <sheetName val="Sinsitre_réglé_1T_2021"/>
      <sheetName val="verif_02"/>
      <sheetName val="CONSOLIDE_1T_20211"/>
      <sheetName val="TCD_1T_20211"/>
      <sheetName val="DETAIL_REASS1"/>
      <sheetName val="1T_RC_1"/>
      <sheetName val="Sinsitre_réglé_1T_20211"/>
      <sheetName val="verif_021"/>
      <sheetName val="CONSOLIDE_1T_20212"/>
      <sheetName val="TCD_1T_20212"/>
      <sheetName val="DETAIL_REASS2"/>
      <sheetName val="1T_RC_2"/>
      <sheetName val="Sinsitre_réglé_1T_20212"/>
      <sheetName val="verif_022"/>
      <sheetName val="CONSOLIDE_1T_20214"/>
      <sheetName val="TCD_1T_20214"/>
      <sheetName val="DETAIL_REASS4"/>
      <sheetName val="1T_RC_4"/>
      <sheetName val="Sinsitre_réglé_1T_20214"/>
      <sheetName val="verif_024"/>
      <sheetName val="CONSOLIDE_1T_20213"/>
      <sheetName val="TCD_1T_20213"/>
      <sheetName val="DETAIL_REASS3"/>
      <sheetName val="1T_RC_3"/>
      <sheetName val="Sinsitre_réglé_1T_20213"/>
      <sheetName val="verif_023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POLICE_AVENAT</v>
          </cell>
          <cell r="B1" t="str">
            <v>rep</v>
          </cell>
          <cell r="C1" t="str">
            <v>Rétention CASH %</v>
          </cell>
          <cell r="D1" t="str">
            <v>COR Traité 2010 et antérieur %</v>
          </cell>
          <cell r="E1" t="str">
            <v>Traité %</v>
          </cell>
          <cell r="F1" t="str">
            <v>Fac %</v>
          </cell>
          <cell r="G1" t="str">
            <v>COR FAC</v>
          </cell>
          <cell r="H1" t="str">
            <v>VERIF</v>
          </cell>
        </row>
        <row r="2">
          <cell r="A2" t="str">
            <v>204 1411 2015 00001 10</v>
          </cell>
          <cell r="B2">
            <v>1</v>
          </cell>
          <cell r="C2">
            <v>0.46450000000037156</v>
          </cell>
          <cell r="E2">
            <v>0.53549999999962838</v>
          </cell>
          <cell r="F2">
            <v>0</v>
          </cell>
          <cell r="H2">
            <v>1</v>
          </cell>
        </row>
        <row r="3">
          <cell r="A3" t="str">
            <v>304 1429 2015 00001 10</v>
          </cell>
          <cell r="B3">
            <v>1</v>
          </cell>
          <cell r="C3">
            <v>0.66666666666666663</v>
          </cell>
          <cell r="E3">
            <v>0.33333333333333331</v>
          </cell>
          <cell r="F3">
            <v>0</v>
          </cell>
          <cell r="H3">
            <v>1</v>
          </cell>
        </row>
        <row r="4">
          <cell r="A4" t="str">
            <v>210 1312 2015 00001 10</v>
          </cell>
          <cell r="B4">
            <v>1</v>
          </cell>
          <cell r="C4">
            <v>0.49441217666834303</v>
          </cell>
          <cell r="E4">
            <v>0.50558782333165697</v>
          </cell>
          <cell r="F4">
            <v>0</v>
          </cell>
          <cell r="H4">
            <v>1</v>
          </cell>
        </row>
        <row r="5">
          <cell r="A5" t="str">
            <v>201 1312 2015 00001 10</v>
          </cell>
          <cell r="B5">
            <v>1</v>
          </cell>
          <cell r="C5">
            <v>0.5</v>
          </cell>
          <cell r="E5">
            <v>0.5</v>
          </cell>
          <cell r="F5">
            <v>0</v>
          </cell>
          <cell r="H5">
            <v>1</v>
          </cell>
        </row>
        <row r="6">
          <cell r="A6" t="str">
            <v>204 1411 2015 00002 10</v>
          </cell>
          <cell r="B6">
            <v>1</v>
          </cell>
          <cell r="C6">
            <v>0.52593379545382823</v>
          </cell>
          <cell r="E6">
            <v>0.47406620454617171</v>
          </cell>
          <cell r="F6">
            <v>0</v>
          </cell>
          <cell r="H6">
            <v>1</v>
          </cell>
        </row>
        <row r="7">
          <cell r="A7" t="str">
            <v>201 1411 2015 00008 10</v>
          </cell>
          <cell r="B7">
            <v>1</v>
          </cell>
          <cell r="C7">
            <v>0.33333333333333331</v>
          </cell>
          <cell r="E7">
            <v>0.66666666666666663</v>
          </cell>
          <cell r="F7">
            <v>0</v>
          </cell>
          <cell r="H7">
            <v>1</v>
          </cell>
        </row>
        <row r="8">
          <cell r="A8" t="str">
            <v>203 1419 2010 00001 10</v>
          </cell>
          <cell r="B8">
            <v>1</v>
          </cell>
          <cell r="C8">
            <v>0.66666666666666663</v>
          </cell>
          <cell r="E8">
            <v>0.33333333333333331</v>
          </cell>
          <cell r="F8">
            <v>0</v>
          </cell>
          <cell r="H8">
            <v>1</v>
          </cell>
        </row>
        <row r="9">
          <cell r="A9" t="str">
            <v>204 1419 2015 00002 10</v>
          </cell>
          <cell r="B9">
            <v>1</v>
          </cell>
          <cell r="C9">
            <v>7.0832390377136442E-2</v>
          </cell>
          <cell r="E9">
            <v>0.16916760962286401</v>
          </cell>
          <cell r="F9">
            <v>0.75999999999999956</v>
          </cell>
          <cell r="H9">
            <v>1</v>
          </cell>
        </row>
        <row r="10">
          <cell r="A10" t="str">
            <v>209 1411 2015 00001 10</v>
          </cell>
          <cell r="B10">
            <v>1</v>
          </cell>
          <cell r="C10">
            <v>0.94799999997762729</v>
          </cell>
          <cell r="E10">
            <v>5.2000000022372733E-2</v>
          </cell>
          <cell r="F10">
            <v>0</v>
          </cell>
          <cell r="H10">
            <v>1</v>
          </cell>
        </row>
        <row r="11">
          <cell r="A11" t="str">
            <v>205 1411 2015 00009 10</v>
          </cell>
          <cell r="B11">
            <v>1</v>
          </cell>
          <cell r="C11">
            <v>0.91900000154392003</v>
          </cell>
          <cell r="E11">
            <v>8.0999998456079997E-2</v>
          </cell>
          <cell r="F11">
            <v>0</v>
          </cell>
          <cell r="H11">
            <v>1</v>
          </cell>
        </row>
        <row r="12">
          <cell r="A12" t="str">
            <v>210 1419 2014 00002 10</v>
          </cell>
          <cell r="B12">
            <v>1</v>
          </cell>
          <cell r="C12">
            <v>0.5</v>
          </cell>
          <cell r="E12">
            <v>0.5</v>
          </cell>
          <cell r="F12">
            <v>0</v>
          </cell>
          <cell r="H12">
            <v>1</v>
          </cell>
        </row>
        <row r="13">
          <cell r="A13" t="str">
            <v>205 1411 2015 00001 10</v>
          </cell>
          <cell r="B13">
            <v>1</v>
          </cell>
          <cell r="C13">
            <v>0.93360221077003513</v>
          </cell>
          <cell r="E13">
            <v>6.6397789229964893E-2</v>
          </cell>
          <cell r="F13">
            <v>0</v>
          </cell>
          <cell r="H13">
            <v>1</v>
          </cell>
        </row>
        <row r="14">
          <cell r="A14" t="str">
            <v>211 1429 2015 00001 10</v>
          </cell>
          <cell r="B14">
            <v>1</v>
          </cell>
          <cell r="C14">
            <v>0.94819984259882617</v>
          </cell>
          <cell r="E14">
            <v>5.1800157401173871E-2</v>
          </cell>
          <cell r="F14">
            <v>0</v>
          </cell>
          <cell r="H14">
            <v>1</v>
          </cell>
        </row>
        <row r="15">
          <cell r="A15" t="str">
            <v>203 1411 2014 00008 10</v>
          </cell>
          <cell r="B15">
            <v>1</v>
          </cell>
          <cell r="C15">
            <v>1</v>
          </cell>
          <cell r="E15">
            <v>0</v>
          </cell>
          <cell r="F15">
            <v>0</v>
          </cell>
          <cell r="H15">
            <v>1</v>
          </cell>
        </row>
        <row r="16">
          <cell r="A16" t="str">
            <v>205 1411 2014 00014 10</v>
          </cell>
          <cell r="B16">
            <v>1</v>
          </cell>
          <cell r="C16">
            <v>0.94232943837165473</v>
          </cell>
          <cell r="E16">
            <v>5.7670561628345267E-2</v>
          </cell>
          <cell r="F16">
            <v>0</v>
          </cell>
          <cell r="H16">
            <v>1</v>
          </cell>
        </row>
        <row r="17">
          <cell r="A17" t="str">
            <v>203 1419 2015 00002 10</v>
          </cell>
          <cell r="B17">
            <v>1</v>
          </cell>
          <cell r="C17">
            <v>0.625</v>
          </cell>
          <cell r="E17">
            <v>0.375</v>
          </cell>
          <cell r="F17">
            <v>0</v>
          </cell>
          <cell r="H17">
            <v>1</v>
          </cell>
        </row>
        <row r="18">
          <cell r="A18" t="str">
            <v>205 1411 2015 00008 10</v>
          </cell>
          <cell r="B18">
            <v>1</v>
          </cell>
          <cell r="C18">
            <v>0.33333333333333331</v>
          </cell>
          <cell r="E18">
            <v>0.66666666666666663</v>
          </cell>
          <cell r="F18">
            <v>0</v>
          </cell>
          <cell r="H18">
            <v>1</v>
          </cell>
        </row>
        <row r="19">
          <cell r="A19" t="str">
            <v>401 1311 2014 00001 10</v>
          </cell>
          <cell r="B19">
            <v>1</v>
          </cell>
          <cell r="C19">
            <v>0.625</v>
          </cell>
          <cell r="E19">
            <v>0.375</v>
          </cell>
          <cell r="F19">
            <v>0</v>
          </cell>
          <cell r="H19">
            <v>1</v>
          </cell>
        </row>
        <row r="20">
          <cell r="A20" t="str">
            <v>203 1411 2013 00013 10</v>
          </cell>
          <cell r="B20">
            <v>1</v>
          </cell>
          <cell r="C20">
            <v>0.26934213184297356</v>
          </cell>
          <cell r="E20">
            <v>0.73065786815702649</v>
          </cell>
          <cell r="F20">
            <v>0</v>
          </cell>
          <cell r="H20">
            <v>1</v>
          </cell>
        </row>
        <row r="21">
          <cell r="A21" t="str">
            <v>201 1411 2015 00006 10</v>
          </cell>
          <cell r="B21">
            <v>1</v>
          </cell>
          <cell r="C21">
            <v>0.95803793830235673</v>
          </cell>
          <cell r="E21">
            <v>4.196206169764323E-2</v>
          </cell>
          <cell r="F21">
            <v>0</v>
          </cell>
          <cell r="H21">
            <v>1</v>
          </cell>
        </row>
        <row r="22">
          <cell r="A22" t="str">
            <v>301 1411 2015 00001 10</v>
          </cell>
          <cell r="B22">
            <v>1</v>
          </cell>
          <cell r="C22">
            <v>0.2</v>
          </cell>
          <cell r="E22">
            <v>0.8</v>
          </cell>
          <cell r="F22">
            <v>0</v>
          </cell>
          <cell r="H22">
            <v>1</v>
          </cell>
        </row>
        <row r="23">
          <cell r="A23" t="str">
            <v>301 1411 2015 00002 10</v>
          </cell>
          <cell r="B23">
            <v>1</v>
          </cell>
          <cell r="C23">
            <v>0.2</v>
          </cell>
          <cell r="E23">
            <v>0.8</v>
          </cell>
          <cell r="F23">
            <v>0</v>
          </cell>
          <cell r="H23">
            <v>1</v>
          </cell>
        </row>
        <row r="24">
          <cell r="A24" t="str">
            <v>401 1411 2015 00003 10</v>
          </cell>
          <cell r="B24">
            <v>1</v>
          </cell>
          <cell r="C24">
            <v>0.5687544505035752</v>
          </cell>
          <cell r="E24">
            <v>0.4312455494964248</v>
          </cell>
          <cell r="F24">
            <v>0</v>
          </cell>
          <cell r="H24">
            <v>1</v>
          </cell>
        </row>
        <row r="25">
          <cell r="A25" t="str">
            <v>501 1419 2015 00001 10</v>
          </cell>
          <cell r="B25">
            <v>1</v>
          </cell>
          <cell r="C25">
            <v>0.5</v>
          </cell>
          <cell r="E25">
            <v>0.5</v>
          </cell>
          <cell r="F25">
            <v>0</v>
          </cell>
          <cell r="H25">
            <v>1</v>
          </cell>
        </row>
        <row r="26">
          <cell r="A26" t="str">
            <v>203 1411 2015 00005 10</v>
          </cell>
          <cell r="B26">
            <v>1</v>
          </cell>
          <cell r="C26">
            <v>0.33333333333333331</v>
          </cell>
          <cell r="E26">
            <v>0.66666666666666663</v>
          </cell>
          <cell r="F26">
            <v>0</v>
          </cell>
          <cell r="H26">
            <v>1</v>
          </cell>
        </row>
        <row r="27">
          <cell r="A27" t="str">
            <v>203 1411 2015 00006 10</v>
          </cell>
          <cell r="B27">
            <v>1</v>
          </cell>
          <cell r="C27">
            <v>0.33333333333333331</v>
          </cell>
          <cell r="E27">
            <v>0.66666666666666663</v>
          </cell>
          <cell r="F27">
            <v>0</v>
          </cell>
          <cell r="H27">
            <v>1</v>
          </cell>
        </row>
        <row r="28">
          <cell r="A28" t="str">
            <v>204 1411 2013 00011 10</v>
          </cell>
          <cell r="B28">
            <v>1</v>
          </cell>
          <cell r="C28">
            <v>0.24758603614756128</v>
          </cell>
          <cell r="E28">
            <v>0.75241396385243875</v>
          </cell>
          <cell r="F28">
            <v>0</v>
          </cell>
          <cell r="H28">
            <v>1</v>
          </cell>
        </row>
        <row r="29">
          <cell r="A29" t="str">
            <v>203 1419 2015 00001 10</v>
          </cell>
          <cell r="B29">
            <v>1</v>
          </cell>
          <cell r="C29">
            <v>0.22222222222222221</v>
          </cell>
          <cell r="E29">
            <v>0.77777777777777779</v>
          </cell>
          <cell r="F29">
            <v>0</v>
          </cell>
          <cell r="H29">
            <v>1</v>
          </cell>
        </row>
        <row r="30">
          <cell r="A30" t="str">
            <v>401 1411 2012 00016 10</v>
          </cell>
          <cell r="B30">
            <v>1</v>
          </cell>
          <cell r="C30">
            <v>0.24521403507051129</v>
          </cell>
          <cell r="E30">
            <v>0.75478596492948868</v>
          </cell>
          <cell r="F30">
            <v>0</v>
          </cell>
          <cell r="H30">
            <v>1</v>
          </cell>
        </row>
        <row r="31">
          <cell r="A31" t="str">
            <v>302 1411 2015 00002 10</v>
          </cell>
          <cell r="B31">
            <v>1</v>
          </cell>
          <cell r="C31">
            <v>0.20833333333333334</v>
          </cell>
          <cell r="E31">
            <v>0.79166666666666663</v>
          </cell>
          <cell r="F31">
            <v>0</v>
          </cell>
          <cell r="H31">
            <v>1</v>
          </cell>
        </row>
        <row r="32">
          <cell r="A32" t="str">
            <v>204 1411 2015 00004 10</v>
          </cell>
          <cell r="B32">
            <v>1</v>
          </cell>
          <cell r="C32">
            <v>7.0832390377136442E-2</v>
          </cell>
          <cell r="E32">
            <v>0.16916760962286356</v>
          </cell>
          <cell r="F32">
            <v>0.76</v>
          </cell>
          <cell r="H32">
            <v>1</v>
          </cell>
        </row>
        <row r="33">
          <cell r="A33" t="str">
            <v>211 1411 2015 00003 10</v>
          </cell>
          <cell r="B33">
            <v>1</v>
          </cell>
          <cell r="C33">
            <v>9.443619701657166E-2</v>
          </cell>
          <cell r="E33">
            <v>0.56656380298342834</v>
          </cell>
          <cell r="F33">
            <v>0.33900000000000002</v>
          </cell>
          <cell r="H33">
            <v>1</v>
          </cell>
        </row>
        <row r="34">
          <cell r="A34" t="str">
            <v>203 1429 2015 00001 10</v>
          </cell>
          <cell r="B34">
            <v>1</v>
          </cell>
          <cell r="C34">
            <v>0.22222222222222221</v>
          </cell>
          <cell r="E34">
            <v>0.77777777777777779</v>
          </cell>
          <cell r="F34">
            <v>0</v>
          </cell>
          <cell r="H34">
            <v>1</v>
          </cell>
        </row>
        <row r="35">
          <cell r="A35" t="str">
            <v>501 1411 2015 00006 10</v>
          </cell>
          <cell r="B35">
            <v>1</v>
          </cell>
          <cell r="C35">
            <v>0.92466735092050634</v>
          </cell>
          <cell r="E35">
            <v>7.5332649079493649E-2</v>
          </cell>
          <cell r="F35">
            <v>0</v>
          </cell>
          <cell r="H35">
            <v>1</v>
          </cell>
        </row>
        <row r="36">
          <cell r="A36" t="str">
            <v>203 1411 2015 00003 10</v>
          </cell>
          <cell r="B36">
            <v>1</v>
          </cell>
          <cell r="C36">
            <v>0.125</v>
          </cell>
          <cell r="E36">
            <v>0.875</v>
          </cell>
          <cell r="F36">
            <v>0</v>
          </cell>
          <cell r="H36">
            <v>1</v>
          </cell>
        </row>
        <row r="37">
          <cell r="A37" t="str">
            <v>401 1411 2015 00005 10</v>
          </cell>
          <cell r="B37">
            <v>1</v>
          </cell>
          <cell r="C37">
            <v>0.25</v>
          </cell>
          <cell r="E37">
            <v>0.75</v>
          </cell>
          <cell r="F37">
            <v>0</v>
          </cell>
          <cell r="H37">
            <v>1</v>
          </cell>
        </row>
        <row r="38">
          <cell r="A38" t="str">
            <v>301 1429 2015 00001 10</v>
          </cell>
          <cell r="B38">
            <v>1</v>
          </cell>
          <cell r="C38">
            <v>0.2</v>
          </cell>
          <cell r="E38">
            <v>0.8</v>
          </cell>
          <cell r="F38">
            <v>0</v>
          </cell>
          <cell r="H38">
            <v>1</v>
          </cell>
        </row>
        <row r="39">
          <cell r="A39" t="str">
            <v>301 1429 2015 00002 10</v>
          </cell>
          <cell r="B39">
            <v>1</v>
          </cell>
          <cell r="C39">
            <v>0.2</v>
          </cell>
          <cell r="E39">
            <v>0.8</v>
          </cell>
          <cell r="F39">
            <v>0</v>
          </cell>
          <cell r="H39">
            <v>1</v>
          </cell>
        </row>
        <row r="40">
          <cell r="A40" t="str">
            <v>203 1411 2015 00002 10</v>
          </cell>
          <cell r="B40">
            <v>1</v>
          </cell>
          <cell r="C40">
            <v>0.125</v>
          </cell>
          <cell r="E40">
            <v>0.875</v>
          </cell>
          <cell r="F40">
            <v>0</v>
          </cell>
          <cell r="H40">
            <v>1</v>
          </cell>
        </row>
        <row r="41">
          <cell r="A41" t="str">
            <v>209 1312 2015 00001 10</v>
          </cell>
          <cell r="B41">
            <v>1</v>
          </cell>
          <cell r="C41">
            <v>9.0909090909090912E-2</v>
          </cell>
          <cell r="E41">
            <v>0.63636363636363635</v>
          </cell>
          <cell r="F41">
            <v>0.27272727272727271</v>
          </cell>
          <cell r="H41">
            <v>1</v>
          </cell>
        </row>
        <row r="42">
          <cell r="A42" t="str">
            <v>401 1411 2015 00004 10</v>
          </cell>
          <cell r="B42">
            <v>1</v>
          </cell>
          <cell r="C42">
            <v>0.5</v>
          </cell>
          <cell r="E42">
            <v>0.5</v>
          </cell>
          <cell r="F42">
            <v>0</v>
          </cell>
          <cell r="H42">
            <v>1</v>
          </cell>
        </row>
        <row r="43">
          <cell r="A43" t="str">
            <v>203 1312 2015 00001 10</v>
          </cell>
          <cell r="B43">
            <v>1</v>
          </cell>
          <cell r="C43">
            <v>0.25</v>
          </cell>
          <cell r="E43">
            <v>0.75</v>
          </cell>
          <cell r="F43">
            <v>0</v>
          </cell>
          <cell r="H43">
            <v>1</v>
          </cell>
        </row>
        <row r="44">
          <cell r="A44" t="str">
            <v>401 1411 2015 00001 10</v>
          </cell>
          <cell r="B44">
            <v>1</v>
          </cell>
          <cell r="C44">
            <v>0.11411551914002545</v>
          </cell>
          <cell r="E44">
            <v>0.7988086339801781</v>
          </cell>
          <cell r="F44">
            <v>8.7075846879796415E-2</v>
          </cell>
          <cell r="H44">
            <v>1</v>
          </cell>
        </row>
        <row r="45">
          <cell r="A45" t="str">
            <v>203 1411 2015 00004 10</v>
          </cell>
          <cell r="B45">
            <v>1</v>
          </cell>
          <cell r="C45">
            <v>0.42508060590989566</v>
          </cell>
          <cell r="E45">
            <v>0.57491939409010429</v>
          </cell>
          <cell r="F45">
            <v>0</v>
          </cell>
          <cell r="H45">
            <v>1</v>
          </cell>
        </row>
        <row r="46">
          <cell r="A46" t="str">
            <v>301 1411 2015 00003 10</v>
          </cell>
          <cell r="B46">
            <v>1</v>
          </cell>
          <cell r="C46">
            <v>4.6429997492780137E-2</v>
          </cell>
          <cell r="E46">
            <v>0.32500998244946094</v>
          </cell>
          <cell r="F46">
            <v>0.62856002005775891</v>
          </cell>
          <cell r="H46">
            <v>1</v>
          </cell>
        </row>
        <row r="47">
          <cell r="A47" t="str">
            <v>204 1419 2015 00001 10</v>
          </cell>
          <cell r="B47">
            <v>1</v>
          </cell>
          <cell r="C47">
            <v>0.10378600985344377</v>
          </cell>
          <cell r="E47">
            <v>0.41514403941377509</v>
          </cell>
          <cell r="F47">
            <v>0.48106995073278114</v>
          </cell>
          <cell r="H47">
            <v>1</v>
          </cell>
        </row>
        <row r="48">
          <cell r="A48" t="str">
            <v>204 1411 2015 00003 10</v>
          </cell>
          <cell r="B48">
            <v>1</v>
          </cell>
          <cell r="C48">
            <v>5.154293784437125E-2</v>
          </cell>
          <cell r="E48">
            <v>0.24845706215562882</v>
          </cell>
          <cell r="F48">
            <v>0.7</v>
          </cell>
          <cell r="H48">
            <v>1</v>
          </cell>
        </row>
        <row r="49">
          <cell r="A49" t="str">
            <v>505 1411 2015 00015 10</v>
          </cell>
          <cell r="B49">
            <v>1</v>
          </cell>
          <cell r="C49">
            <v>0.66666666666666663</v>
          </cell>
          <cell r="E49">
            <v>0.33333333333333331</v>
          </cell>
          <cell r="F49">
            <v>0</v>
          </cell>
          <cell r="H49">
            <v>1</v>
          </cell>
        </row>
        <row r="50">
          <cell r="A50" t="str">
            <v>204 1419 2014 00001 10</v>
          </cell>
          <cell r="B50">
            <v>1</v>
          </cell>
          <cell r="C50">
            <v>0.22730640994983803</v>
          </cell>
          <cell r="E50">
            <v>0.77269359005016203</v>
          </cell>
          <cell r="F50">
            <v>0</v>
          </cell>
          <cell r="H50">
            <v>1</v>
          </cell>
        </row>
        <row r="51">
          <cell r="A51" t="str">
            <v>505 1411 2015 00017 10</v>
          </cell>
          <cell r="B51">
            <v>1</v>
          </cell>
          <cell r="C51">
            <v>0.66666666666666663</v>
          </cell>
          <cell r="E51">
            <v>0.33333333333333331</v>
          </cell>
          <cell r="F51">
            <v>0</v>
          </cell>
          <cell r="H51">
            <v>1</v>
          </cell>
        </row>
        <row r="52">
          <cell r="A52" t="str">
            <v>505 1411 2015 00014 10</v>
          </cell>
          <cell r="B52">
            <v>1</v>
          </cell>
          <cell r="C52">
            <v>0.66666666666666663</v>
          </cell>
          <cell r="E52">
            <v>0.33333333333333331</v>
          </cell>
          <cell r="F52">
            <v>0</v>
          </cell>
          <cell r="H52">
            <v>1</v>
          </cell>
        </row>
        <row r="53">
          <cell r="A53" t="str">
            <v>210.2015.10.1429.00004</v>
          </cell>
          <cell r="B53">
            <v>1</v>
          </cell>
          <cell r="C53">
            <v>0.33333333333333331</v>
          </cell>
          <cell r="E53">
            <v>0.66666666666666663</v>
          </cell>
          <cell r="F53">
            <v>0</v>
          </cell>
          <cell r="H53">
            <v>1</v>
          </cell>
        </row>
        <row r="54">
          <cell r="A54" t="str">
            <v>204 1411 2014 00007 10</v>
          </cell>
          <cell r="B54">
            <v>1</v>
          </cell>
          <cell r="C54">
            <v>0.22730640994983803</v>
          </cell>
          <cell r="E54">
            <v>0.77269359005016203</v>
          </cell>
          <cell r="F54">
            <v>0</v>
          </cell>
          <cell r="H54">
            <v>1</v>
          </cell>
        </row>
        <row r="55">
          <cell r="A55" t="str">
            <v>204.2014.10.1419.00001</v>
          </cell>
          <cell r="B55">
            <v>1</v>
          </cell>
          <cell r="C55">
            <v>0.22737980248880837</v>
          </cell>
          <cell r="E55">
            <v>0.7726201975111916</v>
          </cell>
          <cell r="F55">
            <v>0</v>
          </cell>
          <cell r="H55">
            <v>1</v>
          </cell>
        </row>
        <row r="56">
          <cell r="A56" t="str">
            <v>505 1411 2015 00016 10</v>
          </cell>
          <cell r="B56">
            <v>1</v>
          </cell>
          <cell r="C56">
            <v>0.66666666666666663</v>
          </cell>
          <cell r="E56">
            <v>0.33333333333333331</v>
          </cell>
          <cell r="F56">
            <v>0</v>
          </cell>
          <cell r="H56">
            <v>1</v>
          </cell>
        </row>
        <row r="57">
          <cell r="A57" t="str">
            <v>204.2014.10.1411.00007</v>
          </cell>
          <cell r="B57">
            <v>1</v>
          </cell>
          <cell r="C57">
            <v>0.22737980248880837</v>
          </cell>
          <cell r="E57">
            <v>0.7726201975111916</v>
          </cell>
          <cell r="F57">
            <v>0</v>
          </cell>
          <cell r="H57">
            <v>1</v>
          </cell>
        </row>
        <row r="58">
          <cell r="A58" t="str">
            <v>210.2015.10.1429.00001</v>
          </cell>
          <cell r="B58">
            <v>1</v>
          </cell>
          <cell r="C58">
            <v>0.33333333333333331</v>
          </cell>
          <cell r="E58">
            <v>0.66666666666666663</v>
          </cell>
          <cell r="F58">
            <v>0</v>
          </cell>
          <cell r="H58">
            <v>1</v>
          </cell>
        </row>
        <row r="59">
          <cell r="A59" t="str">
            <v>210.2015.10.1429.00003</v>
          </cell>
          <cell r="B59">
            <v>1</v>
          </cell>
          <cell r="C59">
            <v>0.33333333333333331</v>
          </cell>
          <cell r="E59">
            <v>0.66666666666666663</v>
          </cell>
          <cell r="F59">
            <v>0</v>
          </cell>
          <cell r="H59">
            <v>1</v>
          </cell>
        </row>
        <row r="60">
          <cell r="A60" t="str">
            <v>206 1429 2015 00003 10</v>
          </cell>
          <cell r="B60">
            <v>1</v>
          </cell>
          <cell r="C60">
            <v>0.5</v>
          </cell>
          <cell r="E60">
            <v>0.5</v>
          </cell>
          <cell r="F60">
            <v>0</v>
          </cell>
          <cell r="H60">
            <v>1</v>
          </cell>
        </row>
        <row r="61">
          <cell r="A61" t="str">
            <v>201 1411 2015 00015 10</v>
          </cell>
          <cell r="B61">
            <v>1</v>
          </cell>
          <cell r="C61">
            <v>0.33333333333333331</v>
          </cell>
          <cell r="E61">
            <v>0.66666666666666663</v>
          </cell>
          <cell r="F61">
            <v>0</v>
          </cell>
          <cell r="H61">
            <v>1</v>
          </cell>
        </row>
        <row r="62">
          <cell r="A62" t="str">
            <v>210.2015.10.1429.00002</v>
          </cell>
          <cell r="B62">
            <v>1</v>
          </cell>
          <cell r="C62">
            <v>0.33333333333333331</v>
          </cell>
          <cell r="E62">
            <v>0.66666666666666663</v>
          </cell>
          <cell r="F62">
            <v>0</v>
          </cell>
          <cell r="H62">
            <v>1</v>
          </cell>
        </row>
        <row r="63">
          <cell r="A63" t="str">
            <v>212.2015.10.1411.00002</v>
          </cell>
          <cell r="B63">
            <v>1</v>
          </cell>
          <cell r="C63">
            <v>0.93738059528804651</v>
          </cell>
          <cell r="E63">
            <v>6.2619404711953541E-2</v>
          </cell>
          <cell r="F63">
            <v>0</v>
          </cell>
          <cell r="H63">
            <v>1</v>
          </cell>
        </row>
        <row r="64">
          <cell r="A64" t="str">
            <v>205 1411 2015 00011 10</v>
          </cell>
          <cell r="B64">
            <v>1</v>
          </cell>
          <cell r="C64">
            <v>0.5</v>
          </cell>
          <cell r="E64">
            <v>0.5</v>
          </cell>
          <cell r="F64">
            <v>0</v>
          </cell>
          <cell r="H64">
            <v>1</v>
          </cell>
        </row>
        <row r="65">
          <cell r="A65" t="str">
            <v>205 1419 2015 00001 10</v>
          </cell>
          <cell r="B65">
            <v>1</v>
          </cell>
          <cell r="C65">
            <v>0.5</v>
          </cell>
          <cell r="E65">
            <v>0.5</v>
          </cell>
          <cell r="F65">
            <v>0</v>
          </cell>
          <cell r="H65">
            <v>1</v>
          </cell>
        </row>
        <row r="66">
          <cell r="A66" t="str">
            <v>206.2015.10.1421.00001</v>
          </cell>
          <cell r="B66">
            <v>1</v>
          </cell>
          <cell r="C66">
            <v>0.4</v>
          </cell>
          <cell r="E66">
            <v>0.6</v>
          </cell>
          <cell r="F66">
            <v>0</v>
          </cell>
          <cell r="H66">
            <v>1</v>
          </cell>
        </row>
        <row r="67">
          <cell r="A67" t="str">
            <v>401 1411 2015 00009 10</v>
          </cell>
          <cell r="B67">
            <v>1</v>
          </cell>
          <cell r="C67">
            <v>0.5</v>
          </cell>
          <cell r="E67">
            <v>0.5</v>
          </cell>
          <cell r="F67">
            <v>0</v>
          </cell>
          <cell r="H67">
            <v>1</v>
          </cell>
        </row>
        <row r="68">
          <cell r="A68" t="str">
            <v>203.2012.10.1411.00008</v>
          </cell>
          <cell r="B68">
            <v>1</v>
          </cell>
          <cell r="C68">
            <v>0.92592592592592593</v>
          </cell>
          <cell r="E68">
            <v>7.407407407407407E-2</v>
          </cell>
          <cell r="F68">
            <v>0</v>
          </cell>
          <cell r="H68">
            <v>1</v>
          </cell>
        </row>
        <row r="69">
          <cell r="A69" t="str">
            <v>203 1411 2015 00007 10</v>
          </cell>
          <cell r="B69">
            <v>1</v>
          </cell>
          <cell r="C69">
            <v>0.49504950495049505</v>
          </cell>
          <cell r="E69">
            <v>0.50495049504950495</v>
          </cell>
          <cell r="F69">
            <v>0</v>
          </cell>
          <cell r="H69">
            <v>1</v>
          </cell>
        </row>
        <row r="70">
          <cell r="A70" t="str">
            <v>201 1411 2015 00014 10</v>
          </cell>
          <cell r="B70">
            <v>1</v>
          </cell>
          <cell r="C70">
            <v>0.95956590773639461</v>
          </cell>
          <cell r="E70">
            <v>4.043409226360542E-2</v>
          </cell>
          <cell r="F70">
            <v>0</v>
          </cell>
          <cell r="H70">
            <v>1</v>
          </cell>
        </row>
        <row r="71">
          <cell r="A71" t="str">
            <v>201 1419 2015 00003 10</v>
          </cell>
          <cell r="B71">
            <v>1</v>
          </cell>
          <cell r="C71">
            <v>0.62177628427114295</v>
          </cell>
          <cell r="E71">
            <v>0.37822371572885705</v>
          </cell>
          <cell r="F71">
            <v>0</v>
          </cell>
          <cell r="H71">
            <v>1</v>
          </cell>
        </row>
        <row r="72">
          <cell r="A72" t="str">
            <v>201 1411 2015 00016 10</v>
          </cell>
          <cell r="B72">
            <v>1</v>
          </cell>
          <cell r="C72">
            <v>0.33333333333333331</v>
          </cell>
          <cell r="E72">
            <v>0.66666666666666663</v>
          </cell>
          <cell r="F72">
            <v>0</v>
          </cell>
          <cell r="H72">
            <v>1</v>
          </cell>
        </row>
        <row r="73">
          <cell r="A73" t="str">
            <v>201 1429 2015 00004 10</v>
          </cell>
          <cell r="B73">
            <v>1</v>
          </cell>
          <cell r="C73">
            <v>0.5</v>
          </cell>
          <cell r="E73">
            <v>0.5</v>
          </cell>
          <cell r="F73">
            <v>0</v>
          </cell>
          <cell r="H73">
            <v>1</v>
          </cell>
        </row>
        <row r="74">
          <cell r="A74" t="str">
            <v>201.2015.10.1411.00020</v>
          </cell>
          <cell r="B74">
            <v>1</v>
          </cell>
          <cell r="C74">
            <v>0.18750000000117187</v>
          </cell>
          <cell r="E74">
            <v>0.81249999999882816</v>
          </cell>
          <cell r="F74">
            <v>0</v>
          </cell>
          <cell r="H74">
            <v>1</v>
          </cell>
        </row>
        <row r="75">
          <cell r="A75" t="str">
            <v>205 1429 2015 00005 10</v>
          </cell>
          <cell r="B75">
            <v>1</v>
          </cell>
          <cell r="C75">
            <v>0.14285714285714285</v>
          </cell>
          <cell r="E75">
            <v>0.8571428571428571</v>
          </cell>
          <cell r="F75">
            <v>0</v>
          </cell>
          <cell r="H75">
            <v>1</v>
          </cell>
        </row>
        <row r="76">
          <cell r="A76" t="str">
            <v>205 1411 2015 00010 10</v>
          </cell>
          <cell r="B76">
            <v>1</v>
          </cell>
          <cell r="C76">
            <v>4.7585507336757552E-2</v>
          </cell>
          <cell r="E76">
            <v>0.33309855135730287</v>
          </cell>
          <cell r="F76">
            <v>0.61931594130593959</v>
          </cell>
          <cell r="H76">
            <v>1</v>
          </cell>
        </row>
        <row r="77">
          <cell r="A77" t="str">
            <v>401.2015.10.1411.00011</v>
          </cell>
          <cell r="B77">
            <v>1</v>
          </cell>
          <cell r="C77">
            <v>0.25</v>
          </cell>
          <cell r="E77">
            <v>0.75</v>
          </cell>
          <cell r="F77">
            <v>0</v>
          </cell>
          <cell r="H77">
            <v>1</v>
          </cell>
        </row>
        <row r="78">
          <cell r="A78" t="str">
            <v>207.2015.10.1421.00001</v>
          </cell>
          <cell r="B78">
            <v>1</v>
          </cell>
          <cell r="C78">
            <v>0.125</v>
          </cell>
          <cell r="E78">
            <v>0.875</v>
          </cell>
          <cell r="F78">
            <v>0</v>
          </cell>
          <cell r="H78">
            <v>1</v>
          </cell>
        </row>
        <row r="79">
          <cell r="A79" t="str">
            <v>205 1419 2015 00002 10</v>
          </cell>
          <cell r="B79">
            <v>1</v>
          </cell>
          <cell r="C79">
            <v>0.2</v>
          </cell>
          <cell r="E79">
            <v>0.8</v>
          </cell>
          <cell r="F79">
            <v>0</v>
          </cell>
          <cell r="H79">
            <v>1</v>
          </cell>
        </row>
        <row r="80">
          <cell r="A80" t="str">
            <v>211.2015.10.1411.00007</v>
          </cell>
          <cell r="B80">
            <v>1</v>
          </cell>
          <cell r="C80">
            <v>0.52376423067414746</v>
          </cell>
          <cell r="E80">
            <v>0.4762357693258526</v>
          </cell>
          <cell r="F80">
            <v>0</v>
          </cell>
          <cell r="H80">
            <v>1</v>
          </cell>
        </row>
        <row r="81">
          <cell r="A81" t="str">
            <v>205 1429 2015 00003 10</v>
          </cell>
          <cell r="B81">
            <v>1</v>
          </cell>
          <cell r="C81">
            <v>0.14285714285714285</v>
          </cell>
          <cell r="E81">
            <v>0.8571428571428571</v>
          </cell>
          <cell r="F81">
            <v>0</v>
          </cell>
          <cell r="H81">
            <v>1</v>
          </cell>
        </row>
        <row r="82">
          <cell r="A82" t="str">
            <v>201 1411 2015 00017 10</v>
          </cell>
          <cell r="B82">
            <v>1</v>
          </cell>
          <cell r="C82">
            <v>0.33333333333333331</v>
          </cell>
          <cell r="E82">
            <v>0.66666666666666663</v>
          </cell>
          <cell r="F82">
            <v>0</v>
          </cell>
          <cell r="H82">
            <v>1</v>
          </cell>
        </row>
        <row r="83">
          <cell r="A83" t="str">
            <v>201 1411 2015 00018 10</v>
          </cell>
          <cell r="B83">
            <v>1</v>
          </cell>
          <cell r="C83">
            <v>6.8120494255058117E-2</v>
          </cell>
          <cell r="E83">
            <v>0.47684345978540682</v>
          </cell>
          <cell r="F83">
            <v>0.45503604595953506</v>
          </cell>
          <cell r="H83">
            <v>1</v>
          </cell>
        </row>
        <row r="84">
          <cell r="A84" t="str">
            <v>201 1411 2015 00019 10</v>
          </cell>
          <cell r="B84">
            <v>1</v>
          </cell>
          <cell r="C84">
            <v>6.8120494255058117E-2</v>
          </cell>
          <cell r="E84">
            <v>0.47684345978540682</v>
          </cell>
          <cell r="F84">
            <v>0.45503604595953506</v>
          </cell>
          <cell r="H84">
            <v>1</v>
          </cell>
        </row>
        <row r="85">
          <cell r="A85" t="str">
            <v>204 1411 2015 00007 10</v>
          </cell>
          <cell r="B85">
            <v>1</v>
          </cell>
          <cell r="C85">
            <v>6.8120494255058117E-2</v>
          </cell>
          <cell r="E85">
            <v>0.47684345978540682</v>
          </cell>
          <cell r="F85">
            <v>0.45503604595953506</v>
          </cell>
          <cell r="H85">
            <v>1</v>
          </cell>
        </row>
        <row r="86">
          <cell r="A86" t="str">
            <v>204.2015.10.1411.00008</v>
          </cell>
          <cell r="B86">
            <v>1</v>
          </cell>
          <cell r="C86">
            <v>0.14599232128275533</v>
          </cell>
          <cell r="E86">
            <v>0.8540076787172447</v>
          </cell>
          <cell r="F86">
            <v>0</v>
          </cell>
          <cell r="H86">
            <v>1</v>
          </cell>
        </row>
        <row r="87">
          <cell r="A87" t="str">
            <v>204.2014.10.1411.00006</v>
          </cell>
          <cell r="B87">
            <v>1</v>
          </cell>
          <cell r="C87">
            <v>4.0133564502664872E-2</v>
          </cell>
          <cell r="E87">
            <v>0.24080138701598922</v>
          </cell>
          <cell r="F87">
            <v>0.71906504848134589</v>
          </cell>
          <cell r="H87">
            <v>1</v>
          </cell>
        </row>
        <row r="88">
          <cell r="A88" t="str">
            <v>204 2015 10 1312 00001</v>
          </cell>
          <cell r="B88">
            <v>1</v>
          </cell>
          <cell r="C88">
            <v>0.1</v>
          </cell>
          <cell r="E88">
            <v>0.7</v>
          </cell>
          <cell r="F88">
            <v>0.2</v>
          </cell>
          <cell r="H88">
            <v>1</v>
          </cell>
        </row>
        <row r="89">
          <cell r="A89" t="str">
            <v>201.2015.10.1411.00022</v>
          </cell>
          <cell r="B89">
            <v>1</v>
          </cell>
          <cell r="C89">
            <v>9.3539156894163256E-2</v>
          </cell>
          <cell r="E89">
            <v>0.50646084310583672</v>
          </cell>
          <cell r="F89">
            <v>0.4</v>
          </cell>
          <cell r="H89">
            <v>1</v>
          </cell>
        </row>
        <row r="90">
          <cell r="A90" t="str">
            <v>201.2015.10.1411.00023</v>
          </cell>
          <cell r="B90">
            <v>1</v>
          </cell>
          <cell r="C90">
            <v>1</v>
          </cell>
          <cell r="E90">
            <v>0</v>
          </cell>
          <cell r="F90">
            <v>0</v>
          </cell>
          <cell r="H90">
            <v>1</v>
          </cell>
        </row>
        <row r="91">
          <cell r="A91" t="str">
            <v>201.2015.10.1419.00004</v>
          </cell>
          <cell r="B91">
            <v>1</v>
          </cell>
          <cell r="C91">
            <v>0.45901964420469338</v>
          </cell>
          <cell r="E91">
            <v>0.54098035579530657</v>
          </cell>
          <cell r="F91">
            <v>0</v>
          </cell>
          <cell r="H91">
            <v>1</v>
          </cell>
        </row>
        <row r="92">
          <cell r="A92" t="str">
            <v>201.2015.10.1429.00012</v>
          </cell>
          <cell r="B92">
            <v>1</v>
          </cell>
          <cell r="C92">
            <v>1</v>
          </cell>
          <cell r="E92">
            <v>0</v>
          </cell>
          <cell r="F92">
            <v>0</v>
          </cell>
          <cell r="H92">
            <v>1</v>
          </cell>
        </row>
        <row r="93">
          <cell r="A93" t="str">
            <v>201.2015.10.1429.00013</v>
          </cell>
          <cell r="B93">
            <v>1</v>
          </cell>
          <cell r="C93">
            <v>1</v>
          </cell>
          <cell r="E93">
            <v>0</v>
          </cell>
          <cell r="F93">
            <v>0</v>
          </cell>
          <cell r="H93">
            <v>1</v>
          </cell>
        </row>
        <row r="94">
          <cell r="A94" t="str">
            <v>202.2015.10.1429.00001</v>
          </cell>
          <cell r="B94">
            <v>1</v>
          </cell>
          <cell r="C94">
            <v>1</v>
          </cell>
          <cell r="E94">
            <v>0</v>
          </cell>
          <cell r="F94">
            <v>0</v>
          </cell>
          <cell r="H94">
            <v>1</v>
          </cell>
        </row>
        <row r="95">
          <cell r="A95" t="str">
            <v>203.2015.10.1411.00011</v>
          </cell>
          <cell r="B95">
            <v>1</v>
          </cell>
          <cell r="C95">
            <v>1</v>
          </cell>
          <cell r="E95">
            <v>0</v>
          </cell>
          <cell r="F95">
            <v>0</v>
          </cell>
          <cell r="H95">
            <v>1</v>
          </cell>
        </row>
        <row r="96">
          <cell r="A96" t="str">
            <v>200.2004.10.1411.00002</v>
          </cell>
          <cell r="B96">
            <v>1</v>
          </cell>
          <cell r="C96">
            <v>1</v>
          </cell>
          <cell r="E96">
            <v>0</v>
          </cell>
          <cell r="F96">
            <v>0</v>
          </cell>
          <cell r="H96">
            <v>1</v>
          </cell>
        </row>
        <row r="97">
          <cell r="A97" t="str">
            <v>203.2014.10.1411.00009</v>
          </cell>
          <cell r="B97">
            <v>1</v>
          </cell>
          <cell r="C97">
            <v>1</v>
          </cell>
          <cell r="E97">
            <v>0</v>
          </cell>
          <cell r="F97">
            <v>0</v>
          </cell>
          <cell r="H97">
            <v>1</v>
          </cell>
        </row>
        <row r="98">
          <cell r="A98" t="str">
            <v>203.2015.10.1419.00005</v>
          </cell>
          <cell r="B98">
            <v>1</v>
          </cell>
          <cell r="C98">
            <v>1</v>
          </cell>
          <cell r="E98">
            <v>0</v>
          </cell>
          <cell r="F98">
            <v>0</v>
          </cell>
          <cell r="H98">
            <v>1</v>
          </cell>
        </row>
        <row r="99">
          <cell r="A99" t="str">
            <v>203.2014.10.1411.00010</v>
          </cell>
          <cell r="B99">
            <v>1</v>
          </cell>
          <cell r="C99">
            <v>1</v>
          </cell>
          <cell r="E99">
            <v>0</v>
          </cell>
          <cell r="F99">
            <v>0</v>
          </cell>
          <cell r="H99">
            <v>1</v>
          </cell>
        </row>
        <row r="100">
          <cell r="A100" t="str">
            <v>204.2015.10.1411.00009</v>
          </cell>
          <cell r="B100">
            <v>1</v>
          </cell>
          <cell r="C100">
            <v>1.020408163265305E-2</v>
          </cell>
          <cell r="E100">
            <v>2.0408163265306124E-2</v>
          </cell>
          <cell r="F100">
            <v>0.96938775510204078</v>
          </cell>
          <cell r="H100">
            <v>1</v>
          </cell>
        </row>
        <row r="101">
          <cell r="A101" t="str">
            <v>204.2015.10.1411.00011</v>
          </cell>
          <cell r="B101">
            <v>1</v>
          </cell>
          <cell r="C101">
            <v>0.22671418596004389</v>
          </cell>
          <cell r="E101">
            <v>0.77328581403995611</v>
          </cell>
          <cell r="F101">
            <v>0</v>
          </cell>
          <cell r="H101">
            <v>1</v>
          </cell>
        </row>
        <row r="102">
          <cell r="A102" t="str">
            <v>204.2015.10.1411.00012</v>
          </cell>
          <cell r="B102">
            <v>1</v>
          </cell>
          <cell r="C102">
            <v>3.3475671890210508E-2</v>
          </cell>
          <cell r="E102">
            <v>0.23432970323147356</v>
          </cell>
          <cell r="F102">
            <v>0.73219462487831588</v>
          </cell>
          <cell r="H102">
            <v>1</v>
          </cell>
        </row>
        <row r="103">
          <cell r="A103" t="str">
            <v>204.2015.10.1411.00013</v>
          </cell>
          <cell r="B103">
            <v>1</v>
          </cell>
          <cell r="C103">
            <v>0.22842899330428934</v>
          </cell>
          <cell r="E103">
            <v>0.77157100669571066</v>
          </cell>
          <cell r="F103">
            <v>0</v>
          </cell>
          <cell r="H103">
            <v>1</v>
          </cell>
        </row>
        <row r="104">
          <cell r="A104" t="str">
            <v>204.2015.10.1419.00003</v>
          </cell>
          <cell r="B104">
            <v>1</v>
          </cell>
          <cell r="C104">
            <v>0.22842899330428934</v>
          </cell>
          <cell r="E104">
            <v>0.77157100669571066</v>
          </cell>
          <cell r="F104">
            <v>0</v>
          </cell>
          <cell r="H104">
            <v>1</v>
          </cell>
        </row>
        <row r="105">
          <cell r="A105" t="str">
            <v>205.2015.10.1411.00015</v>
          </cell>
          <cell r="B105">
            <v>1</v>
          </cell>
          <cell r="C105">
            <v>1</v>
          </cell>
          <cell r="E105">
            <v>0</v>
          </cell>
          <cell r="F105">
            <v>0</v>
          </cell>
          <cell r="H105">
            <v>1</v>
          </cell>
        </row>
        <row r="106">
          <cell r="A106" t="str">
            <v>205.2015.10.1411.00016</v>
          </cell>
          <cell r="B106">
            <v>1</v>
          </cell>
          <cell r="C106">
            <v>1</v>
          </cell>
          <cell r="E106">
            <v>0</v>
          </cell>
          <cell r="F106">
            <v>0</v>
          </cell>
          <cell r="H106">
            <v>1</v>
          </cell>
        </row>
        <row r="107">
          <cell r="A107" t="str">
            <v>205.2015.10.1411.00017</v>
          </cell>
          <cell r="B107">
            <v>1</v>
          </cell>
          <cell r="C107">
            <v>1</v>
          </cell>
          <cell r="E107">
            <v>0</v>
          </cell>
          <cell r="F107">
            <v>0</v>
          </cell>
          <cell r="H107">
            <v>1</v>
          </cell>
        </row>
        <row r="108">
          <cell r="A108" t="str">
            <v>205.2015.10.1411.00018</v>
          </cell>
          <cell r="B108">
            <v>1</v>
          </cell>
          <cell r="C108">
            <v>1</v>
          </cell>
          <cell r="E108">
            <v>0</v>
          </cell>
          <cell r="F108">
            <v>0</v>
          </cell>
          <cell r="H108">
            <v>1</v>
          </cell>
        </row>
        <row r="109">
          <cell r="A109" t="str">
            <v>205.2015.10.1411.00019</v>
          </cell>
          <cell r="B109">
            <v>1</v>
          </cell>
          <cell r="C109">
            <v>1</v>
          </cell>
          <cell r="E109">
            <v>0</v>
          </cell>
          <cell r="F109">
            <v>0</v>
          </cell>
          <cell r="H109">
            <v>1</v>
          </cell>
        </row>
        <row r="110">
          <cell r="A110" t="str">
            <v>205.2015.10.1411.00020</v>
          </cell>
          <cell r="B110">
            <v>1</v>
          </cell>
          <cell r="C110">
            <v>0.90236826551283844</v>
          </cell>
          <cell r="E110">
            <v>9.7631734487161559E-2</v>
          </cell>
          <cell r="F110">
            <v>0</v>
          </cell>
          <cell r="H110">
            <v>1</v>
          </cell>
        </row>
        <row r="111">
          <cell r="A111" t="str">
            <v>205.2015.10.1429.00007</v>
          </cell>
          <cell r="B111">
            <v>1</v>
          </cell>
          <cell r="C111">
            <v>0.90236826551283844</v>
          </cell>
          <cell r="E111">
            <v>9.7631734487161559E-2</v>
          </cell>
          <cell r="F111">
            <v>0</v>
          </cell>
          <cell r="H111">
            <v>1</v>
          </cell>
        </row>
        <row r="112">
          <cell r="A112" t="str">
            <v>205.2015.10.1411.00021</v>
          </cell>
          <cell r="B112">
            <v>1</v>
          </cell>
          <cell r="C112">
            <v>0.91900000154392003</v>
          </cell>
          <cell r="E112">
            <v>8.0999998456079997E-2</v>
          </cell>
          <cell r="F112">
            <v>0</v>
          </cell>
          <cell r="H112">
            <v>1</v>
          </cell>
        </row>
        <row r="113">
          <cell r="A113" t="str">
            <v>205.2015.10.1411.00022</v>
          </cell>
          <cell r="B113">
            <v>1</v>
          </cell>
          <cell r="C113">
            <v>1</v>
          </cell>
          <cell r="E113">
            <v>0</v>
          </cell>
          <cell r="F113">
            <v>0</v>
          </cell>
          <cell r="H113">
            <v>1</v>
          </cell>
        </row>
        <row r="114">
          <cell r="A114" t="str">
            <v>209.2015.10.1429.00002</v>
          </cell>
          <cell r="B114">
            <v>1</v>
          </cell>
          <cell r="C114">
            <v>1</v>
          </cell>
          <cell r="E114">
            <v>0</v>
          </cell>
          <cell r="F114">
            <v>0</v>
          </cell>
          <cell r="H114">
            <v>1</v>
          </cell>
        </row>
        <row r="115">
          <cell r="A115" t="str">
            <v>211.2015.10.1411.00008</v>
          </cell>
          <cell r="B115">
            <v>1</v>
          </cell>
          <cell r="C115">
            <v>1</v>
          </cell>
          <cell r="E115">
            <v>0</v>
          </cell>
          <cell r="F115">
            <v>0</v>
          </cell>
          <cell r="H115">
            <v>1</v>
          </cell>
        </row>
        <row r="116">
          <cell r="A116" t="str">
            <v>502.2015.10.1414.00008</v>
          </cell>
          <cell r="B116">
            <v>1</v>
          </cell>
          <cell r="C116">
            <v>1</v>
          </cell>
          <cell r="E116">
            <v>0</v>
          </cell>
          <cell r="F116">
            <v>0</v>
          </cell>
          <cell r="H116">
            <v>1</v>
          </cell>
        </row>
        <row r="117">
          <cell r="A117" t="str">
            <v>502.2015.10.1415.00001</v>
          </cell>
          <cell r="B117">
            <v>1</v>
          </cell>
          <cell r="C117">
            <v>1</v>
          </cell>
          <cell r="E117">
            <v>0</v>
          </cell>
          <cell r="F117">
            <v>0</v>
          </cell>
          <cell r="H117">
            <v>1</v>
          </cell>
        </row>
        <row r="118">
          <cell r="A118" t="str">
            <v>503.2015.10.1415.00001</v>
          </cell>
          <cell r="B118">
            <v>1</v>
          </cell>
          <cell r="C118">
            <v>1</v>
          </cell>
          <cell r="E118">
            <v>0</v>
          </cell>
          <cell r="F118">
            <v>0</v>
          </cell>
          <cell r="H118">
            <v>1</v>
          </cell>
        </row>
        <row r="119">
          <cell r="A119" t="str">
            <v>504.2015.10.1411.00008</v>
          </cell>
          <cell r="B119">
            <v>1</v>
          </cell>
          <cell r="C119">
            <v>1</v>
          </cell>
          <cell r="E119">
            <v>0</v>
          </cell>
          <cell r="F119">
            <v>0</v>
          </cell>
          <cell r="H119">
            <v>1</v>
          </cell>
        </row>
        <row r="120">
          <cell r="A120" t="str">
            <v>504.2015.10.1411.00009</v>
          </cell>
          <cell r="B120">
            <v>1</v>
          </cell>
          <cell r="C120">
            <v>1</v>
          </cell>
          <cell r="E120">
            <v>0</v>
          </cell>
          <cell r="F120">
            <v>0</v>
          </cell>
          <cell r="H120">
            <v>1</v>
          </cell>
        </row>
        <row r="121">
          <cell r="A121" t="str">
            <v>505.2015.10.1411.00020</v>
          </cell>
          <cell r="B121">
            <v>1</v>
          </cell>
          <cell r="C121">
            <v>1</v>
          </cell>
          <cell r="E121">
            <v>0</v>
          </cell>
          <cell r="F121">
            <v>0</v>
          </cell>
          <cell r="H121">
            <v>1</v>
          </cell>
        </row>
        <row r="122">
          <cell r="A122" t="str">
            <v>505.2015.10.1414.00002</v>
          </cell>
          <cell r="B122">
            <v>1</v>
          </cell>
          <cell r="C122">
            <v>1</v>
          </cell>
          <cell r="E122">
            <v>0</v>
          </cell>
          <cell r="F122">
            <v>0</v>
          </cell>
          <cell r="H122">
            <v>1</v>
          </cell>
        </row>
        <row r="123">
          <cell r="A123" t="str">
            <v>505.2015.10.1429.00002</v>
          </cell>
          <cell r="B123">
            <v>1</v>
          </cell>
          <cell r="C123">
            <v>1</v>
          </cell>
          <cell r="E123">
            <v>0</v>
          </cell>
          <cell r="F123">
            <v>0</v>
          </cell>
          <cell r="H123">
            <v>1</v>
          </cell>
        </row>
        <row r="124">
          <cell r="A124" t="str">
            <v>207.2015.10.1411.00005</v>
          </cell>
          <cell r="B124">
            <v>1</v>
          </cell>
          <cell r="C124">
            <v>1</v>
          </cell>
          <cell r="E124">
            <v>0</v>
          </cell>
          <cell r="F124">
            <v>0</v>
          </cell>
          <cell r="H124">
            <v>1</v>
          </cell>
        </row>
        <row r="125">
          <cell r="A125" t="str">
            <v>207.2015.10.1411.00006</v>
          </cell>
          <cell r="B125">
            <v>1</v>
          </cell>
          <cell r="C125">
            <v>1</v>
          </cell>
          <cell r="E125">
            <v>0</v>
          </cell>
          <cell r="F125">
            <v>0</v>
          </cell>
          <cell r="H125">
            <v>1</v>
          </cell>
        </row>
        <row r="126">
          <cell r="A126" t="str">
            <v>208.2015.10.1411.00003</v>
          </cell>
          <cell r="B126">
            <v>1</v>
          </cell>
          <cell r="C126">
            <v>1</v>
          </cell>
          <cell r="E126">
            <v>0</v>
          </cell>
          <cell r="F126">
            <v>0</v>
          </cell>
          <cell r="H126">
            <v>1</v>
          </cell>
        </row>
        <row r="127">
          <cell r="A127" t="str">
            <v>208.2015.10.1411.00004</v>
          </cell>
          <cell r="B127">
            <v>1</v>
          </cell>
          <cell r="C127">
            <v>1</v>
          </cell>
          <cell r="E127">
            <v>0</v>
          </cell>
          <cell r="F127">
            <v>0</v>
          </cell>
          <cell r="H127">
            <v>1</v>
          </cell>
        </row>
        <row r="128">
          <cell r="A128" t="str">
            <v>210.2015.10.1429.00005</v>
          </cell>
          <cell r="B128">
            <v>1</v>
          </cell>
          <cell r="C128">
            <v>0.33333333333333331</v>
          </cell>
          <cell r="E128">
            <v>0.66666666666666663</v>
          </cell>
          <cell r="F128">
            <v>0</v>
          </cell>
          <cell r="H128">
            <v>1</v>
          </cell>
        </row>
        <row r="129">
          <cell r="A129" t="str">
            <v>210.2015.10.1411.00001</v>
          </cell>
          <cell r="B129">
            <v>1</v>
          </cell>
          <cell r="C129">
            <v>0.66666666666666663</v>
          </cell>
          <cell r="E129">
            <v>0.33333333333333331</v>
          </cell>
          <cell r="F129">
            <v>0</v>
          </cell>
          <cell r="H129">
            <v>1</v>
          </cell>
        </row>
        <row r="130">
          <cell r="A130" t="str">
            <v>212.2015.10.1411.00004</v>
          </cell>
          <cell r="B130">
            <v>1</v>
          </cell>
          <cell r="C130">
            <v>0.91574336841546178</v>
          </cell>
          <cell r="E130">
            <v>8.4256631584538222E-2</v>
          </cell>
          <cell r="F130">
            <v>0</v>
          </cell>
          <cell r="H130">
            <v>1</v>
          </cell>
        </row>
        <row r="131">
          <cell r="A131" t="str">
            <v>212.2015.10.1419.00002</v>
          </cell>
          <cell r="B131">
            <v>1</v>
          </cell>
          <cell r="C131">
            <v>0.93758962770847376</v>
          </cell>
          <cell r="E131">
            <v>6.2410372291526246E-2</v>
          </cell>
          <cell r="F131">
            <v>0</v>
          </cell>
          <cell r="H131">
            <v>1</v>
          </cell>
        </row>
        <row r="132">
          <cell r="A132" t="str">
            <v>301.2015.10.1411.00007</v>
          </cell>
          <cell r="B132">
            <v>1</v>
          </cell>
          <cell r="C132">
            <v>1</v>
          </cell>
          <cell r="E132">
            <v>0</v>
          </cell>
          <cell r="F132">
            <v>0</v>
          </cell>
          <cell r="H132">
            <v>1</v>
          </cell>
        </row>
        <row r="133">
          <cell r="A133" t="str">
            <v>301.2015.10.1411.00008</v>
          </cell>
          <cell r="B133">
            <v>1</v>
          </cell>
          <cell r="C133">
            <v>1.9427774334744439E-2</v>
          </cell>
          <cell r="E133">
            <v>0.13599442034321105</v>
          </cell>
          <cell r="F133">
            <v>0.84457780532204452</v>
          </cell>
          <cell r="H133">
            <v>1</v>
          </cell>
        </row>
        <row r="134">
          <cell r="A134" t="str">
            <v>305.2015.10.1414.00001</v>
          </cell>
          <cell r="B134">
            <v>1</v>
          </cell>
          <cell r="C134">
            <v>1</v>
          </cell>
          <cell r="E134">
            <v>0</v>
          </cell>
          <cell r="F134">
            <v>0</v>
          </cell>
          <cell r="H134">
            <v>1</v>
          </cell>
        </row>
        <row r="135">
          <cell r="A135" t="str">
            <v>305.2015.10.1414.00002</v>
          </cell>
          <cell r="B135">
            <v>1</v>
          </cell>
          <cell r="C135">
            <v>1</v>
          </cell>
          <cell r="E135">
            <v>0</v>
          </cell>
          <cell r="F135">
            <v>0</v>
          </cell>
          <cell r="H135">
            <v>1</v>
          </cell>
        </row>
        <row r="136">
          <cell r="A136" t="str">
            <v>401.2015.10.1411.00012</v>
          </cell>
          <cell r="B136">
            <v>1</v>
          </cell>
          <cell r="C136">
            <v>1</v>
          </cell>
          <cell r="E136">
            <v>0</v>
          </cell>
          <cell r="F136">
            <v>0</v>
          </cell>
          <cell r="H136">
            <v>1</v>
          </cell>
        </row>
        <row r="137">
          <cell r="A137" t="str">
            <v>401.2015.10.1411.00013</v>
          </cell>
          <cell r="B137">
            <v>1</v>
          </cell>
          <cell r="C137">
            <v>1</v>
          </cell>
          <cell r="E137">
            <v>0</v>
          </cell>
          <cell r="F137">
            <v>0</v>
          </cell>
          <cell r="H137">
            <v>1</v>
          </cell>
        </row>
        <row r="138">
          <cell r="A138" t="str">
            <v>401.2015.10.1411.00014</v>
          </cell>
          <cell r="B138">
            <v>1</v>
          </cell>
          <cell r="C138">
            <v>1</v>
          </cell>
          <cell r="E138">
            <v>0</v>
          </cell>
          <cell r="F138">
            <v>0</v>
          </cell>
          <cell r="H138">
            <v>1</v>
          </cell>
        </row>
        <row r="139">
          <cell r="A139" t="str">
            <v>401.2012.10.1411.00016</v>
          </cell>
          <cell r="B139">
            <v>1</v>
          </cell>
          <cell r="C139">
            <v>0.24521403507051129</v>
          </cell>
          <cell r="E139">
            <v>0.75478596492948868</v>
          </cell>
          <cell r="F139">
            <v>0</v>
          </cell>
          <cell r="H139">
            <v>1</v>
          </cell>
        </row>
        <row r="140">
          <cell r="A140" t="str">
            <v>401.2014.10.1429.00003</v>
          </cell>
          <cell r="B140">
            <v>1</v>
          </cell>
          <cell r="C140">
            <v>0.5</v>
          </cell>
          <cell r="E140">
            <v>0.5</v>
          </cell>
          <cell r="F140">
            <v>0</v>
          </cell>
          <cell r="H140">
            <v>1</v>
          </cell>
        </row>
        <row r="141">
          <cell r="A141" t="str">
            <v>402.2015.10.1415.00001</v>
          </cell>
          <cell r="B141">
            <v>1</v>
          </cell>
          <cell r="C141">
            <v>1</v>
          </cell>
          <cell r="E141">
            <v>0</v>
          </cell>
          <cell r="F141">
            <v>0</v>
          </cell>
          <cell r="H141">
            <v>1</v>
          </cell>
        </row>
        <row r="142">
          <cell r="A142" t="str">
            <v>201.2015.10.1411.00024</v>
          </cell>
          <cell r="B142">
            <v>1</v>
          </cell>
          <cell r="C142">
            <v>0.83527395315115449</v>
          </cell>
          <cell r="E142">
            <v>0.16472604684884548</v>
          </cell>
          <cell r="F142">
            <v>0</v>
          </cell>
          <cell r="H142">
            <v>1</v>
          </cell>
        </row>
        <row r="143">
          <cell r="A143" t="str">
            <v>201.2015.10.1429.00014</v>
          </cell>
          <cell r="B143">
            <v>1</v>
          </cell>
          <cell r="C143">
            <v>1</v>
          </cell>
          <cell r="E143">
            <v>0</v>
          </cell>
          <cell r="F143">
            <v>0</v>
          </cell>
          <cell r="H143">
            <v>1</v>
          </cell>
        </row>
        <row r="144">
          <cell r="A144" t="str">
            <v>203.2015.10.1419.00006</v>
          </cell>
          <cell r="B144">
            <v>1</v>
          </cell>
          <cell r="C144">
            <v>1</v>
          </cell>
          <cell r="E144">
            <v>0</v>
          </cell>
          <cell r="F144">
            <v>0</v>
          </cell>
          <cell r="H144">
            <v>1</v>
          </cell>
        </row>
        <row r="145">
          <cell r="A145" t="str">
            <v>203.2015.10.1419.00007</v>
          </cell>
          <cell r="B145">
            <v>1</v>
          </cell>
          <cell r="C145">
            <v>1</v>
          </cell>
          <cell r="E145">
            <v>0</v>
          </cell>
          <cell r="F145">
            <v>0</v>
          </cell>
          <cell r="H145">
            <v>1</v>
          </cell>
        </row>
        <row r="146">
          <cell r="A146" t="str">
            <v>203.2015.10.1419.00008</v>
          </cell>
          <cell r="B146">
            <v>1</v>
          </cell>
          <cell r="C146">
            <v>1</v>
          </cell>
          <cell r="E146">
            <v>0</v>
          </cell>
          <cell r="F146">
            <v>0</v>
          </cell>
          <cell r="H146">
            <v>1</v>
          </cell>
        </row>
        <row r="147">
          <cell r="A147" t="str">
            <v>203.2014.10.1411.00013</v>
          </cell>
          <cell r="B147">
            <v>1</v>
          </cell>
          <cell r="C147">
            <v>1</v>
          </cell>
          <cell r="E147">
            <v>0</v>
          </cell>
          <cell r="F147">
            <v>0</v>
          </cell>
          <cell r="H147">
            <v>1</v>
          </cell>
        </row>
        <row r="148">
          <cell r="A148" t="str">
            <v>203.2014.10.1419.00006</v>
          </cell>
          <cell r="B148">
            <v>1</v>
          </cell>
          <cell r="C148">
            <v>1</v>
          </cell>
          <cell r="E148">
            <v>0</v>
          </cell>
          <cell r="F148">
            <v>0</v>
          </cell>
          <cell r="H148">
            <v>1</v>
          </cell>
        </row>
        <row r="149">
          <cell r="A149" t="str">
            <v>203.2015.10.1419.00004</v>
          </cell>
          <cell r="B149">
            <v>1</v>
          </cell>
          <cell r="C149">
            <v>1</v>
          </cell>
          <cell r="E149">
            <v>0</v>
          </cell>
          <cell r="F149">
            <v>0</v>
          </cell>
          <cell r="H149">
            <v>1</v>
          </cell>
        </row>
        <row r="150">
          <cell r="A150" t="str">
            <v>204.2014.10.1411.00010</v>
          </cell>
          <cell r="B150">
            <v>1</v>
          </cell>
          <cell r="C150">
            <v>0.46062062180098978</v>
          </cell>
          <cell r="E150">
            <v>0.53937937819901027</v>
          </cell>
          <cell r="F150">
            <v>0</v>
          </cell>
          <cell r="H150">
            <v>1</v>
          </cell>
        </row>
        <row r="151">
          <cell r="A151" t="str">
            <v>205.2015.10.1429.00008</v>
          </cell>
          <cell r="B151">
            <v>1</v>
          </cell>
          <cell r="C151">
            <v>1</v>
          </cell>
          <cell r="E151">
            <v>0</v>
          </cell>
          <cell r="F151">
            <v>0</v>
          </cell>
          <cell r="H151">
            <v>1</v>
          </cell>
        </row>
        <row r="152">
          <cell r="A152" t="str">
            <v>502.2015.10.1411.00010</v>
          </cell>
          <cell r="B152">
            <v>1</v>
          </cell>
          <cell r="C152">
            <v>1</v>
          </cell>
          <cell r="E152">
            <v>0</v>
          </cell>
          <cell r="F152">
            <v>0</v>
          </cell>
          <cell r="H152">
            <v>1</v>
          </cell>
        </row>
        <row r="153">
          <cell r="A153" t="str">
            <v>502.2015.10.1421.00001</v>
          </cell>
          <cell r="B153">
            <v>1</v>
          </cell>
          <cell r="C153">
            <v>1</v>
          </cell>
          <cell r="E153">
            <v>0</v>
          </cell>
          <cell r="F153">
            <v>0</v>
          </cell>
          <cell r="H153">
            <v>1</v>
          </cell>
        </row>
        <row r="154">
          <cell r="A154" t="str">
            <v>504.2015.10.1411.00010</v>
          </cell>
          <cell r="B154">
            <v>1</v>
          </cell>
          <cell r="C154">
            <v>1</v>
          </cell>
          <cell r="E154">
            <v>0</v>
          </cell>
          <cell r="F154">
            <v>0</v>
          </cell>
          <cell r="H154">
            <v>1</v>
          </cell>
        </row>
        <row r="155">
          <cell r="A155" t="str">
            <v>505.2015.10.1414.00003</v>
          </cell>
          <cell r="B155">
            <v>1</v>
          </cell>
          <cell r="C155">
            <v>1</v>
          </cell>
          <cell r="E155">
            <v>0</v>
          </cell>
          <cell r="F155">
            <v>0</v>
          </cell>
          <cell r="H155">
            <v>1</v>
          </cell>
        </row>
        <row r="156">
          <cell r="A156" t="str">
            <v>207.2015.10.1411.00007</v>
          </cell>
          <cell r="B156">
            <v>1</v>
          </cell>
          <cell r="C156">
            <v>1</v>
          </cell>
          <cell r="E156">
            <v>0</v>
          </cell>
          <cell r="F156">
            <v>0</v>
          </cell>
          <cell r="H156">
            <v>1</v>
          </cell>
        </row>
        <row r="157">
          <cell r="A157" t="str">
            <v>305.2015.10.1414.00003</v>
          </cell>
          <cell r="B157">
            <v>1</v>
          </cell>
          <cell r="C157">
            <v>1</v>
          </cell>
          <cell r="E157">
            <v>0</v>
          </cell>
          <cell r="F157">
            <v>0</v>
          </cell>
          <cell r="H157">
            <v>1</v>
          </cell>
        </row>
        <row r="158">
          <cell r="A158" t="str">
            <v>305.2015.10.1414.00004</v>
          </cell>
          <cell r="B158">
            <v>1</v>
          </cell>
          <cell r="C158">
            <v>1</v>
          </cell>
          <cell r="E158">
            <v>0</v>
          </cell>
          <cell r="F158">
            <v>0</v>
          </cell>
          <cell r="H158">
            <v>1</v>
          </cell>
        </row>
        <row r="159">
          <cell r="A159" t="str">
            <v>401.2015.10.1429.00002</v>
          </cell>
          <cell r="B159">
            <v>1</v>
          </cell>
          <cell r="C159">
            <v>1</v>
          </cell>
          <cell r="E159">
            <v>0</v>
          </cell>
          <cell r="F159">
            <v>0</v>
          </cell>
          <cell r="H159">
            <v>1</v>
          </cell>
        </row>
        <row r="160">
          <cell r="A160" t="str">
            <v>402.2015.10.1414.00011</v>
          </cell>
          <cell r="B160">
            <v>1</v>
          </cell>
          <cell r="C160">
            <v>1</v>
          </cell>
          <cell r="E160">
            <v>0</v>
          </cell>
          <cell r="F160">
            <v>0</v>
          </cell>
          <cell r="H160">
            <v>1</v>
          </cell>
        </row>
        <row r="161">
          <cell r="A161" t="str">
            <v>501.2015.10.1411.00034</v>
          </cell>
          <cell r="B161">
            <v>1</v>
          </cell>
          <cell r="C161">
            <v>1</v>
          </cell>
          <cell r="E161">
            <v>0</v>
          </cell>
          <cell r="F161">
            <v>0</v>
          </cell>
          <cell r="H161">
            <v>1</v>
          </cell>
        </row>
        <row r="162">
          <cell r="A162" t="str">
            <v>201.2015.10.1312.00002</v>
          </cell>
          <cell r="B162">
            <v>1</v>
          </cell>
          <cell r="C162">
            <v>1</v>
          </cell>
          <cell r="E162">
            <v>0</v>
          </cell>
          <cell r="F162">
            <v>0</v>
          </cell>
          <cell r="H162">
            <v>1</v>
          </cell>
        </row>
        <row r="163">
          <cell r="A163" t="str">
            <v>203.2014.10.1312.00010</v>
          </cell>
          <cell r="B163">
            <v>1</v>
          </cell>
          <cell r="C163">
            <v>0.63338889475189541</v>
          </cell>
          <cell r="E163">
            <v>0.36661110524810459</v>
          </cell>
          <cell r="F163">
            <v>0</v>
          </cell>
          <cell r="H163">
            <v>1</v>
          </cell>
        </row>
        <row r="164">
          <cell r="A164" t="str">
            <v>205.2015.10.1312.00001</v>
          </cell>
          <cell r="B164">
            <v>1</v>
          </cell>
          <cell r="C164">
            <v>1</v>
          </cell>
          <cell r="E164">
            <v>0</v>
          </cell>
          <cell r="F164">
            <v>0</v>
          </cell>
          <cell r="H164">
            <v>1</v>
          </cell>
        </row>
        <row r="165">
          <cell r="A165" t="str">
            <v>205.2015.10.1312.00002</v>
          </cell>
          <cell r="B165">
            <v>1</v>
          </cell>
          <cell r="C165">
            <v>1</v>
          </cell>
          <cell r="E165">
            <v>0</v>
          </cell>
          <cell r="F165">
            <v>0</v>
          </cell>
          <cell r="H165">
            <v>1</v>
          </cell>
        </row>
        <row r="166">
          <cell r="A166" t="str">
            <v>206.2015.10.1312.00002</v>
          </cell>
          <cell r="B166">
            <v>1</v>
          </cell>
          <cell r="C166">
            <v>0.4</v>
          </cell>
          <cell r="E166">
            <v>0.6</v>
          </cell>
          <cell r="F166">
            <v>0</v>
          </cell>
          <cell r="H166">
            <v>1</v>
          </cell>
        </row>
        <row r="167">
          <cell r="A167" t="str">
            <v>212.2015.10.1312.00001</v>
          </cell>
          <cell r="B167">
            <v>1</v>
          </cell>
          <cell r="C167">
            <v>1</v>
          </cell>
          <cell r="E167">
            <v>0</v>
          </cell>
          <cell r="F167">
            <v>0</v>
          </cell>
          <cell r="H167">
            <v>1</v>
          </cell>
        </row>
        <row r="168">
          <cell r="A168" t="str">
            <v>505.2015.10.1312.00004</v>
          </cell>
          <cell r="B168">
            <v>1</v>
          </cell>
          <cell r="C168">
            <v>1</v>
          </cell>
          <cell r="E168">
            <v>0</v>
          </cell>
          <cell r="F168">
            <v>0</v>
          </cell>
          <cell r="H168">
            <v>1</v>
          </cell>
        </row>
        <row r="169">
          <cell r="A169" t="str">
            <v>505.2015.10.1312.00005</v>
          </cell>
          <cell r="B169">
            <v>1</v>
          </cell>
          <cell r="C169">
            <v>1</v>
          </cell>
          <cell r="E169">
            <v>0</v>
          </cell>
          <cell r="F169">
            <v>0</v>
          </cell>
          <cell r="H169">
            <v>1</v>
          </cell>
        </row>
        <row r="170">
          <cell r="A170" t="str">
            <v>210.2015.10.1312.00001</v>
          </cell>
          <cell r="B170">
            <v>1</v>
          </cell>
          <cell r="C170">
            <v>0.49441217666834303</v>
          </cell>
          <cell r="E170">
            <v>0.50558782333165697</v>
          </cell>
          <cell r="F170">
            <v>0</v>
          </cell>
          <cell r="H170">
            <v>1</v>
          </cell>
        </row>
        <row r="171">
          <cell r="A171" t="str">
            <v>201.2015.10.1411.00025</v>
          </cell>
          <cell r="B171">
            <v>1</v>
          </cell>
          <cell r="C171">
            <v>0.83929442196534221</v>
          </cell>
          <cell r="E171">
            <v>0.16070557803465782</v>
          </cell>
          <cell r="F171">
            <v>0</v>
          </cell>
          <cell r="H171">
            <v>1</v>
          </cell>
        </row>
        <row r="172">
          <cell r="A172" t="str">
            <v>201.2015.10.1411.00027</v>
          </cell>
          <cell r="B172">
            <v>1</v>
          </cell>
          <cell r="C172">
            <v>0.2</v>
          </cell>
          <cell r="E172">
            <v>0.8</v>
          </cell>
          <cell r="F172">
            <v>0</v>
          </cell>
          <cell r="H172">
            <v>1</v>
          </cell>
        </row>
        <row r="173">
          <cell r="A173" t="str">
            <v>203.2015.10.1411.00012</v>
          </cell>
          <cell r="B173">
            <v>1</v>
          </cell>
          <cell r="C173">
            <v>0.29659999975619478</v>
          </cell>
          <cell r="E173">
            <v>0.70340000024380522</v>
          </cell>
          <cell r="F173">
            <v>0</v>
          </cell>
          <cell r="H173">
            <v>1</v>
          </cell>
        </row>
        <row r="174">
          <cell r="A174" t="str">
            <v>211.2015.10.1411.00010</v>
          </cell>
          <cell r="B174">
            <v>1</v>
          </cell>
          <cell r="C174">
            <v>8.3564179378867454E-2</v>
          </cell>
          <cell r="E174">
            <v>0.57743582062113252</v>
          </cell>
          <cell r="F174">
            <v>0.33900000000000002</v>
          </cell>
          <cell r="H174">
            <v>1</v>
          </cell>
        </row>
        <row r="175">
          <cell r="A175" t="str">
            <v>210.2015.10.1411.00002</v>
          </cell>
          <cell r="B175">
            <v>1</v>
          </cell>
          <cell r="C175">
            <v>0.62800655784543913</v>
          </cell>
          <cell r="E175">
            <v>0.37199344215456087</v>
          </cell>
          <cell r="F175">
            <v>0</v>
          </cell>
          <cell r="H175">
            <v>1</v>
          </cell>
        </row>
        <row r="176">
          <cell r="A176" t="str">
            <v>210.2015.10.1429.00006</v>
          </cell>
          <cell r="B176">
            <v>1</v>
          </cell>
          <cell r="C176">
            <v>0.33333333333333331</v>
          </cell>
          <cell r="E176">
            <v>0.66666666666666663</v>
          </cell>
          <cell r="F176">
            <v>0</v>
          </cell>
          <cell r="H176">
            <v>1</v>
          </cell>
        </row>
        <row r="177">
          <cell r="A177" t="str">
            <v>212.2015.10.1429.00001</v>
          </cell>
          <cell r="B177">
            <v>1</v>
          </cell>
          <cell r="C177">
            <v>0.23567363537894906</v>
          </cell>
          <cell r="E177">
            <v>0.76432636462105097</v>
          </cell>
          <cell r="F177">
            <v>0</v>
          </cell>
          <cell r="H177">
            <v>1</v>
          </cell>
        </row>
        <row r="178">
          <cell r="A178" t="str">
            <v>209.2015.10.1312.00005</v>
          </cell>
          <cell r="B178">
            <v>1</v>
          </cell>
          <cell r="C178">
            <v>0.19018588578081128</v>
          </cell>
          <cell r="E178">
            <v>0.8098141142191887</v>
          </cell>
          <cell r="F178">
            <v>0</v>
          </cell>
          <cell r="H178">
            <v>1</v>
          </cell>
        </row>
        <row r="179">
          <cell r="A179" t="str">
            <v>204.2015.10.1411.00014</v>
          </cell>
          <cell r="B179">
            <v>1</v>
          </cell>
          <cell r="C179">
            <v>2.5000000000000001E-2</v>
          </cell>
          <cell r="E179">
            <v>0.17499999999999999</v>
          </cell>
          <cell r="F179">
            <v>0.8</v>
          </cell>
          <cell r="H179">
            <v>1</v>
          </cell>
        </row>
        <row r="180">
          <cell r="A180" t="str">
            <v>204.2015.10.1411.00003</v>
          </cell>
          <cell r="B180">
            <v>1</v>
          </cell>
          <cell r="C180">
            <v>5.154293784437125E-2</v>
          </cell>
          <cell r="E180">
            <v>0.24845706215562882</v>
          </cell>
          <cell r="F180">
            <v>0.7</v>
          </cell>
          <cell r="H180">
            <v>1</v>
          </cell>
        </row>
        <row r="181">
          <cell r="A181" t="str">
            <v>205.2015.10.1411.00023</v>
          </cell>
          <cell r="B181">
            <v>1</v>
          </cell>
          <cell r="C181">
            <v>0.23329600597237776</v>
          </cell>
          <cell r="E181">
            <v>0.76670399402762224</v>
          </cell>
          <cell r="F181">
            <v>0</v>
          </cell>
          <cell r="H181">
            <v>1</v>
          </cell>
        </row>
        <row r="182">
          <cell r="A182" t="str">
            <v>205.2015.10.1429.00010</v>
          </cell>
          <cell r="B182">
            <v>1</v>
          </cell>
          <cell r="C182">
            <v>0.1866368047779022</v>
          </cell>
          <cell r="E182">
            <v>0.74654721911160882</v>
          </cell>
          <cell r="F182">
            <v>6.6815976110488992E-2</v>
          </cell>
          <cell r="H182">
            <v>1</v>
          </cell>
        </row>
        <row r="183">
          <cell r="A183" t="str">
            <v>210.2015.10.1429.00007</v>
          </cell>
          <cell r="B183">
            <v>1</v>
          </cell>
          <cell r="C183">
            <v>0.33333333333333331</v>
          </cell>
          <cell r="E183">
            <v>0.66666666666666663</v>
          </cell>
          <cell r="F183">
            <v>0</v>
          </cell>
          <cell r="H183">
            <v>1</v>
          </cell>
        </row>
        <row r="184">
          <cell r="A184" t="str">
            <v>210.2015.10.1429.00008</v>
          </cell>
          <cell r="B184">
            <v>1</v>
          </cell>
          <cell r="C184">
            <v>0.33333333333333331</v>
          </cell>
          <cell r="E184">
            <v>0.66666666666666663</v>
          </cell>
          <cell r="F184">
            <v>0</v>
          </cell>
          <cell r="H184">
            <v>1</v>
          </cell>
        </row>
        <row r="185">
          <cell r="A185" t="str">
            <v>203.2015.10.1312.00004</v>
          </cell>
          <cell r="B185">
            <v>1</v>
          </cell>
          <cell r="C185">
            <v>5.533802712641292E-2</v>
          </cell>
          <cell r="E185">
            <v>0.38736618988489041</v>
          </cell>
          <cell r="F185">
            <v>0.55729578298869664</v>
          </cell>
          <cell r="H185">
            <v>1</v>
          </cell>
        </row>
        <row r="186">
          <cell r="A186" t="str">
            <v>203.2015.10.1312.00005</v>
          </cell>
          <cell r="B186">
            <v>1</v>
          </cell>
          <cell r="C186">
            <v>0.18589952130873263</v>
          </cell>
          <cell r="E186">
            <v>0.81410047869126734</v>
          </cell>
          <cell r="F186">
            <v>0</v>
          </cell>
          <cell r="H186">
            <v>1</v>
          </cell>
        </row>
        <row r="187">
          <cell r="A187" t="str">
            <v>205.2015.10.1429.00011</v>
          </cell>
          <cell r="B187">
            <v>1</v>
          </cell>
          <cell r="C187">
            <v>0.43521403826401822</v>
          </cell>
          <cell r="E187">
            <v>0.56478596173598172</v>
          </cell>
          <cell r="F187">
            <v>0</v>
          </cell>
          <cell r="H187">
            <v>1</v>
          </cell>
        </row>
        <row r="188">
          <cell r="A188" t="str">
            <v>211.2015.10.1411.00011</v>
          </cell>
          <cell r="B188">
            <v>1</v>
          </cell>
          <cell r="C188">
            <v>0.30793372773485184</v>
          </cell>
          <cell r="E188">
            <v>0.69206627226514816</v>
          </cell>
          <cell r="F188">
            <v>0</v>
          </cell>
          <cell r="H188">
            <v>1</v>
          </cell>
        </row>
        <row r="189">
          <cell r="A189" t="str">
            <v>211.2015.10.1411.00012</v>
          </cell>
          <cell r="B189">
            <v>1</v>
          </cell>
          <cell r="C189">
            <v>0.30793372773485184</v>
          </cell>
          <cell r="E189">
            <v>0.69206627226514816</v>
          </cell>
          <cell r="F189">
            <v>0</v>
          </cell>
          <cell r="H189">
            <v>1</v>
          </cell>
        </row>
        <row r="190">
          <cell r="A190" t="str">
            <v>208.2015.10.1411.00005</v>
          </cell>
          <cell r="B190">
            <v>1</v>
          </cell>
          <cell r="C190">
            <v>0.24683130314586496</v>
          </cell>
          <cell r="E190">
            <v>0.75316869685413501</v>
          </cell>
          <cell r="F190">
            <v>0</v>
          </cell>
          <cell r="H190">
            <v>1</v>
          </cell>
        </row>
        <row r="191">
          <cell r="A191" t="str">
            <v>201.2016.10.1411.00007</v>
          </cell>
          <cell r="B191">
            <v>1</v>
          </cell>
          <cell r="C191">
            <v>0.41666666666666669</v>
          </cell>
          <cell r="E191">
            <v>0.58333333333333337</v>
          </cell>
          <cell r="F191">
            <v>0</v>
          </cell>
          <cell r="H191">
            <v>1</v>
          </cell>
        </row>
        <row r="192">
          <cell r="A192" t="str">
            <v>201.2016.10.1419.00001</v>
          </cell>
          <cell r="B192">
            <v>1</v>
          </cell>
          <cell r="C192">
            <v>0.70347827799773199</v>
          </cell>
          <cell r="E192">
            <v>0.29652172200226801</v>
          </cell>
          <cell r="F192">
            <v>0</v>
          </cell>
          <cell r="H192">
            <v>1</v>
          </cell>
        </row>
        <row r="193">
          <cell r="A193" t="str">
            <v>203.2010.10.1419.00001</v>
          </cell>
          <cell r="B193">
            <v>1</v>
          </cell>
          <cell r="C193">
            <v>0.83333333333333337</v>
          </cell>
          <cell r="E193">
            <v>0.16666666666666666</v>
          </cell>
          <cell r="F193">
            <v>0</v>
          </cell>
          <cell r="H193">
            <v>1</v>
          </cell>
        </row>
        <row r="194">
          <cell r="A194" t="str">
            <v>205.2016.10.1411.00007</v>
          </cell>
          <cell r="B194">
            <v>1</v>
          </cell>
          <cell r="C194">
            <v>0.22421071456404948</v>
          </cell>
          <cell r="E194">
            <v>0.77578928543595049</v>
          </cell>
          <cell r="F194">
            <v>0</v>
          </cell>
          <cell r="H194">
            <v>1</v>
          </cell>
        </row>
        <row r="195">
          <cell r="A195" t="str">
            <v>205.2016.10.1411.00008</v>
          </cell>
          <cell r="B195">
            <v>1</v>
          </cell>
          <cell r="C195">
            <v>0.625</v>
          </cell>
          <cell r="E195">
            <v>0.375</v>
          </cell>
          <cell r="F195">
            <v>0</v>
          </cell>
          <cell r="H195">
            <v>1</v>
          </cell>
        </row>
        <row r="196">
          <cell r="A196" t="str">
            <v>205.2016.10.1419.00001</v>
          </cell>
          <cell r="B196">
            <v>1</v>
          </cell>
          <cell r="C196">
            <v>0.625</v>
          </cell>
          <cell r="E196">
            <v>0.375</v>
          </cell>
          <cell r="F196">
            <v>0</v>
          </cell>
          <cell r="H196">
            <v>1</v>
          </cell>
        </row>
        <row r="197">
          <cell r="A197" t="str">
            <v>203.2016.10.1411.00001</v>
          </cell>
          <cell r="B197">
            <v>1</v>
          </cell>
          <cell r="C197">
            <v>0.15625</v>
          </cell>
          <cell r="E197">
            <v>0.84375</v>
          </cell>
          <cell r="F197">
            <v>0</v>
          </cell>
          <cell r="H197">
            <v>1</v>
          </cell>
        </row>
        <row r="198">
          <cell r="A198" t="str">
            <v>203.2016.10.1411.00002</v>
          </cell>
          <cell r="B198">
            <v>1</v>
          </cell>
          <cell r="C198">
            <v>0.15625</v>
          </cell>
          <cell r="E198">
            <v>0.84375</v>
          </cell>
          <cell r="F198">
            <v>0</v>
          </cell>
          <cell r="H198">
            <v>1</v>
          </cell>
        </row>
        <row r="199">
          <cell r="A199" t="str">
            <v>203.2016.10.1419.00001</v>
          </cell>
          <cell r="B199">
            <v>1</v>
          </cell>
          <cell r="C199">
            <v>0.27777777777777779</v>
          </cell>
          <cell r="E199">
            <v>0.72222222222222221</v>
          </cell>
          <cell r="F199">
            <v>0</v>
          </cell>
          <cell r="H199">
            <v>1</v>
          </cell>
        </row>
        <row r="200">
          <cell r="A200" t="str">
            <v>203.2016.10.1419.00002</v>
          </cell>
          <cell r="B200">
            <v>1</v>
          </cell>
          <cell r="C200">
            <v>0.3125</v>
          </cell>
          <cell r="E200">
            <v>0.6875</v>
          </cell>
          <cell r="F200">
            <v>0</v>
          </cell>
          <cell r="H200">
            <v>1</v>
          </cell>
        </row>
        <row r="201">
          <cell r="A201" t="str">
            <v>401.2016.10.1411.00005</v>
          </cell>
          <cell r="B201">
            <v>1</v>
          </cell>
          <cell r="C201">
            <v>0.625</v>
          </cell>
          <cell r="E201">
            <v>0.375</v>
          </cell>
          <cell r="F201">
            <v>0</v>
          </cell>
          <cell r="H201">
            <v>1</v>
          </cell>
        </row>
        <row r="202">
          <cell r="A202" t="str">
            <v>203.2016.10.1312.00001</v>
          </cell>
          <cell r="B202">
            <v>1</v>
          </cell>
          <cell r="C202">
            <v>0.23317632793918761</v>
          </cell>
          <cell r="E202">
            <v>0.76682367206081237</v>
          </cell>
          <cell r="F202">
            <v>0</v>
          </cell>
          <cell r="H202">
            <v>1</v>
          </cell>
        </row>
        <row r="203">
          <cell r="A203" t="str">
            <v>201.2016.10.1411.00002</v>
          </cell>
          <cell r="B203">
            <v>1</v>
          </cell>
          <cell r="C203">
            <v>0.10886680973217024</v>
          </cell>
          <cell r="E203">
            <v>0.49113319026782976</v>
          </cell>
          <cell r="F203">
            <v>0.4</v>
          </cell>
          <cell r="H203">
            <v>1</v>
          </cell>
        </row>
        <row r="204">
          <cell r="A204" t="str">
            <v>204.2016.10.1411.00001</v>
          </cell>
          <cell r="B204">
            <v>1</v>
          </cell>
          <cell r="C204">
            <v>0.23267501814865141</v>
          </cell>
          <cell r="E204">
            <v>0.76732498185134856</v>
          </cell>
          <cell r="F204">
            <v>0</v>
          </cell>
          <cell r="H204">
            <v>1</v>
          </cell>
        </row>
        <row r="205">
          <cell r="A205" t="str">
            <v>205.2016.10.1411.00003</v>
          </cell>
          <cell r="B205">
            <v>1</v>
          </cell>
          <cell r="C205">
            <v>0.25361944468874198</v>
          </cell>
          <cell r="E205">
            <v>0.74638055531125802</v>
          </cell>
          <cell r="F205">
            <v>0</v>
          </cell>
          <cell r="H205">
            <v>1</v>
          </cell>
        </row>
        <row r="206">
          <cell r="A206" t="str">
            <v>205.2016.10.1411.00004</v>
          </cell>
          <cell r="B206">
            <v>1</v>
          </cell>
          <cell r="C206">
            <v>0.41666666666666669</v>
          </cell>
          <cell r="E206">
            <v>0.58333333333333337</v>
          </cell>
          <cell r="F206">
            <v>0</v>
          </cell>
          <cell r="H206">
            <v>1</v>
          </cell>
        </row>
        <row r="207">
          <cell r="A207" t="str">
            <v>205.2016.10.1429.00002</v>
          </cell>
          <cell r="B207">
            <v>1</v>
          </cell>
          <cell r="C207">
            <v>0.23593675385001595</v>
          </cell>
          <cell r="E207">
            <v>0.764063246149984</v>
          </cell>
          <cell r="F207">
            <v>0</v>
          </cell>
          <cell r="H207">
            <v>1</v>
          </cell>
        </row>
        <row r="208">
          <cell r="A208" t="str">
            <v>205.2016.10.1429.00003</v>
          </cell>
          <cell r="B208">
            <v>1</v>
          </cell>
          <cell r="C208">
            <v>0.25</v>
          </cell>
          <cell r="E208">
            <v>0.75</v>
          </cell>
          <cell r="F208">
            <v>0</v>
          </cell>
          <cell r="H208">
            <v>1</v>
          </cell>
        </row>
        <row r="209">
          <cell r="A209" t="str">
            <v>304.2016.10.1429.00001</v>
          </cell>
          <cell r="B209">
            <v>1</v>
          </cell>
          <cell r="C209">
            <v>0.83333333333333337</v>
          </cell>
          <cell r="E209">
            <v>0.16666666666666666</v>
          </cell>
          <cell r="F209">
            <v>0</v>
          </cell>
          <cell r="H209">
            <v>1</v>
          </cell>
        </row>
        <row r="210">
          <cell r="A210" t="str">
            <v>301.2016.10.1411.00001</v>
          </cell>
          <cell r="B210">
            <v>1</v>
          </cell>
          <cell r="C210">
            <v>0.25</v>
          </cell>
          <cell r="E210">
            <v>0.75</v>
          </cell>
          <cell r="F210">
            <v>0</v>
          </cell>
          <cell r="H210">
            <v>1</v>
          </cell>
        </row>
        <row r="211">
          <cell r="A211" t="str">
            <v>301.2016.10.1411.00002</v>
          </cell>
          <cell r="B211">
            <v>1</v>
          </cell>
          <cell r="C211">
            <v>0.25</v>
          </cell>
          <cell r="E211">
            <v>0.75</v>
          </cell>
          <cell r="F211">
            <v>0</v>
          </cell>
          <cell r="H211">
            <v>1</v>
          </cell>
        </row>
        <row r="212">
          <cell r="A212" t="str">
            <v>301.2016.10.1429.00001</v>
          </cell>
          <cell r="B212">
            <v>1</v>
          </cell>
          <cell r="C212">
            <v>0.25</v>
          </cell>
          <cell r="E212">
            <v>0.75</v>
          </cell>
          <cell r="F212">
            <v>0</v>
          </cell>
          <cell r="H212">
            <v>1</v>
          </cell>
        </row>
        <row r="213">
          <cell r="A213" t="str">
            <v>301.2016.10.1429.00002</v>
          </cell>
          <cell r="B213">
            <v>1</v>
          </cell>
          <cell r="C213">
            <v>0.25</v>
          </cell>
          <cell r="E213">
            <v>0.75</v>
          </cell>
          <cell r="F213">
            <v>0</v>
          </cell>
          <cell r="H213">
            <v>1</v>
          </cell>
        </row>
        <row r="214">
          <cell r="A214" t="str">
            <v>401.2016.10.1411.00001</v>
          </cell>
          <cell r="B214">
            <v>1</v>
          </cell>
          <cell r="C214">
            <v>0.1168714722346106</v>
          </cell>
          <cell r="E214">
            <v>0.81810030564227421</v>
          </cell>
          <cell r="F214">
            <v>6.5028222123115209E-2</v>
          </cell>
          <cell r="H214">
            <v>1</v>
          </cell>
        </row>
        <row r="215">
          <cell r="A215" t="str">
            <v>401.2016.10.1411.00003</v>
          </cell>
          <cell r="B215">
            <v>1</v>
          </cell>
          <cell r="C215">
            <v>0.1167221797353488</v>
          </cell>
          <cell r="E215">
            <v>0.88327782026465118</v>
          </cell>
          <cell r="F215">
            <v>0</v>
          </cell>
          <cell r="H215">
            <v>1</v>
          </cell>
        </row>
        <row r="216">
          <cell r="A216" t="str">
            <v>401.2016.10.1411.00004</v>
          </cell>
          <cell r="B216">
            <v>1</v>
          </cell>
          <cell r="C216">
            <v>0.12937756762720712</v>
          </cell>
          <cell r="E216">
            <v>0.87062243237279291</v>
          </cell>
          <cell r="F216">
            <v>0</v>
          </cell>
          <cell r="H216">
            <v>1</v>
          </cell>
        </row>
        <row r="217">
          <cell r="A217" t="str">
            <v>401.2016.10.1419.00001</v>
          </cell>
          <cell r="B217">
            <v>1</v>
          </cell>
          <cell r="C217">
            <v>0.23287962172897284</v>
          </cell>
          <cell r="E217">
            <v>0.76712037827102719</v>
          </cell>
          <cell r="F217">
            <v>0</v>
          </cell>
          <cell r="H217">
            <v>1</v>
          </cell>
        </row>
        <row r="218">
          <cell r="A218" t="str">
            <v>401.2015.10.1411.00005</v>
          </cell>
          <cell r="B218">
            <v>1</v>
          </cell>
          <cell r="C218">
            <v>0.3125</v>
          </cell>
          <cell r="E218">
            <v>0.6875</v>
          </cell>
          <cell r="F218">
            <v>0</v>
          </cell>
          <cell r="H218">
            <v>1</v>
          </cell>
        </row>
        <row r="219">
          <cell r="A219" t="str">
            <v>501.2016.10.1411.00007</v>
          </cell>
          <cell r="B219">
            <v>1</v>
          </cell>
          <cell r="C219">
            <v>0.23055818135706546</v>
          </cell>
          <cell r="E219">
            <v>0.76944181864293459</v>
          </cell>
          <cell r="F219">
            <v>0</v>
          </cell>
          <cell r="H219">
            <v>1</v>
          </cell>
        </row>
        <row r="220">
          <cell r="A220" t="str">
            <v>501.2016.10.1419.00002</v>
          </cell>
          <cell r="B220">
            <v>1</v>
          </cell>
          <cell r="C220">
            <v>0.23055818135706546</v>
          </cell>
          <cell r="E220">
            <v>0.76944181864293459</v>
          </cell>
          <cell r="F220">
            <v>0</v>
          </cell>
          <cell r="H220">
            <v>1</v>
          </cell>
        </row>
        <row r="221">
          <cell r="A221" t="str">
            <v>501.2016.10.1312.00001</v>
          </cell>
          <cell r="B221">
            <v>1</v>
          </cell>
          <cell r="C221">
            <v>0.25</v>
          </cell>
          <cell r="E221">
            <v>0.75</v>
          </cell>
          <cell r="F221">
            <v>0</v>
          </cell>
          <cell r="H221">
            <v>1</v>
          </cell>
        </row>
        <row r="222">
          <cell r="A222" t="str">
            <v>201.2016.10.1411.00009</v>
          </cell>
          <cell r="B222">
            <v>1</v>
          </cell>
          <cell r="C222">
            <v>0.76283376265617497</v>
          </cell>
          <cell r="E222">
            <v>0.23716623734382505</v>
          </cell>
          <cell r="F222">
            <v>0</v>
          </cell>
          <cell r="H222">
            <v>1</v>
          </cell>
        </row>
        <row r="223">
          <cell r="A223" t="str">
            <v>201.2016.10.1411.00010</v>
          </cell>
          <cell r="B223">
            <v>1</v>
          </cell>
          <cell r="C223">
            <v>0.21100073428255531</v>
          </cell>
          <cell r="E223">
            <v>0.78899926571744472</v>
          </cell>
          <cell r="F223">
            <v>0</v>
          </cell>
          <cell r="H223">
            <v>1</v>
          </cell>
        </row>
        <row r="224">
          <cell r="A224" t="str">
            <v>201.2016.10.1411.00011</v>
          </cell>
          <cell r="B224">
            <v>1</v>
          </cell>
          <cell r="C224">
            <v>0.21367999864612353</v>
          </cell>
          <cell r="E224">
            <v>0.78632000135387647</v>
          </cell>
          <cell r="F224">
            <v>0</v>
          </cell>
          <cell r="H224">
            <v>1</v>
          </cell>
        </row>
        <row r="225">
          <cell r="A225" t="str">
            <v>201.2016.10.1429.00005</v>
          </cell>
          <cell r="B225">
            <v>1</v>
          </cell>
          <cell r="C225">
            <v>0.625</v>
          </cell>
          <cell r="E225">
            <v>0.375</v>
          </cell>
          <cell r="F225">
            <v>0</v>
          </cell>
          <cell r="H225">
            <v>1</v>
          </cell>
        </row>
        <row r="226">
          <cell r="A226" t="str">
            <v>203.2016.10.1411.00003</v>
          </cell>
          <cell r="B226">
            <v>1</v>
          </cell>
          <cell r="C226">
            <v>0.41666666666666669</v>
          </cell>
          <cell r="E226">
            <v>0.58333333333333337</v>
          </cell>
          <cell r="F226">
            <v>0</v>
          </cell>
          <cell r="H226">
            <v>1</v>
          </cell>
        </row>
        <row r="227">
          <cell r="A227" t="str">
            <v>205.2016.10.1411.00012</v>
          </cell>
          <cell r="B227">
            <v>1</v>
          </cell>
          <cell r="C227">
            <v>0.25361944468874198</v>
          </cell>
          <cell r="E227">
            <v>0.74638055531125802</v>
          </cell>
          <cell r="F227">
            <v>0</v>
          </cell>
          <cell r="H227">
            <v>1</v>
          </cell>
        </row>
        <row r="228">
          <cell r="A228" t="str">
            <v>205.2016.10.1429.00007</v>
          </cell>
          <cell r="B228">
            <v>1</v>
          </cell>
          <cell r="C228">
            <v>1</v>
          </cell>
          <cell r="E228">
            <v>0</v>
          </cell>
          <cell r="F228">
            <v>0</v>
          </cell>
          <cell r="H228">
            <v>1</v>
          </cell>
        </row>
        <row r="229">
          <cell r="A229" t="str">
            <v>209.2016.10.1411.00002</v>
          </cell>
          <cell r="B229">
            <v>1</v>
          </cell>
          <cell r="C229">
            <v>0.83632178986244177</v>
          </cell>
          <cell r="E229">
            <v>0.16367821013755821</v>
          </cell>
          <cell r="F229">
            <v>0</v>
          </cell>
          <cell r="H229">
            <v>1</v>
          </cell>
        </row>
        <row r="230">
          <cell r="A230" t="str">
            <v>210.2016.10.1411.00001</v>
          </cell>
          <cell r="B230">
            <v>1</v>
          </cell>
          <cell r="C230">
            <v>0.6909263052751754</v>
          </cell>
          <cell r="E230">
            <v>0.30907369472482465</v>
          </cell>
          <cell r="F230">
            <v>0</v>
          </cell>
          <cell r="H230">
            <v>1</v>
          </cell>
        </row>
        <row r="231">
          <cell r="A231" t="str">
            <v>301.2016.10.1411.00004</v>
          </cell>
          <cell r="B231">
            <v>1</v>
          </cell>
          <cell r="C231">
            <v>0.19470404984423675</v>
          </cell>
          <cell r="E231">
            <v>0.80529595015576327</v>
          </cell>
          <cell r="F231">
            <v>0</v>
          </cell>
          <cell r="H231">
            <v>1</v>
          </cell>
        </row>
        <row r="232">
          <cell r="A232" t="str">
            <v>507 2016 10 1311 00008</v>
          </cell>
          <cell r="B232">
            <v>1</v>
          </cell>
          <cell r="C232">
            <v>0.52603524325031137</v>
          </cell>
          <cell r="E232">
            <v>0.47396475674968869</v>
          </cell>
          <cell r="F232">
            <v>0</v>
          </cell>
          <cell r="H232">
            <v>1</v>
          </cell>
        </row>
        <row r="233">
          <cell r="A233" t="str">
            <v>212 2016 10 1312 00001</v>
          </cell>
          <cell r="B233">
            <v>1</v>
          </cell>
          <cell r="C233">
            <v>0.21982194092173141</v>
          </cell>
          <cell r="E233">
            <v>0.78017805907826865</v>
          </cell>
          <cell r="F233">
            <v>0</v>
          </cell>
          <cell r="H233">
            <v>1</v>
          </cell>
        </row>
        <row r="234">
          <cell r="A234" t="str">
            <v>203 2016 10 1411 00006</v>
          </cell>
          <cell r="B234">
            <v>1</v>
          </cell>
          <cell r="C234">
            <v>0.625</v>
          </cell>
          <cell r="E234">
            <v>0.375</v>
          </cell>
          <cell r="F234">
            <v>0</v>
          </cell>
          <cell r="H234">
            <v>1</v>
          </cell>
        </row>
        <row r="235">
          <cell r="A235" t="str">
            <v>203 2016 10 1411 00007</v>
          </cell>
          <cell r="B235">
            <v>1</v>
          </cell>
          <cell r="C235">
            <v>0.625</v>
          </cell>
          <cell r="E235">
            <v>0.375</v>
          </cell>
          <cell r="F235">
            <v>0</v>
          </cell>
          <cell r="H235">
            <v>1</v>
          </cell>
        </row>
        <row r="236">
          <cell r="A236" t="str">
            <v>204 2016 10 1411 00003</v>
          </cell>
          <cell r="B236">
            <v>1</v>
          </cell>
          <cell r="C236">
            <v>5.6858551389668485E-2</v>
          </cell>
          <cell r="E236">
            <v>0.39800985972767938</v>
          </cell>
          <cell r="F236">
            <v>0.54513158888265212</v>
          </cell>
          <cell r="H236">
            <v>1</v>
          </cell>
        </row>
        <row r="237">
          <cell r="A237" t="str">
            <v>401 2016 10 1411 00011</v>
          </cell>
          <cell r="B237">
            <v>1</v>
          </cell>
          <cell r="C237">
            <v>0.5</v>
          </cell>
          <cell r="E237">
            <v>0.5</v>
          </cell>
          <cell r="F237">
            <v>0</v>
          </cell>
          <cell r="H237">
            <v>1</v>
          </cell>
        </row>
        <row r="238">
          <cell r="A238" t="str">
            <v>203 2016 10 1411 00002</v>
          </cell>
          <cell r="B238">
            <v>1</v>
          </cell>
          <cell r="C238">
            <v>0.15625</v>
          </cell>
          <cell r="E238">
            <v>0.84375</v>
          </cell>
          <cell r="F238">
            <v>0</v>
          </cell>
          <cell r="H238">
            <v>1</v>
          </cell>
        </row>
        <row r="239">
          <cell r="A239" t="str">
            <v>204 2016 10 1312 00001</v>
          </cell>
          <cell r="B239">
            <v>1</v>
          </cell>
          <cell r="C239">
            <v>0.35612535612535612</v>
          </cell>
          <cell r="E239">
            <v>0.64387464387464388</v>
          </cell>
          <cell r="F239">
            <v>0</v>
          </cell>
          <cell r="H239">
            <v>1</v>
          </cell>
        </row>
        <row r="240">
          <cell r="A240" t="str">
            <v>201 2016 10 1411 00012</v>
          </cell>
          <cell r="B240">
            <v>1</v>
          </cell>
          <cell r="C240">
            <v>7.6138545351772266E-2</v>
          </cell>
          <cell r="E240">
            <v>0.42386145464822778</v>
          </cell>
          <cell r="F240">
            <v>0.49999999999999994</v>
          </cell>
          <cell r="H240">
            <v>1</v>
          </cell>
        </row>
        <row r="241">
          <cell r="A241" t="str">
            <v>201 2016 10 1411 00013</v>
          </cell>
          <cell r="B241">
            <v>1</v>
          </cell>
          <cell r="C241">
            <v>7.6138545351772266E-2</v>
          </cell>
          <cell r="E241">
            <v>0.42386145464822778</v>
          </cell>
          <cell r="F241">
            <v>0.49999999999999994</v>
          </cell>
          <cell r="H241">
            <v>1</v>
          </cell>
        </row>
        <row r="242">
          <cell r="A242" t="str">
            <v>201 2016 10 1411 00002</v>
          </cell>
          <cell r="B242">
            <v>1</v>
          </cell>
          <cell r="C242">
            <v>0.10886680973217024</v>
          </cell>
          <cell r="E242">
            <v>0.49113319026782976</v>
          </cell>
          <cell r="F242">
            <v>0.40000055941068818</v>
          </cell>
          <cell r="H242">
            <v>1.0000005594106882</v>
          </cell>
        </row>
        <row r="243">
          <cell r="A243" t="str">
            <v>203 2016 10 1419 00002</v>
          </cell>
          <cell r="B243">
            <v>1</v>
          </cell>
          <cell r="C243">
            <v>0.3125</v>
          </cell>
          <cell r="E243">
            <v>0.6875</v>
          </cell>
          <cell r="F243">
            <v>0</v>
          </cell>
          <cell r="H243">
            <v>1</v>
          </cell>
        </row>
        <row r="244">
          <cell r="A244" t="str">
            <v>204 2016 10 1411 00006</v>
          </cell>
          <cell r="B244">
            <v>1</v>
          </cell>
          <cell r="C244">
            <v>7.6138545351772266E-2</v>
          </cell>
          <cell r="E244">
            <v>0.42386145464822778</v>
          </cell>
          <cell r="F244">
            <v>0.49999999999999994</v>
          </cell>
          <cell r="H244">
            <v>1</v>
          </cell>
        </row>
        <row r="245">
          <cell r="A245" t="str">
            <v>205 2016 10 1419 00003</v>
          </cell>
          <cell r="B245">
            <v>1</v>
          </cell>
          <cell r="C245">
            <v>0.25</v>
          </cell>
          <cell r="E245">
            <v>0.75</v>
          </cell>
          <cell r="F245">
            <v>0</v>
          </cell>
          <cell r="H245">
            <v>1</v>
          </cell>
        </row>
        <row r="246">
          <cell r="A246" t="str">
            <v>205 2016 10 1429 00008</v>
          </cell>
          <cell r="B246">
            <v>1</v>
          </cell>
          <cell r="C246">
            <v>0.17857142857142858</v>
          </cell>
          <cell r="E246">
            <v>0.8214285714285714</v>
          </cell>
          <cell r="F246">
            <v>0</v>
          </cell>
          <cell r="H246">
            <v>1</v>
          </cell>
        </row>
        <row r="247">
          <cell r="A247" t="str">
            <v>210 2016 10 1429 00005</v>
          </cell>
          <cell r="B247">
            <v>1</v>
          </cell>
          <cell r="C247">
            <v>0.41666666666666669</v>
          </cell>
          <cell r="E247">
            <v>0.58333333333333337</v>
          </cell>
          <cell r="F247">
            <v>0</v>
          </cell>
          <cell r="H247">
            <v>1</v>
          </cell>
        </row>
        <row r="248">
          <cell r="A248" t="str">
            <v>210 2016 10 1429 00006</v>
          </cell>
          <cell r="B248">
            <v>1</v>
          </cell>
          <cell r="C248">
            <v>0.41666666666666669</v>
          </cell>
          <cell r="E248">
            <v>0.58333333333333337</v>
          </cell>
          <cell r="F248">
            <v>0</v>
          </cell>
          <cell r="H248">
            <v>1</v>
          </cell>
        </row>
        <row r="249">
          <cell r="A249" t="str">
            <v>210 2016 10 1429 00007</v>
          </cell>
          <cell r="B249">
            <v>1</v>
          </cell>
          <cell r="C249">
            <v>0.41666666666666669</v>
          </cell>
          <cell r="E249">
            <v>0.58333333333333337</v>
          </cell>
          <cell r="F249">
            <v>0</v>
          </cell>
          <cell r="H249">
            <v>1</v>
          </cell>
        </row>
        <row r="250">
          <cell r="A250" t="str">
            <v>201 2016 10 1411 00014</v>
          </cell>
          <cell r="B250">
            <v>1</v>
          </cell>
          <cell r="C250">
            <v>0.40515716451568728</v>
          </cell>
          <cell r="E250">
            <v>0.59484283548431272</v>
          </cell>
          <cell r="F250">
            <v>0</v>
          </cell>
          <cell r="H250">
            <v>1</v>
          </cell>
        </row>
        <row r="251">
          <cell r="A251" t="str">
            <v>201 2016 10 1419 00005</v>
          </cell>
          <cell r="B251">
            <v>1</v>
          </cell>
          <cell r="C251">
            <v>0.40515716451568728</v>
          </cell>
          <cell r="E251">
            <v>0.59484283548431272</v>
          </cell>
          <cell r="F251">
            <v>0</v>
          </cell>
          <cell r="H251">
            <v>1</v>
          </cell>
        </row>
        <row r="252">
          <cell r="A252" t="str">
            <v>201 2016 10 1419 00006</v>
          </cell>
          <cell r="B252">
            <v>1</v>
          </cell>
          <cell r="C252">
            <v>0.50780393080866759</v>
          </cell>
          <cell r="E252">
            <v>0.49219606919133241</v>
          </cell>
          <cell r="F252">
            <v>0</v>
          </cell>
          <cell r="H252">
            <v>1</v>
          </cell>
        </row>
        <row r="253">
          <cell r="A253" t="str">
            <v>201 2016 10 1411 00010</v>
          </cell>
          <cell r="B253">
            <v>1</v>
          </cell>
          <cell r="C253">
            <v>0.21100073428255531</v>
          </cell>
          <cell r="E253">
            <v>0.78899926571744472</v>
          </cell>
          <cell r="F253">
            <v>0</v>
          </cell>
          <cell r="H253">
            <v>1</v>
          </cell>
        </row>
        <row r="254">
          <cell r="A254" t="str">
            <v>204 2016 10 1411 00008</v>
          </cell>
          <cell r="B254">
            <v>1</v>
          </cell>
          <cell r="C254">
            <v>4.5355834665283014E-2</v>
          </cell>
          <cell r="E254">
            <v>0.31749084265698108</v>
          </cell>
          <cell r="F254">
            <v>0.63715332267773594</v>
          </cell>
          <cell r="H254">
            <v>1</v>
          </cell>
        </row>
        <row r="255">
          <cell r="A255" t="str">
            <v>210 2016 10 1429 00009</v>
          </cell>
          <cell r="B255">
            <v>1</v>
          </cell>
          <cell r="C255">
            <v>0.41666666666666669</v>
          </cell>
          <cell r="E255">
            <v>0.58333333333333337</v>
          </cell>
          <cell r="F255">
            <v>0</v>
          </cell>
          <cell r="H255">
            <v>1</v>
          </cell>
        </row>
        <row r="256">
          <cell r="A256" t="str">
            <v>210 2015 10 1411 00001</v>
          </cell>
          <cell r="B256">
            <v>1</v>
          </cell>
          <cell r="C256">
            <v>0.83333333333333337</v>
          </cell>
          <cell r="E256">
            <v>0.16666666666666666</v>
          </cell>
          <cell r="F256">
            <v>0</v>
          </cell>
          <cell r="H256">
            <v>1</v>
          </cell>
        </row>
        <row r="257">
          <cell r="A257" t="str">
            <v>203 2012 10 1419 00004</v>
          </cell>
          <cell r="B257">
            <v>1</v>
          </cell>
          <cell r="C257">
            <v>0.56653115241500895</v>
          </cell>
          <cell r="E257">
            <v>0.43346884758499099</v>
          </cell>
          <cell r="F257">
            <v>0</v>
          </cell>
          <cell r="H257">
            <v>1</v>
          </cell>
        </row>
        <row r="258">
          <cell r="A258" t="str">
            <v>504 2016 10 1212 00004</v>
          </cell>
          <cell r="B258">
            <v>1</v>
          </cell>
          <cell r="C258">
            <v>0.25</v>
          </cell>
          <cell r="E258">
            <v>0.75</v>
          </cell>
          <cell r="F258">
            <v>0</v>
          </cell>
          <cell r="H258">
            <v>1</v>
          </cell>
        </row>
        <row r="259">
          <cell r="A259" t="str">
            <v>204 2016 10 1411 00010!</v>
          </cell>
          <cell r="B259">
            <v>1</v>
          </cell>
          <cell r="C259">
            <v>0.28409090909090912</v>
          </cell>
          <cell r="E259">
            <v>0.71590909090909094</v>
          </cell>
          <cell r="F259">
            <v>0</v>
          </cell>
          <cell r="H259">
            <v>1</v>
          </cell>
        </row>
        <row r="260">
          <cell r="A260" t="str">
            <v>204 2016 10 1411 00010!!</v>
          </cell>
          <cell r="B260">
            <v>1</v>
          </cell>
          <cell r="C260">
            <v>3.6363636363636364E-3</v>
          </cell>
          <cell r="E260">
            <v>9.2727272727272728E-3</v>
          </cell>
          <cell r="F260">
            <v>0.98709090909090913</v>
          </cell>
          <cell r="H260">
            <v>1</v>
          </cell>
        </row>
        <row r="261">
          <cell r="A261" t="str">
            <v>204 2016 10 1411 00012</v>
          </cell>
          <cell r="B261">
            <v>1</v>
          </cell>
          <cell r="C261">
            <v>4.5298348512809922E-2</v>
          </cell>
          <cell r="E261">
            <v>0.31708843958966942</v>
          </cell>
          <cell r="F261">
            <v>0.63761321189752063</v>
          </cell>
          <cell r="H261">
            <v>1</v>
          </cell>
        </row>
        <row r="262">
          <cell r="A262" t="str">
            <v>204 2016 10 1411 00013</v>
          </cell>
          <cell r="B262">
            <v>1</v>
          </cell>
          <cell r="C262">
            <v>3.3475671890210508E-2</v>
          </cell>
          <cell r="E262">
            <v>0.23432970323147356</v>
          </cell>
          <cell r="F262">
            <v>0.73219462487831588</v>
          </cell>
          <cell r="H262">
            <v>1</v>
          </cell>
        </row>
        <row r="263">
          <cell r="A263" t="str">
            <v>204 2016 10 1411 00014</v>
          </cell>
          <cell r="B263">
            <v>1</v>
          </cell>
          <cell r="C263">
            <v>0.25474352829161245</v>
          </cell>
          <cell r="E263">
            <v>0.74525647170838749</v>
          </cell>
          <cell r="F263">
            <v>0</v>
          </cell>
          <cell r="H263">
            <v>1</v>
          </cell>
        </row>
        <row r="264">
          <cell r="A264" t="str">
            <v>204 2016 10 1419 00002</v>
          </cell>
          <cell r="B264">
            <v>1</v>
          </cell>
          <cell r="C264">
            <v>0.25474352829161245</v>
          </cell>
          <cell r="E264">
            <v>0.74525647170838749</v>
          </cell>
          <cell r="F264">
            <v>0</v>
          </cell>
          <cell r="H264">
            <v>1</v>
          </cell>
        </row>
        <row r="265">
          <cell r="A265" t="str">
            <v>205 2016 10 1411 00022</v>
          </cell>
          <cell r="B265">
            <v>1</v>
          </cell>
          <cell r="C265">
            <v>0.27133384779620107</v>
          </cell>
          <cell r="E265">
            <v>0.72866615220379893</v>
          </cell>
          <cell r="F265">
            <v>0</v>
          </cell>
          <cell r="H265">
            <v>1</v>
          </cell>
        </row>
        <row r="266">
          <cell r="A266" t="str">
            <v>205 2016 10 1429 00013</v>
          </cell>
          <cell r="B266">
            <v>1</v>
          </cell>
          <cell r="C266">
            <v>0.22640149316312771</v>
          </cell>
          <cell r="E266">
            <v>0.77359850683687226</v>
          </cell>
          <cell r="F266">
            <v>0</v>
          </cell>
          <cell r="H266">
            <v>1</v>
          </cell>
        </row>
        <row r="267">
          <cell r="A267" t="str">
            <v>206 2016 10 1421 00001</v>
          </cell>
          <cell r="B267">
            <v>1</v>
          </cell>
          <cell r="C267">
            <v>0.5</v>
          </cell>
          <cell r="E267">
            <v>0.5</v>
          </cell>
          <cell r="F267">
            <v>0</v>
          </cell>
          <cell r="H267">
            <v>1</v>
          </cell>
        </row>
        <row r="268">
          <cell r="A268" t="str">
            <v>207 2016 10 1421 00001</v>
          </cell>
          <cell r="B268">
            <v>1</v>
          </cell>
          <cell r="C268">
            <v>0.15625</v>
          </cell>
          <cell r="E268">
            <v>0.84375</v>
          </cell>
          <cell r="F268">
            <v>0</v>
          </cell>
          <cell r="H268">
            <v>1</v>
          </cell>
        </row>
        <row r="269">
          <cell r="A269" t="str">
            <v>401 2016 10 1411 00014</v>
          </cell>
          <cell r="B269">
            <v>1</v>
          </cell>
          <cell r="C269">
            <v>0.3125</v>
          </cell>
          <cell r="E269">
            <v>0.6875</v>
          </cell>
          <cell r="F269">
            <v>0</v>
          </cell>
          <cell r="H269">
            <v>1</v>
          </cell>
        </row>
        <row r="270">
          <cell r="A270" t="str">
            <v>201.2012.10.1429.00017</v>
          </cell>
          <cell r="B270">
            <v>1</v>
          </cell>
          <cell r="C270">
            <v>0.83333333333333337</v>
          </cell>
          <cell r="E270">
            <v>0.16666666666666666</v>
          </cell>
          <cell r="F270">
            <v>0</v>
          </cell>
          <cell r="H270">
            <v>1</v>
          </cell>
        </row>
        <row r="271">
          <cell r="A271" t="str">
            <v>203.2016.10.1411.00011</v>
          </cell>
          <cell r="B271">
            <v>1</v>
          </cell>
          <cell r="C271">
            <v>0.32249344744384856</v>
          </cell>
          <cell r="E271">
            <v>0.67750655255615144</v>
          </cell>
          <cell r="F271">
            <v>0</v>
          </cell>
          <cell r="H271">
            <v>1</v>
          </cell>
        </row>
        <row r="272">
          <cell r="A272" t="str">
            <v>203.2013.10.1411.00013</v>
          </cell>
          <cell r="B272">
            <v>1</v>
          </cell>
          <cell r="C272">
            <v>0.33667766480371691</v>
          </cell>
          <cell r="E272">
            <v>0.66332233519628303</v>
          </cell>
          <cell r="F272">
            <v>0</v>
          </cell>
          <cell r="H272">
            <v>1</v>
          </cell>
        </row>
        <row r="273">
          <cell r="A273" t="str">
            <v>205.2016.10.1429.00014</v>
          </cell>
          <cell r="B273">
            <v>1</v>
          </cell>
          <cell r="C273">
            <v>0.67835526698310433</v>
          </cell>
          <cell r="E273">
            <v>0.32164473301689561</v>
          </cell>
          <cell r="F273">
            <v>0</v>
          </cell>
          <cell r="H273">
            <v>1</v>
          </cell>
        </row>
        <row r="274">
          <cell r="A274" t="str">
            <v>206.2016.10.1429.00003</v>
          </cell>
          <cell r="B274">
            <v>1</v>
          </cell>
          <cell r="C274">
            <v>0.17857142857142858</v>
          </cell>
          <cell r="E274">
            <v>0.8214285714285714</v>
          </cell>
          <cell r="F274">
            <v>0</v>
          </cell>
          <cell r="H274">
            <v>1</v>
          </cell>
        </row>
        <row r="275">
          <cell r="A275" t="str">
            <v>211.2015.10.1411.00009</v>
          </cell>
          <cell r="B275">
            <v>1</v>
          </cell>
          <cell r="C275">
            <v>0.2958977680312998</v>
          </cell>
          <cell r="E275">
            <v>0.70410223196870014</v>
          </cell>
          <cell r="F275">
            <v>0</v>
          </cell>
          <cell r="H275">
            <v>1</v>
          </cell>
        </row>
        <row r="276">
          <cell r="A276" t="str">
            <v>301.2016.10.1411.00007</v>
          </cell>
          <cell r="B276">
            <v>1</v>
          </cell>
          <cell r="C276">
            <v>2.2559125211266209E-2</v>
          </cell>
          <cell r="E276">
            <v>0.15791387647886346</v>
          </cell>
          <cell r="F276">
            <v>0.8195269983098703</v>
          </cell>
          <cell r="H276">
            <v>1</v>
          </cell>
        </row>
        <row r="277">
          <cell r="A277" t="str">
            <v>205.2016.10.1411.00023</v>
          </cell>
          <cell r="B277">
            <v>1</v>
          </cell>
          <cell r="C277">
            <v>0.25087807325639738</v>
          </cell>
          <cell r="E277">
            <v>0.74912192674360256</v>
          </cell>
          <cell r="F277">
            <v>0</v>
          </cell>
          <cell r="H277">
            <v>1</v>
          </cell>
        </row>
        <row r="278">
          <cell r="A278" t="str">
            <v>401.2016.10.1411.00016</v>
          </cell>
          <cell r="B278">
            <v>1</v>
          </cell>
          <cell r="C278">
            <v>0.625</v>
          </cell>
          <cell r="E278">
            <v>0.375</v>
          </cell>
          <cell r="F278">
            <v>0</v>
          </cell>
          <cell r="H278">
            <v>1</v>
          </cell>
        </row>
        <row r="279">
          <cell r="A279" t="str">
            <v>204.2016.10.1419.00003</v>
          </cell>
          <cell r="B279">
            <v>1</v>
          </cell>
          <cell r="C279">
            <v>0.11436371687569305</v>
          </cell>
          <cell r="E279">
            <v>0.4574548675027722</v>
          </cell>
          <cell r="F279">
            <v>0.42818141562153478</v>
          </cell>
          <cell r="H279">
            <v>1</v>
          </cell>
        </row>
        <row r="280">
          <cell r="A280" t="str">
            <v>205.2016.10.1411.00025</v>
          </cell>
          <cell r="B280">
            <v>1</v>
          </cell>
          <cell r="C280">
            <v>0.28843446999589267</v>
          </cell>
          <cell r="E280">
            <v>0.71156553000410727</v>
          </cell>
          <cell r="F280">
            <v>0</v>
          </cell>
          <cell r="H280">
            <v>1</v>
          </cell>
        </row>
        <row r="281">
          <cell r="A281" t="str">
            <v>205.2016.10.1429.00018</v>
          </cell>
          <cell r="B281">
            <v>1</v>
          </cell>
          <cell r="C281">
            <v>0.51810765531002323</v>
          </cell>
          <cell r="E281">
            <v>0.48189234468997683</v>
          </cell>
          <cell r="F281">
            <v>0</v>
          </cell>
          <cell r="H281">
            <v>1</v>
          </cell>
        </row>
        <row r="282">
          <cell r="A282" t="str">
            <v>205.2016.10.1429.00019</v>
          </cell>
          <cell r="B282">
            <v>1</v>
          </cell>
          <cell r="C282">
            <v>0.22811571854170185</v>
          </cell>
          <cell r="E282">
            <v>0.77188428145829813</v>
          </cell>
          <cell r="F282">
            <v>0</v>
          </cell>
          <cell r="H282">
            <v>1</v>
          </cell>
        </row>
        <row r="283">
          <cell r="A283" t="str">
            <v>208.2016.10.1411.00007</v>
          </cell>
          <cell r="B283">
            <v>1</v>
          </cell>
          <cell r="C283">
            <v>0.15154821658058729</v>
          </cell>
          <cell r="E283">
            <v>0.84845178341941274</v>
          </cell>
          <cell r="F283">
            <v>0</v>
          </cell>
          <cell r="H283">
            <v>1</v>
          </cell>
        </row>
        <row r="284">
          <cell r="A284" t="str">
            <v>201.2016.10.1429.00015</v>
          </cell>
          <cell r="B284">
            <v>1</v>
          </cell>
          <cell r="C284">
            <v>0.5</v>
          </cell>
          <cell r="E284">
            <v>0.5</v>
          </cell>
          <cell r="F284">
            <v>0</v>
          </cell>
          <cell r="H284">
            <v>1</v>
          </cell>
        </row>
        <row r="285">
          <cell r="A285" t="str">
            <v>211.2016.10.1411.00008</v>
          </cell>
          <cell r="B285">
            <v>1</v>
          </cell>
          <cell r="C285">
            <v>0.10163775004919268</v>
          </cell>
          <cell r="E285">
            <v>0.71146425034434868</v>
          </cell>
          <cell r="F285">
            <v>0.18689799960645864</v>
          </cell>
          <cell r="H285">
            <v>1</v>
          </cell>
        </row>
        <row r="286">
          <cell r="A286" t="str">
            <v>211.2014.10.1411.00001</v>
          </cell>
          <cell r="B286">
            <v>1</v>
          </cell>
          <cell r="C286">
            <v>0.31153307920541617</v>
          </cell>
          <cell r="E286">
            <v>0.68846692079458383</v>
          </cell>
          <cell r="F286">
            <v>0</v>
          </cell>
          <cell r="H286">
            <v>1</v>
          </cell>
        </row>
        <row r="287">
          <cell r="A287" t="str">
            <v>208.2016.10.1411.00008</v>
          </cell>
          <cell r="B287">
            <v>1</v>
          </cell>
          <cell r="C287">
            <v>0.15154821658058729</v>
          </cell>
          <cell r="E287">
            <v>0.84845178341941274</v>
          </cell>
          <cell r="F287">
            <v>0</v>
          </cell>
          <cell r="H287">
            <v>1</v>
          </cell>
        </row>
        <row r="288">
          <cell r="A288" t="str">
            <v>204 2016 10 1411 0015</v>
          </cell>
          <cell r="B288">
            <v>1</v>
          </cell>
          <cell r="C288">
            <v>2.2754205432247987E-2</v>
          </cell>
          <cell r="E288">
            <v>0.15927943802573591</v>
          </cell>
          <cell r="F288">
            <v>0.8179663565420161</v>
          </cell>
          <cell r="H288">
            <v>1</v>
          </cell>
        </row>
        <row r="289">
          <cell r="A289" t="str">
            <v>201.2017.10.1411.00002</v>
          </cell>
          <cell r="B289">
            <v>1</v>
          </cell>
          <cell r="C289">
            <v>0.5</v>
          </cell>
          <cell r="E289">
            <v>0.5</v>
          </cell>
          <cell r="F289">
            <v>0</v>
          </cell>
          <cell r="H289">
            <v>1</v>
          </cell>
        </row>
        <row r="290">
          <cell r="A290" t="str">
            <v>201.2017.10.1411.00005</v>
          </cell>
          <cell r="B290">
            <v>1</v>
          </cell>
          <cell r="C290">
            <v>0.5</v>
          </cell>
          <cell r="E290">
            <v>0.5</v>
          </cell>
          <cell r="F290">
            <v>0</v>
          </cell>
          <cell r="H290">
            <v>1</v>
          </cell>
        </row>
        <row r="291">
          <cell r="A291" t="str">
            <v>201.2017.10.1419.00002</v>
          </cell>
          <cell r="B291">
            <v>1</v>
          </cell>
          <cell r="C291">
            <v>0.85219670745280107</v>
          </cell>
          <cell r="E291">
            <v>0.14780329254719893</v>
          </cell>
          <cell r="F291">
            <v>0</v>
          </cell>
          <cell r="H291">
            <v>1</v>
          </cell>
        </row>
        <row r="292">
          <cell r="A292" t="str">
            <v>201.2017.10.1429.00003</v>
          </cell>
          <cell r="B292">
            <v>1</v>
          </cell>
          <cell r="C292">
            <v>0.75</v>
          </cell>
          <cell r="E292">
            <v>0.25</v>
          </cell>
          <cell r="F292">
            <v>0</v>
          </cell>
          <cell r="H292">
            <v>1</v>
          </cell>
        </row>
        <row r="293">
          <cell r="A293" t="str">
            <v>201.2017.10.1411.00008</v>
          </cell>
          <cell r="B293">
            <v>1</v>
          </cell>
          <cell r="C293">
            <v>0.254902388953686</v>
          </cell>
          <cell r="E293">
            <v>0.745097611046314</v>
          </cell>
          <cell r="F293">
            <v>0</v>
          </cell>
          <cell r="H293">
            <v>1</v>
          </cell>
        </row>
        <row r="294">
          <cell r="A294" t="str">
            <v>201.2017.10.1411.00009</v>
          </cell>
          <cell r="B294">
            <v>1</v>
          </cell>
          <cell r="C294">
            <v>0.12904036124418997</v>
          </cell>
          <cell r="E294">
            <v>0.47095963875581004</v>
          </cell>
          <cell r="F294">
            <v>0.4</v>
          </cell>
          <cell r="H294">
            <v>1</v>
          </cell>
        </row>
        <row r="295">
          <cell r="A295" t="str">
            <v>201.2017.10.1411.00010</v>
          </cell>
          <cell r="B295">
            <v>1</v>
          </cell>
          <cell r="C295">
            <v>0.68505017030138982</v>
          </cell>
          <cell r="E295">
            <v>0.31494982969861024</v>
          </cell>
          <cell r="F295">
            <v>0</v>
          </cell>
          <cell r="H295">
            <v>1</v>
          </cell>
        </row>
        <row r="296">
          <cell r="A296" t="str">
            <v>203.2017.10.1419.00001</v>
          </cell>
          <cell r="B296">
            <v>1</v>
          </cell>
          <cell r="C296">
            <v>0.5</v>
          </cell>
          <cell r="E296">
            <v>0.5</v>
          </cell>
          <cell r="F296">
            <v>0</v>
          </cell>
          <cell r="H296">
            <v>1</v>
          </cell>
        </row>
        <row r="297">
          <cell r="A297" t="str">
            <v>203.2017.10.1411.00001</v>
          </cell>
          <cell r="B297">
            <v>1</v>
          </cell>
          <cell r="C297">
            <v>0.75</v>
          </cell>
          <cell r="E297">
            <v>0.25</v>
          </cell>
          <cell r="F297">
            <v>0</v>
          </cell>
          <cell r="H297">
            <v>1</v>
          </cell>
        </row>
        <row r="298">
          <cell r="A298" t="str">
            <v>203.2017.10.1312.00001</v>
          </cell>
          <cell r="B298">
            <v>1</v>
          </cell>
          <cell r="C298">
            <v>0.27172436280636925</v>
          </cell>
          <cell r="E298">
            <v>0.72827563719363075</v>
          </cell>
          <cell r="F298">
            <v>0</v>
          </cell>
          <cell r="H298">
            <v>1</v>
          </cell>
        </row>
        <row r="299">
          <cell r="A299" t="str">
            <v>203.2017.10.1411.00002</v>
          </cell>
          <cell r="B299">
            <v>1</v>
          </cell>
          <cell r="C299">
            <v>0.5</v>
          </cell>
          <cell r="E299">
            <v>0.5</v>
          </cell>
          <cell r="F299">
            <v>0</v>
          </cell>
          <cell r="H299">
            <v>1</v>
          </cell>
        </row>
        <row r="300">
          <cell r="A300" t="str">
            <v>205.2017.10.1429.00002</v>
          </cell>
          <cell r="B300">
            <v>1</v>
          </cell>
          <cell r="C300">
            <v>0.75</v>
          </cell>
          <cell r="E300">
            <v>0.25</v>
          </cell>
          <cell r="F300">
            <v>0</v>
          </cell>
          <cell r="H300">
            <v>1</v>
          </cell>
        </row>
        <row r="301">
          <cell r="A301" t="str">
            <v>205.2017.10.1411.00005</v>
          </cell>
          <cell r="B301">
            <v>1</v>
          </cell>
          <cell r="C301">
            <v>0.5</v>
          </cell>
          <cell r="E301">
            <v>0.5</v>
          </cell>
          <cell r="F301">
            <v>0</v>
          </cell>
          <cell r="H301">
            <v>1</v>
          </cell>
        </row>
        <row r="302">
          <cell r="A302" t="str">
            <v>205.2017.10.1411.00006</v>
          </cell>
          <cell r="B302">
            <v>1</v>
          </cell>
          <cell r="C302">
            <v>0.5</v>
          </cell>
          <cell r="E302">
            <v>0.5</v>
          </cell>
          <cell r="F302">
            <v>0</v>
          </cell>
          <cell r="H302">
            <v>1</v>
          </cell>
        </row>
        <row r="303">
          <cell r="A303" t="str">
            <v>205.2017.10.1429.00007</v>
          </cell>
          <cell r="B303">
            <v>1</v>
          </cell>
          <cell r="C303">
            <v>0.3</v>
          </cell>
          <cell r="E303">
            <v>0.7</v>
          </cell>
          <cell r="F303">
            <v>0</v>
          </cell>
          <cell r="H303">
            <v>1</v>
          </cell>
        </row>
        <row r="304">
          <cell r="A304" t="str">
            <v>207.2017.10.1411.00003</v>
          </cell>
          <cell r="B304">
            <v>1</v>
          </cell>
          <cell r="C304">
            <v>0.75</v>
          </cell>
          <cell r="E304">
            <v>0.25</v>
          </cell>
          <cell r="F304">
            <v>0</v>
          </cell>
          <cell r="H304">
            <v>1</v>
          </cell>
        </row>
        <row r="305">
          <cell r="A305" t="str">
            <v>211.2017.10.1411.00002</v>
          </cell>
          <cell r="B305">
            <v>1</v>
          </cell>
          <cell r="C305">
            <v>0.44726000000118193</v>
          </cell>
          <cell r="E305">
            <v>0.55273999999881807</v>
          </cell>
          <cell r="F305">
            <v>0</v>
          </cell>
          <cell r="H305">
            <v>1</v>
          </cell>
        </row>
        <row r="306">
          <cell r="A306" t="str">
            <v>211.2017.10.1429.00001</v>
          </cell>
          <cell r="B306">
            <v>1</v>
          </cell>
          <cell r="C306">
            <v>0.44726000000118193</v>
          </cell>
          <cell r="E306">
            <v>0.55273999999881807</v>
          </cell>
          <cell r="F306">
            <v>0</v>
          </cell>
          <cell r="H306">
            <v>1</v>
          </cell>
        </row>
        <row r="307">
          <cell r="A307" t="str">
            <v>301.2016.10.1411.00008</v>
          </cell>
          <cell r="B307">
            <v>1</v>
          </cell>
          <cell r="C307">
            <v>0.3</v>
          </cell>
          <cell r="E307">
            <v>0.7</v>
          </cell>
          <cell r="F307">
            <v>0</v>
          </cell>
          <cell r="H307">
            <v>1</v>
          </cell>
        </row>
        <row r="308">
          <cell r="A308" t="str">
            <v>301.2016.10.1411.00009</v>
          </cell>
          <cell r="B308">
            <v>1</v>
          </cell>
          <cell r="C308">
            <v>0.3</v>
          </cell>
          <cell r="E308">
            <v>0.7</v>
          </cell>
          <cell r="F308">
            <v>0</v>
          </cell>
          <cell r="H308">
            <v>1</v>
          </cell>
        </row>
        <row r="309">
          <cell r="A309" t="str">
            <v>301.2016.10.1429.00007</v>
          </cell>
          <cell r="B309">
            <v>1</v>
          </cell>
          <cell r="C309">
            <v>0.3</v>
          </cell>
          <cell r="E309">
            <v>0.7</v>
          </cell>
          <cell r="F309">
            <v>0</v>
          </cell>
          <cell r="H309">
            <v>1</v>
          </cell>
        </row>
        <row r="310">
          <cell r="A310" t="str">
            <v>301.2016.10.1429.00008</v>
          </cell>
          <cell r="B310">
            <v>1</v>
          </cell>
          <cell r="C310">
            <v>0.3</v>
          </cell>
          <cell r="E310">
            <v>0.7</v>
          </cell>
          <cell r="F310">
            <v>0</v>
          </cell>
          <cell r="H310">
            <v>1</v>
          </cell>
        </row>
        <row r="311">
          <cell r="A311" t="str">
            <v>302.2017.10.1429.00001</v>
          </cell>
          <cell r="B311">
            <v>1</v>
          </cell>
          <cell r="C311">
            <v>0.43007903992595758</v>
          </cell>
          <cell r="E311">
            <v>0.56992096007404236</v>
          </cell>
          <cell r="F311">
            <v>0</v>
          </cell>
          <cell r="H311">
            <v>1</v>
          </cell>
        </row>
        <row r="312">
          <cell r="A312" t="str">
            <v>302.2017.10.1411.00002</v>
          </cell>
          <cell r="B312">
            <v>1</v>
          </cell>
          <cell r="C312">
            <v>0.75</v>
          </cell>
          <cell r="E312">
            <v>0.25</v>
          </cell>
          <cell r="F312">
            <v>0</v>
          </cell>
          <cell r="H312">
            <v>1</v>
          </cell>
        </row>
        <row r="313">
          <cell r="A313" t="str">
            <v>302.2017.10.1411.00003</v>
          </cell>
          <cell r="B313">
            <v>1</v>
          </cell>
          <cell r="C313">
            <v>2.2472031309831782E-2</v>
          </cell>
          <cell r="E313">
            <v>0.16179862543078885</v>
          </cell>
          <cell r="F313">
            <v>0.8157293432593794</v>
          </cell>
          <cell r="H313">
            <v>1</v>
          </cell>
        </row>
        <row r="314">
          <cell r="A314" t="str">
            <v>401.2017.10.1411.00001</v>
          </cell>
          <cell r="B314">
            <v>1</v>
          </cell>
          <cell r="C314">
            <v>0.13497802557743599</v>
          </cell>
          <cell r="E314">
            <v>0.86502197442256401</v>
          </cell>
          <cell r="F314">
            <v>0</v>
          </cell>
          <cell r="H314">
            <v>1</v>
          </cell>
        </row>
        <row r="315">
          <cell r="A315" t="str">
            <v>401.2017.10.1411.00003</v>
          </cell>
          <cell r="B315">
            <v>1</v>
          </cell>
          <cell r="C315">
            <v>0.13569785335042522</v>
          </cell>
          <cell r="E315">
            <v>0.86430214664957483</v>
          </cell>
          <cell r="F315">
            <v>0</v>
          </cell>
          <cell r="H315">
            <v>1</v>
          </cell>
        </row>
        <row r="316">
          <cell r="A316" t="str">
            <v>401.2017.10.1411.00004</v>
          </cell>
          <cell r="B316">
            <v>1</v>
          </cell>
          <cell r="C316">
            <v>0.45691142497879933</v>
          </cell>
          <cell r="E316">
            <v>0.54308857502120067</v>
          </cell>
          <cell r="F316">
            <v>0</v>
          </cell>
          <cell r="H316">
            <v>1</v>
          </cell>
        </row>
        <row r="317">
          <cell r="A317" t="str">
            <v>401.2017.10.1419.00001</v>
          </cell>
          <cell r="B317">
            <v>1</v>
          </cell>
          <cell r="C317">
            <v>0.27414685498727959</v>
          </cell>
          <cell r="E317">
            <v>0.72585314501272047</v>
          </cell>
          <cell r="F317">
            <v>0</v>
          </cell>
          <cell r="H317">
            <v>1</v>
          </cell>
        </row>
        <row r="318">
          <cell r="A318" t="str">
            <v>502.2017.10.1417.00001</v>
          </cell>
          <cell r="B318">
            <v>1</v>
          </cell>
          <cell r="C318">
            <v>0.3</v>
          </cell>
          <cell r="E318">
            <v>0.7</v>
          </cell>
          <cell r="F318">
            <v>0</v>
          </cell>
          <cell r="H318">
            <v>1</v>
          </cell>
        </row>
        <row r="319">
          <cell r="A319" t="str">
            <v>505.2017.10.1411.00016</v>
          </cell>
          <cell r="B319">
            <v>1</v>
          </cell>
          <cell r="C319">
            <v>0.25</v>
          </cell>
          <cell r="E319">
            <v>0.75</v>
          </cell>
          <cell r="F319">
            <v>0</v>
          </cell>
          <cell r="H319">
            <v>1</v>
          </cell>
        </row>
        <row r="320">
          <cell r="A320" t="str">
            <v>205.2017.10.1429.00008</v>
          </cell>
          <cell r="B320">
            <v>1</v>
          </cell>
          <cell r="C320">
            <v>0.375</v>
          </cell>
          <cell r="E320">
            <v>0.625</v>
          </cell>
          <cell r="F320">
            <v>0</v>
          </cell>
          <cell r="H320">
            <v>1</v>
          </cell>
        </row>
        <row r="321">
          <cell r="A321" t="str">
            <v>211.2017.10.1411.00006</v>
          </cell>
          <cell r="B321">
            <v>1</v>
          </cell>
          <cell r="C321">
            <v>0.48497389223880116</v>
          </cell>
          <cell r="E321">
            <v>0.51502610776119884</v>
          </cell>
          <cell r="F321">
            <v>0</v>
          </cell>
          <cell r="H321">
            <v>1</v>
          </cell>
        </row>
        <row r="322">
          <cell r="A322" t="str">
            <v>301.2017.10.1411.00005</v>
          </cell>
          <cell r="B322">
            <v>1</v>
          </cell>
          <cell r="C322">
            <v>0.23342343477915808</v>
          </cell>
          <cell r="E322">
            <v>0.76657656522084194</v>
          </cell>
          <cell r="F322">
            <v>0</v>
          </cell>
          <cell r="H322">
            <v>1</v>
          </cell>
        </row>
        <row r="323">
          <cell r="A323" t="str">
            <v>401.2017.10.1411.00010</v>
          </cell>
          <cell r="B323">
            <v>1</v>
          </cell>
          <cell r="C323">
            <v>0.27149321266968324</v>
          </cell>
          <cell r="E323">
            <v>0.72850678733031671</v>
          </cell>
          <cell r="F323">
            <v>0</v>
          </cell>
          <cell r="H323">
            <v>1</v>
          </cell>
        </row>
        <row r="324">
          <cell r="A324" t="str">
            <v>401.2017.10.1419.00003</v>
          </cell>
          <cell r="B324">
            <v>1</v>
          </cell>
          <cell r="C324">
            <v>0.27149321266968324</v>
          </cell>
          <cell r="E324">
            <v>0.72850678733031671</v>
          </cell>
          <cell r="F324">
            <v>0</v>
          </cell>
          <cell r="H324">
            <v>1</v>
          </cell>
        </row>
        <row r="325">
          <cell r="A325" t="str">
            <v>201.2017.10.1411.00011</v>
          </cell>
          <cell r="B325">
            <v>1</v>
          </cell>
          <cell r="C325">
            <v>0.6</v>
          </cell>
          <cell r="E325">
            <v>0.4</v>
          </cell>
          <cell r="F325">
            <v>0</v>
          </cell>
          <cell r="H325">
            <v>1</v>
          </cell>
        </row>
        <row r="326">
          <cell r="A326" t="str">
            <v>201.2017.10.1411.00013</v>
          </cell>
          <cell r="B326">
            <v>1</v>
          </cell>
          <cell r="C326">
            <v>0.50871255027775708</v>
          </cell>
          <cell r="E326">
            <v>0.49128744972224297</v>
          </cell>
          <cell r="F326">
            <v>0</v>
          </cell>
          <cell r="H326">
            <v>1</v>
          </cell>
        </row>
        <row r="327">
          <cell r="A327" t="str">
            <v>201.2017.10.1419.00005</v>
          </cell>
          <cell r="B327">
            <v>1</v>
          </cell>
          <cell r="C327">
            <v>0.50871255027775708</v>
          </cell>
          <cell r="E327">
            <v>0.49128744972224297</v>
          </cell>
          <cell r="F327">
            <v>0</v>
          </cell>
          <cell r="H327">
            <v>1</v>
          </cell>
        </row>
        <row r="328">
          <cell r="A328" t="str">
            <v>204.2017.10.1411.00002</v>
          </cell>
          <cell r="B328">
            <v>1</v>
          </cell>
          <cell r="C328">
            <v>6.8392030413479979E-2</v>
          </cell>
          <cell r="E328">
            <v>0.41035218248087985</v>
          </cell>
          <cell r="F328">
            <v>0.52125578710564024</v>
          </cell>
          <cell r="H328">
            <v>1</v>
          </cell>
        </row>
        <row r="329">
          <cell r="A329" t="str">
            <v>210.2017.10.1429.00005</v>
          </cell>
          <cell r="B329">
            <v>1</v>
          </cell>
          <cell r="C329">
            <v>0.5</v>
          </cell>
          <cell r="E329">
            <v>0.5</v>
          </cell>
          <cell r="F329">
            <v>0</v>
          </cell>
          <cell r="H329">
            <v>1</v>
          </cell>
        </row>
        <row r="330">
          <cell r="A330" t="str">
            <v>401.2017.10.1411.00012</v>
          </cell>
          <cell r="B330">
            <v>1</v>
          </cell>
          <cell r="C330">
            <v>0.1875</v>
          </cell>
          <cell r="E330">
            <v>0.8125</v>
          </cell>
          <cell r="F330">
            <v>0</v>
          </cell>
          <cell r="H330">
            <v>1</v>
          </cell>
        </row>
        <row r="331">
          <cell r="A331" t="str">
            <v>201.2017.10.1411.00014</v>
          </cell>
          <cell r="B331">
            <v>1</v>
          </cell>
          <cell r="C331">
            <v>0.24811780664556962</v>
          </cell>
          <cell r="E331">
            <v>0.75188219335443041</v>
          </cell>
          <cell r="F331">
            <v>0</v>
          </cell>
          <cell r="H331">
            <v>1</v>
          </cell>
        </row>
        <row r="332">
          <cell r="A332" t="str">
            <v>201.2017.10.1411.00015</v>
          </cell>
          <cell r="B332">
            <v>1</v>
          </cell>
          <cell r="C332">
            <v>9.1441195538766951E-2</v>
          </cell>
          <cell r="E332">
            <v>0.5486471732326017</v>
          </cell>
          <cell r="F332">
            <v>0.35991163122863135</v>
          </cell>
          <cell r="H332">
            <v>1</v>
          </cell>
        </row>
        <row r="333">
          <cell r="A333" t="str">
            <v>201.2017.10.1411.00016</v>
          </cell>
          <cell r="B333">
            <v>1</v>
          </cell>
          <cell r="C333">
            <v>9.1441195538766951E-2</v>
          </cell>
          <cell r="E333">
            <v>0.5486471732326017</v>
          </cell>
          <cell r="F333">
            <v>0.35991163122863135</v>
          </cell>
          <cell r="H333">
            <v>1</v>
          </cell>
        </row>
        <row r="334">
          <cell r="A334" t="str">
            <v>203.2017.10.1411.00009</v>
          </cell>
          <cell r="B334">
            <v>1</v>
          </cell>
          <cell r="C334">
            <v>0.6</v>
          </cell>
          <cell r="E334">
            <v>0.4</v>
          </cell>
          <cell r="F334">
            <v>0</v>
          </cell>
          <cell r="H334">
            <v>1</v>
          </cell>
        </row>
        <row r="335">
          <cell r="A335" t="str">
            <v>204.2017.10.1411.00004</v>
          </cell>
          <cell r="B335">
            <v>1</v>
          </cell>
          <cell r="C335">
            <v>9.1441195538766951E-2</v>
          </cell>
          <cell r="E335">
            <v>0.40855880446123305</v>
          </cell>
          <cell r="F335">
            <v>0.5</v>
          </cell>
          <cell r="H335">
            <v>1</v>
          </cell>
        </row>
        <row r="336">
          <cell r="A336" t="str">
            <v>205.2017.10.1429.00011</v>
          </cell>
          <cell r="B336">
            <v>1</v>
          </cell>
          <cell r="C336">
            <v>0.21428571428571427</v>
          </cell>
          <cell r="E336">
            <v>0.7857142857142857</v>
          </cell>
          <cell r="F336">
            <v>0</v>
          </cell>
          <cell r="H336">
            <v>1</v>
          </cell>
        </row>
        <row r="337">
          <cell r="A337" t="str">
            <v>305.2017.10.1411.00019</v>
          </cell>
          <cell r="B337">
            <v>1</v>
          </cell>
          <cell r="C337">
            <v>0.1380775554013178</v>
          </cell>
          <cell r="E337">
            <v>0.86192244459868217</v>
          </cell>
          <cell r="F337">
            <v>0</v>
          </cell>
          <cell r="H337">
            <v>1</v>
          </cell>
        </row>
        <row r="338">
          <cell r="A338" t="str">
            <v>204.2017.10.1411.00006!!</v>
          </cell>
          <cell r="B338">
            <v>1</v>
          </cell>
          <cell r="C338">
            <v>0.28409090909090912</v>
          </cell>
          <cell r="E338">
            <v>0.71590909090909094</v>
          </cell>
          <cell r="F338">
            <v>0</v>
          </cell>
          <cell r="H338">
            <v>1</v>
          </cell>
        </row>
        <row r="339">
          <cell r="A339" t="str">
            <v>204.2017.10.1411.00006!</v>
          </cell>
          <cell r="B339">
            <v>1</v>
          </cell>
          <cell r="C339">
            <v>9.0909090909090905E-3</v>
          </cell>
          <cell r="E339">
            <v>2.3181818181818182E-2</v>
          </cell>
          <cell r="F339">
            <v>0.96772727272727277</v>
          </cell>
          <cell r="H339">
            <v>1</v>
          </cell>
        </row>
        <row r="340">
          <cell r="A340" t="str">
            <v>204.2017.10.1411.00008</v>
          </cell>
          <cell r="B340">
            <v>1</v>
          </cell>
          <cell r="C340">
            <v>5.5273608970538242E-2</v>
          </cell>
          <cell r="E340">
            <v>0.33164165382322947</v>
          </cell>
          <cell r="F340">
            <v>0.61308473720623224</v>
          </cell>
          <cell r="H340">
            <v>1</v>
          </cell>
        </row>
        <row r="341">
          <cell r="A341" t="str">
            <v>206.2017.10.1429.00001</v>
          </cell>
          <cell r="B341">
            <v>1</v>
          </cell>
          <cell r="C341">
            <v>0.21428571428571427</v>
          </cell>
          <cell r="E341">
            <v>0.7857142857142857</v>
          </cell>
          <cell r="F341">
            <v>0</v>
          </cell>
          <cell r="H341">
            <v>1</v>
          </cell>
        </row>
        <row r="342">
          <cell r="A342" t="str">
            <v>207.2017.10.1421.00001</v>
          </cell>
          <cell r="B342">
            <v>1</v>
          </cell>
          <cell r="C342">
            <v>0.1875</v>
          </cell>
          <cell r="E342">
            <v>0.8125</v>
          </cell>
          <cell r="F342">
            <v>0</v>
          </cell>
          <cell r="H342">
            <v>1</v>
          </cell>
        </row>
        <row r="343">
          <cell r="A343" t="str">
            <v>210.2017.10.1411.00003</v>
          </cell>
          <cell r="B343">
            <v>1</v>
          </cell>
          <cell r="C343">
            <v>0.83693114755022102</v>
          </cell>
          <cell r="E343">
            <v>0.16306885244977892</v>
          </cell>
          <cell r="F343">
            <v>0</v>
          </cell>
          <cell r="H343">
            <v>1</v>
          </cell>
        </row>
        <row r="344">
          <cell r="A344" t="str">
            <v>210.2017.10.1411.00004</v>
          </cell>
          <cell r="B344">
            <v>1</v>
          </cell>
          <cell r="C344">
            <v>0.6</v>
          </cell>
          <cell r="E344">
            <v>0.4</v>
          </cell>
          <cell r="F344">
            <v>0</v>
          </cell>
          <cell r="H344">
            <v>1</v>
          </cell>
        </row>
        <row r="345">
          <cell r="A345" t="str">
            <v>210.2017.10.1429.00007</v>
          </cell>
          <cell r="B345">
            <v>1</v>
          </cell>
          <cell r="C345">
            <v>0.5</v>
          </cell>
          <cell r="E345">
            <v>0.5</v>
          </cell>
          <cell r="F345">
            <v>0</v>
          </cell>
          <cell r="H345">
            <v>1</v>
          </cell>
        </row>
        <row r="346">
          <cell r="A346" t="str">
            <v>203.2012.10.1419.00004</v>
          </cell>
          <cell r="B346">
            <v>1</v>
          </cell>
          <cell r="C346">
            <v>0.68181818181818177</v>
          </cell>
          <cell r="E346">
            <v>0.31818181818181818</v>
          </cell>
          <cell r="F346">
            <v>0</v>
          </cell>
          <cell r="H346">
            <v>1</v>
          </cell>
        </row>
        <row r="347">
          <cell r="A347" t="str">
            <v>204.2017.10.1419.00002</v>
          </cell>
          <cell r="B347">
            <v>1</v>
          </cell>
          <cell r="C347">
            <v>0.29622795175355099</v>
          </cell>
          <cell r="E347">
            <v>0.70377204824644901</v>
          </cell>
          <cell r="F347">
            <v>0</v>
          </cell>
          <cell r="H347">
            <v>1</v>
          </cell>
        </row>
        <row r="348">
          <cell r="A348" t="str">
            <v>205.2017.10.1429.00012</v>
          </cell>
          <cell r="B348">
            <v>1</v>
          </cell>
          <cell r="C348">
            <v>0.28312410462001913</v>
          </cell>
          <cell r="E348">
            <v>0.71687589537998087</v>
          </cell>
          <cell r="F348">
            <v>0</v>
          </cell>
          <cell r="H348">
            <v>1</v>
          </cell>
        </row>
        <row r="349">
          <cell r="A349" t="str">
            <v>204.2017.10.1411.00009</v>
          </cell>
          <cell r="B349">
            <v>1</v>
          </cell>
          <cell r="C349">
            <v>0.29622795175355099</v>
          </cell>
          <cell r="E349">
            <v>0.70377204824644901</v>
          </cell>
          <cell r="F349">
            <v>0</v>
          </cell>
          <cell r="H349">
            <v>1</v>
          </cell>
        </row>
        <row r="350">
          <cell r="A350" t="str">
            <v>302.2017.10.1411.00004</v>
          </cell>
          <cell r="B350">
            <v>1</v>
          </cell>
          <cell r="C350">
            <v>0.75</v>
          </cell>
          <cell r="E350">
            <v>0.25</v>
          </cell>
          <cell r="F350">
            <v>0</v>
          </cell>
          <cell r="H350">
            <v>1</v>
          </cell>
        </row>
        <row r="351">
          <cell r="A351" t="str">
            <v>201.2017.10.1429.00012</v>
          </cell>
          <cell r="B351">
            <v>1</v>
          </cell>
          <cell r="C351">
            <v>0.6</v>
          </cell>
          <cell r="E351">
            <v>0.4</v>
          </cell>
          <cell r="F351">
            <v>0</v>
          </cell>
          <cell r="H351">
            <v>1</v>
          </cell>
        </row>
        <row r="352">
          <cell r="A352" t="str">
            <v>201.2017.10.1226.00011</v>
          </cell>
          <cell r="B352">
            <v>1</v>
          </cell>
          <cell r="C352">
            <v>0.75</v>
          </cell>
          <cell r="E352">
            <v>0.25</v>
          </cell>
          <cell r="F352">
            <v>0</v>
          </cell>
          <cell r="H352">
            <v>1</v>
          </cell>
        </row>
        <row r="353">
          <cell r="A353" t="str">
            <v>206.2017.10.1226.00021</v>
          </cell>
          <cell r="B353">
            <v>1</v>
          </cell>
          <cell r="C353">
            <v>0.5</v>
          </cell>
          <cell r="E353">
            <v>0.5</v>
          </cell>
          <cell r="F353">
            <v>0</v>
          </cell>
          <cell r="H353">
            <v>1</v>
          </cell>
        </row>
        <row r="354">
          <cell r="A354" t="str">
            <v>201.2017.10.1419.00006</v>
          </cell>
          <cell r="B354">
            <v>1</v>
          </cell>
          <cell r="C354">
            <v>0.61867456810328403</v>
          </cell>
          <cell r="E354">
            <v>0.38132543189671597</v>
          </cell>
          <cell r="F354">
            <v>0</v>
          </cell>
          <cell r="H354">
            <v>1</v>
          </cell>
        </row>
        <row r="355">
          <cell r="A355" t="str">
            <v>201.2017.10.1411.00020</v>
          </cell>
          <cell r="B355">
            <v>1</v>
          </cell>
          <cell r="C355">
            <v>0.1363001948184118</v>
          </cell>
          <cell r="E355">
            <v>0.86369980518158818</v>
          </cell>
          <cell r="F355">
            <v>0</v>
          </cell>
          <cell r="H355">
            <v>1</v>
          </cell>
        </row>
        <row r="356">
          <cell r="A356" t="str">
            <v>204.2017.10.1419.00003</v>
          </cell>
          <cell r="B356">
            <v>1</v>
          </cell>
          <cell r="C356">
            <v>0.13333629636214139</v>
          </cell>
          <cell r="E356">
            <v>0.44445432120713796</v>
          </cell>
          <cell r="F356">
            <v>0.4222093824307207</v>
          </cell>
          <cell r="H356">
            <v>1</v>
          </cell>
        </row>
        <row r="357">
          <cell r="A357" t="str">
            <v>204.2017.10.1411.00011</v>
          </cell>
          <cell r="B357">
            <v>1</v>
          </cell>
          <cell r="C357">
            <v>0.27316831538921021</v>
          </cell>
          <cell r="E357">
            <v>0.72683168461078973</v>
          </cell>
          <cell r="F357">
            <v>0</v>
          </cell>
          <cell r="H357">
            <v>1</v>
          </cell>
        </row>
        <row r="358">
          <cell r="A358" t="str">
            <v>205.2017.10.1429.00014</v>
          </cell>
          <cell r="B358">
            <v>1</v>
          </cell>
          <cell r="C358">
            <v>0.3</v>
          </cell>
          <cell r="E358">
            <v>0.7</v>
          </cell>
          <cell r="F358">
            <v>0</v>
          </cell>
          <cell r="H358">
            <v>1</v>
          </cell>
        </row>
        <row r="359">
          <cell r="A359" t="str">
            <v>211.2017.10.1411.00008</v>
          </cell>
          <cell r="B359">
            <v>1</v>
          </cell>
          <cell r="C359">
            <v>0.11279891713039555</v>
          </cell>
          <cell r="E359">
            <v>0.88720108286960442</v>
          </cell>
          <cell r="F359">
            <v>0</v>
          </cell>
          <cell r="H359">
            <v>1</v>
          </cell>
        </row>
        <row r="360">
          <cell r="A360" t="str">
            <v>204.2017.10.1411.00013</v>
          </cell>
          <cell r="B360">
            <v>1</v>
          </cell>
          <cell r="C360">
            <v>2.5996714015348459E-2</v>
          </cell>
          <cell r="E360">
            <v>0.15598028409209075</v>
          </cell>
          <cell r="F360">
            <v>0.81802300189256083</v>
          </cell>
          <cell r="H360">
            <v>1</v>
          </cell>
        </row>
        <row r="361">
          <cell r="A361" t="str">
            <v>205.2017.10.1411.00020</v>
          </cell>
          <cell r="B361">
            <v>1</v>
          </cell>
          <cell r="C361">
            <v>0.76619974198989893</v>
          </cell>
          <cell r="E361">
            <v>0.23380025801010113</v>
          </cell>
          <cell r="F361">
            <v>0</v>
          </cell>
          <cell r="H361">
            <v>1</v>
          </cell>
        </row>
        <row r="362">
          <cell r="A362" t="str">
            <v>206.2017.10.1421.00001</v>
          </cell>
          <cell r="B362">
            <v>1</v>
          </cell>
          <cell r="C362">
            <v>0.6</v>
          </cell>
          <cell r="E362">
            <v>0.4</v>
          </cell>
          <cell r="F362">
            <v>0</v>
          </cell>
          <cell r="H362">
            <v>1</v>
          </cell>
        </row>
        <row r="363">
          <cell r="A363" t="str">
            <v>206 2017 10 1226 00023</v>
          </cell>
          <cell r="B363">
            <v>1</v>
          </cell>
          <cell r="C363">
            <v>0.375</v>
          </cell>
          <cell r="E363">
            <v>0.625</v>
          </cell>
          <cell r="F363">
            <v>0</v>
          </cell>
          <cell r="H363">
            <v>1</v>
          </cell>
        </row>
        <row r="364">
          <cell r="A364" t="str">
            <v>D0201.2018.10.1411.00004</v>
          </cell>
          <cell r="B364">
            <v>1</v>
          </cell>
          <cell r="C364">
            <v>5.5919738027211292E-2</v>
          </cell>
          <cell r="E364">
            <v>0.33551842816326777</v>
          </cell>
          <cell r="F364">
            <v>0.608561833809521</v>
          </cell>
          <cell r="H364">
            <v>1</v>
          </cell>
        </row>
        <row r="365">
          <cell r="A365" t="str">
            <v>D0201.2018.10.1419.00001</v>
          </cell>
          <cell r="B365">
            <v>1</v>
          </cell>
          <cell r="C365">
            <v>0.71165715774094396</v>
          </cell>
          <cell r="E365">
            <v>0.28834284225905604</v>
          </cell>
          <cell r="F365">
            <v>0</v>
          </cell>
          <cell r="H365">
            <v>1</v>
          </cell>
        </row>
        <row r="366">
          <cell r="A366" t="str">
            <v>D0201.2018.10.1429.00003</v>
          </cell>
          <cell r="B366">
            <v>1</v>
          </cell>
          <cell r="C366">
            <v>0.6</v>
          </cell>
          <cell r="E366">
            <v>0.4</v>
          </cell>
          <cell r="F366">
            <v>0</v>
          </cell>
          <cell r="H366">
            <v>1</v>
          </cell>
        </row>
        <row r="367">
          <cell r="A367" t="str">
            <v>D0201.2018.10.1429.00005</v>
          </cell>
          <cell r="B367">
            <v>1</v>
          </cell>
          <cell r="C367">
            <v>0.75</v>
          </cell>
          <cell r="E367">
            <v>0.25</v>
          </cell>
          <cell r="F367">
            <v>0</v>
          </cell>
          <cell r="H367">
            <v>1</v>
          </cell>
        </row>
        <row r="368">
          <cell r="A368" t="str">
            <v>D0203.2018.10.1411.00003</v>
          </cell>
          <cell r="B368">
            <v>1</v>
          </cell>
          <cell r="C368">
            <v>0.75</v>
          </cell>
          <cell r="E368">
            <v>0.25</v>
          </cell>
          <cell r="F368">
            <v>0</v>
          </cell>
          <cell r="H368">
            <v>1</v>
          </cell>
        </row>
        <row r="369">
          <cell r="A369" t="str">
            <v>D0203.2018.10.1411.00004</v>
          </cell>
          <cell r="B369">
            <v>1</v>
          </cell>
          <cell r="C369">
            <v>0.5</v>
          </cell>
          <cell r="E369">
            <v>0.5</v>
          </cell>
          <cell r="F369">
            <v>0</v>
          </cell>
          <cell r="H369">
            <v>1</v>
          </cell>
        </row>
        <row r="370">
          <cell r="A370" t="str">
            <v>D0203.2018.10.1419.00001</v>
          </cell>
          <cell r="B370">
            <v>1</v>
          </cell>
          <cell r="C370">
            <v>0.5</v>
          </cell>
          <cell r="E370">
            <v>0.5</v>
          </cell>
          <cell r="F370">
            <v>0</v>
          </cell>
          <cell r="H370">
            <v>1</v>
          </cell>
        </row>
        <row r="371">
          <cell r="A371" t="str">
            <v>D0604.2018.10.1411.00001</v>
          </cell>
          <cell r="B371">
            <v>1</v>
          </cell>
          <cell r="C371">
            <v>0.17404395480078494</v>
          </cell>
          <cell r="E371">
            <v>0.82595604519921506</v>
          </cell>
          <cell r="F371">
            <v>0</v>
          </cell>
          <cell r="H371">
            <v>1</v>
          </cell>
        </row>
        <row r="372">
          <cell r="A372" t="str">
            <v>D0604.2018.10.1411.00003</v>
          </cell>
          <cell r="B372">
            <v>1</v>
          </cell>
          <cell r="C372">
            <v>0.2629263350522873</v>
          </cell>
          <cell r="E372">
            <v>0.73707366494771276</v>
          </cell>
          <cell r="F372">
            <v>0</v>
          </cell>
          <cell r="H372">
            <v>1</v>
          </cell>
        </row>
        <row r="373">
          <cell r="A373" t="str">
            <v>D0604.2018.10.1411.00005</v>
          </cell>
          <cell r="B373">
            <v>1</v>
          </cell>
          <cell r="C373">
            <v>4.344539348492879E-2</v>
          </cell>
          <cell r="E373">
            <v>0.26067236090957274</v>
          </cell>
          <cell r="F373">
            <v>0.6958822456054985</v>
          </cell>
          <cell r="H373">
            <v>1</v>
          </cell>
        </row>
        <row r="374">
          <cell r="A374" t="str">
            <v>D0605.2018.10.1411.00008</v>
          </cell>
          <cell r="B374">
            <v>1</v>
          </cell>
          <cell r="C374">
            <v>0.3</v>
          </cell>
          <cell r="E374">
            <v>0.7</v>
          </cell>
          <cell r="F374">
            <v>0</v>
          </cell>
          <cell r="H374">
            <v>1</v>
          </cell>
        </row>
        <row r="375">
          <cell r="A375" t="str">
            <v>D0605.2018.10.1411.00011</v>
          </cell>
          <cell r="B375">
            <v>1</v>
          </cell>
          <cell r="C375">
            <v>0.55128750000179305</v>
          </cell>
          <cell r="E375">
            <v>0.44871249999820695</v>
          </cell>
          <cell r="F375">
            <v>0</v>
          </cell>
          <cell r="H375">
            <v>1</v>
          </cell>
        </row>
        <row r="376">
          <cell r="A376" t="str">
            <v>D0605.2018.10.1429.00003</v>
          </cell>
          <cell r="B376">
            <v>1</v>
          </cell>
          <cell r="C376">
            <v>0.75</v>
          </cell>
          <cell r="E376">
            <v>0.25</v>
          </cell>
          <cell r="F376">
            <v>0</v>
          </cell>
          <cell r="H376">
            <v>1</v>
          </cell>
        </row>
        <row r="377">
          <cell r="A377" t="str">
            <v>D0605.2018.10.1429.00007</v>
          </cell>
          <cell r="B377">
            <v>1</v>
          </cell>
          <cell r="C377">
            <v>0.375</v>
          </cell>
          <cell r="E377">
            <v>0.625</v>
          </cell>
          <cell r="F377">
            <v>0</v>
          </cell>
          <cell r="H377">
            <v>1</v>
          </cell>
        </row>
        <row r="378">
          <cell r="A378" t="str">
            <v>D1007.2018.10.1411.00001</v>
          </cell>
          <cell r="B378">
            <v>1</v>
          </cell>
          <cell r="C378">
            <v>0.75</v>
          </cell>
          <cell r="E378">
            <v>0.25</v>
          </cell>
          <cell r="F378">
            <v>0</v>
          </cell>
          <cell r="H378">
            <v>1</v>
          </cell>
        </row>
        <row r="379">
          <cell r="A379" t="str">
            <v>D0209.2018.10.1411.00003</v>
          </cell>
          <cell r="B379">
            <v>1</v>
          </cell>
          <cell r="C379">
            <v>0.3</v>
          </cell>
          <cell r="E379">
            <v>0.7</v>
          </cell>
          <cell r="F379">
            <v>0</v>
          </cell>
          <cell r="H379">
            <v>1</v>
          </cell>
        </row>
        <row r="380">
          <cell r="A380" t="str">
            <v>D0209.2018.10.1411.00004</v>
          </cell>
          <cell r="B380">
            <v>1</v>
          </cell>
          <cell r="C380">
            <v>0.3</v>
          </cell>
          <cell r="E380">
            <v>0.7</v>
          </cell>
          <cell r="F380">
            <v>0</v>
          </cell>
          <cell r="H380">
            <v>1</v>
          </cell>
        </row>
        <row r="381">
          <cell r="A381" t="str">
            <v>D0212.2018.10.1419.00002</v>
          </cell>
          <cell r="B381">
            <v>1</v>
          </cell>
          <cell r="C381">
            <v>0.75</v>
          </cell>
          <cell r="E381">
            <v>0.25</v>
          </cell>
          <cell r="F381">
            <v>0</v>
          </cell>
          <cell r="H381">
            <v>1</v>
          </cell>
        </row>
        <row r="382">
          <cell r="A382" t="str">
            <v>D0302.2018.10.1411.00001</v>
          </cell>
          <cell r="B382">
            <v>1</v>
          </cell>
          <cell r="C382">
            <v>2.6100528796713422E-2</v>
          </cell>
          <cell r="E382">
            <v>0.15660317278028052</v>
          </cell>
          <cell r="F382">
            <v>0.817296298423006</v>
          </cell>
          <cell r="H382">
            <v>1</v>
          </cell>
        </row>
        <row r="383">
          <cell r="A383" t="str">
            <v>D0302.2018.10.1411.00002</v>
          </cell>
          <cell r="B383">
            <v>1</v>
          </cell>
          <cell r="C383">
            <v>0.75</v>
          </cell>
          <cell r="E383">
            <v>0.25</v>
          </cell>
          <cell r="F383">
            <v>0</v>
          </cell>
          <cell r="H383">
            <v>1</v>
          </cell>
        </row>
        <row r="384">
          <cell r="A384" t="str">
            <v>D0302.2018.10.1411.00003</v>
          </cell>
          <cell r="B384">
            <v>1</v>
          </cell>
          <cell r="C384">
            <v>0.75</v>
          </cell>
          <cell r="E384">
            <v>0.25</v>
          </cell>
          <cell r="F384">
            <v>0</v>
          </cell>
          <cell r="H384">
            <v>1</v>
          </cell>
        </row>
        <row r="385">
          <cell r="A385" t="str">
            <v>D0302.2018.10.1429.00001</v>
          </cell>
          <cell r="B385">
            <v>1</v>
          </cell>
          <cell r="C385">
            <v>0.363598020572376</v>
          </cell>
          <cell r="E385">
            <v>0.636401979427624</v>
          </cell>
          <cell r="F385">
            <v>0</v>
          </cell>
          <cell r="H385">
            <v>1</v>
          </cell>
        </row>
        <row r="386">
          <cell r="A386" t="str">
            <v>D0401.2018.10.1411.00001</v>
          </cell>
          <cell r="B386">
            <v>1</v>
          </cell>
          <cell r="C386">
            <v>0.1305329661005887</v>
          </cell>
          <cell r="E386">
            <v>0.86946703389941127</v>
          </cell>
          <cell r="F386">
            <v>0</v>
          </cell>
          <cell r="H386">
            <v>1</v>
          </cell>
        </row>
        <row r="387">
          <cell r="A387" t="str">
            <v>D0401.2018.10.1411.00003</v>
          </cell>
          <cell r="B387">
            <v>1</v>
          </cell>
          <cell r="C387">
            <v>0.13497802557743599</v>
          </cell>
          <cell r="E387">
            <v>0.86502197442256401</v>
          </cell>
          <cell r="F387">
            <v>0</v>
          </cell>
          <cell r="H387">
            <v>1</v>
          </cell>
        </row>
        <row r="388">
          <cell r="A388" t="str">
            <v>D0401.2018.10.1411.00005</v>
          </cell>
          <cell r="B388">
            <v>1</v>
          </cell>
          <cell r="C388">
            <v>0.1471986189236778</v>
          </cell>
          <cell r="E388">
            <v>0.8528013810763222</v>
          </cell>
          <cell r="F388">
            <v>0</v>
          </cell>
          <cell r="H388">
            <v>1</v>
          </cell>
        </row>
        <row r="389">
          <cell r="A389" t="str">
            <v>D0401.2018.10.1411.00006</v>
          </cell>
          <cell r="B389">
            <v>1</v>
          </cell>
          <cell r="C389">
            <v>0.15</v>
          </cell>
          <cell r="E389">
            <v>0.85</v>
          </cell>
          <cell r="F389">
            <v>0</v>
          </cell>
          <cell r="H389">
            <v>1</v>
          </cell>
        </row>
        <row r="390">
          <cell r="A390" t="str">
            <v>D0401.2018.10.1429.00002</v>
          </cell>
          <cell r="B390">
            <v>1</v>
          </cell>
          <cell r="C390">
            <v>0.26495751406262008</v>
          </cell>
          <cell r="E390">
            <v>0.73504248593737997</v>
          </cell>
          <cell r="F390">
            <v>0</v>
          </cell>
          <cell r="H390">
            <v>1</v>
          </cell>
        </row>
        <row r="391">
          <cell r="A391" t="str">
            <v>D01002.2018.10.2018.00005</v>
          </cell>
          <cell r="B391">
            <v>1</v>
          </cell>
          <cell r="C391">
            <v>0.5</v>
          </cell>
          <cell r="E391">
            <v>0.5</v>
          </cell>
          <cell r="F391">
            <v>0</v>
          </cell>
          <cell r="H391">
            <v>1</v>
          </cell>
        </row>
        <row r="392">
          <cell r="A392" t="str">
            <v>S1002.2018.10.1226.00006</v>
          </cell>
          <cell r="B392">
            <v>1</v>
          </cell>
          <cell r="C392">
            <v>0.5</v>
          </cell>
          <cell r="E392">
            <v>0.5</v>
          </cell>
          <cell r="F392">
            <v>0</v>
          </cell>
          <cell r="H392">
            <v>1</v>
          </cell>
        </row>
        <row r="393">
          <cell r="A393" t="str">
            <v>D0605.2018.10.1226.00001</v>
          </cell>
          <cell r="B393">
            <v>1</v>
          </cell>
          <cell r="C393">
            <v>0.6</v>
          </cell>
          <cell r="E393">
            <v>0.4</v>
          </cell>
          <cell r="F393">
            <v>0</v>
          </cell>
          <cell r="H393">
            <v>1</v>
          </cell>
        </row>
        <row r="394">
          <cell r="A394" t="str">
            <v>D0201.2018.10.1411.00005</v>
          </cell>
          <cell r="B394">
            <v>1</v>
          </cell>
          <cell r="C394">
            <v>0.6</v>
          </cell>
          <cell r="E394">
            <v>0.4</v>
          </cell>
          <cell r="F394">
            <v>0</v>
          </cell>
          <cell r="H394">
            <v>1</v>
          </cell>
        </row>
        <row r="395">
          <cell r="A395" t="str">
            <v>D0201.2018.10.1411.00006</v>
          </cell>
          <cell r="B395">
            <v>1</v>
          </cell>
          <cell r="C395">
            <v>0.21252279218395009</v>
          </cell>
          <cell r="E395">
            <v>0.78747720781604991</v>
          </cell>
          <cell r="F395">
            <v>0</v>
          </cell>
          <cell r="H395">
            <v>1</v>
          </cell>
        </row>
        <row r="396">
          <cell r="A396" t="str">
            <v>D0604.2018.10.1411.00006</v>
          </cell>
          <cell r="B396">
            <v>1</v>
          </cell>
          <cell r="C396">
            <v>6.5604999999999997E-2</v>
          </cell>
          <cell r="E396">
            <v>0.39362799999999998</v>
          </cell>
          <cell r="F396">
            <v>0.540767</v>
          </cell>
          <cell r="H396">
            <v>1</v>
          </cell>
        </row>
        <row r="397">
          <cell r="A397" t="str">
            <v>D0501.2018.10.1411.00006</v>
          </cell>
          <cell r="B397">
            <v>1</v>
          </cell>
          <cell r="C397">
            <v>0.71024106895826422</v>
          </cell>
          <cell r="E397">
            <v>0.28975893104173578</v>
          </cell>
          <cell r="F397">
            <v>0</v>
          </cell>
          <cell r="H397">
            <v>1</v>
          </cell>
        </row>
        <row r="398">
          <cell r="A398" t="str">
            <v>D0704.2018.10.1411.00003</v>
          </cell>
          <cell r="B398">
            <v>1</v>
          </cell>
          <cell r="C398">
            <v>0.25</v>
          </cell>
          <cell r="E398">
            <v>0.75</v>
          </cell>
          <cell r="F398">
            <v>0</v>
          </cell>
          <cell r="H398">
            <v>1</v>
          </cell>
        </row>
        <row r="399">
          <cell r="A399" t="str">
            <v>D0605.2018.10.1411.00013</v>
          </cell>
          <cell r="B399">
            <v>1</v>
          </cell>
          <cell r="C399">
            <v>0.3</v>
          </cell>
          <cell r="E399">
            <v>0.7</v>
          </cell>
          <cell r="F399">
            <v>0</v>
          </cell>
          <cell r="H399">
            <v>1</v>
          </cell>
        </row>
        <row r="400">
          <cell r="A400" t="str">
            <v>D0605.2018.10.1429.00010</v>
          </cell>
          <cell r="B400">
            <v>1</v>
          </cell>
          <cell r="C400">
            <v>0.13636363636363635</v>
          </cell>
          <cell r="E400">
            <v>0.86363636363636365</v>
          </cell>
          <cell r="F400">
            <v>0</v>
          </cell>
          <cell r="H400">
            <v>1</v>
          </cell>
        </row>
        <row r="401">
          <cell r="A401" t="str">
            <v>D0401.2018.10.1411.00012</v>
          </cell>
          <cell r="B401">
            <v>1</v>
          </cell>
          <cell r="C401">
            <v>0.1875</v>
          </cell>
          <cell r="E401">
            <v>0.8125</v>
          </cell>
          <cell r="F401">
            <v>0</v>
          </cell>
          <cell r="H401">
            <v>1</v>
          </cell>
        </row>
        <row r="402">
          <cell r="A402" t="str">
            <v>D0201.2018.10.1411.00007</v>
          </cell>
          <cell r="B402">
            <v>1</v>
          </cell>
          <cell r="C402">
            <v>0.42685061082322406</v>
          </cell>
          <cell r="E402">
            <v>0.57314938917677594</v>
          </cell>
          <cell r="F402">
            <v>0</v>
          </cell>
          <cell r="H402">
            <v>1</v>
          </cell>
        </row>
        <row r="403">
          <cell r="A403" t="str">
            <v>D0201.2018.10.1419.00002</v>
          </cell>
          <cell r="B403">
            <v>1</v>
          </cell>
          <cell r="C403">
            <v>0.42685061082322406</v>
          </cell>
          <cell r="E403">
            <v>0.57314938917677594</v>
          </cell>
          <cell r="F403">
            <v>0</v>
          </cell>
          <cell r="H403">
            <v>1</v>
          </cell>
        </row>
        <row r="404">
          <cell r="A404" t="str">
            <v>D0604.2018.10.1411.00011</v>
          </cell>
          <cell r="B404">
            <v>1</v>
          </cell>
          <cell r="C404">
            <v>8.7677000000000005E-2</v>
          </cell>
          <cell r="E404">
            <v>0.52605999999999997</v>
          </cell>
          <cell r="F404">
            <v>0.38626300000000002</v>
          </cell>
          <cell r="H404">
            <v>1</v>
          </cell>
        </row>
        <row r="405">
          <cell r="A405" t="str">
            <v>D0604.2018.10.1411.00012</v>
          </cell>
          <cell r="B405">
            <v>1</v>
          </cell>
          <cell r="C405">
            <v>8.7677000000000005E-2</v>
          </cell>
          <cell r="E405">
            <v>0.52605999999999997</v>
          </cell>
          <cell r="F405">
            <v>0.38626300000000002</v>
          </cell>
          <cell r="H405">
            <v>1</v>
          </cell>
        </row>
        <row r="406">
          <cell r="A406" t="str">
            <v>D0604.2018.10.1411.00014</v>
          </cell>
          <cell r="B406">
            <v>1</v>
          </cell>
          <cell r="C406">
            <v>5.1724137931034482E-2</v>
          </cell>
          <cell r="E406">
            <v>0.31034482758620691</v>
          </cell>
          <cell r="F406">
            <v>0.63793103448275867</v>
          </cell>
          <cell r="H406">
            <v>1</v>
          </cell>
        </row>
        <row r="407">
          <cell r="A407" t="str">
            <v>D0605.2018.10.1429.00011</v>
          </cell>
          <cell r="B407">
            <v>1</v>
          </cell>
          <cell r="C407">
            <v>0.21428571428571427</v>
          </cell>
          <cell r="E407">
            <v>0.7857142857142857</v>
          </cell>
          <cell r="F407">
            <v>0</v>
          </cell>
          <cell r="H407">
            <v>1</v>
          </cell>
        </row>
        <row r="408">
          <cell r="A408" t="str">
            <v>D0209.2018.10.1411.00005</v>
          </cell>
          <cell r="B408">
            <v>1</v>
          </cell>
          <cell r="C408">
            <v>0.11228100000045733</v>
          </cell>
          <cell r="E408">
            <v>0.88771899999954262</v>
          </cell>
          <cell r="F408">
            <v>0</v>
          </cell>
          <cell r="H408">
            <v>1</v>
          </cell>
        </row>
        <row r="409">
          <cell r="A409" t="str">
            <v>D0605.2018.10.1226.00002</v>
          </cell>
          <cell r="B409">
            <v>1</v>
          </cell>
          <cell r="C409">
            <v>0.375</v>
          </cell>
          <cell r="E409">
            <v>0.625</v>
          </cell>
          <cell r="F409">
            <v>0</v>
          </cell>
          <cell r="H409">
            <v>1</v>
          </cell>
        </row>
        <row r="410">
          <cell r="A410" t="str">
            <v>D0209.2018.10.1226.00002</v>
          </cell>
          <cell r="B410">
            <v>1</v>
          </cell>
          <cell r="C410">
            <v>0.75</v>
          </cell>
          <cell r="E410">
            <v>0.25</v>
          </cell>
          <cell r="F410">
            <v>0</v>
          </cell>
          <cell r="H410">
            <v>1</v>
          </cell>
        </row>
        <row r="411">
          <cell r="A411" t="str">
            <v>D0305.2018.10.1411.00015</v>
          </cell>
          <cell r="B411">
            <v>1</v>
          </cell>
          <cell r="C411">
            <v>0.12926744140953217</v>
          </cell>
          <cell r="E411">
            <v>0.87073255859046783</v>
          </cell>
          <cell r="F411">
            <v>0</v>
          </cell>
          <cell r="H411">
            <v>1</v>
          </cell>
        </row>
        <row r="412">
          <cell r="A412" t="str">
            <v>D0203.2018.10.1429.00003</v>
          </cell>
          <cell r="B412">
            <v>1</v>
          </cell>
          <cell r="C412">
            <v>0.64175515757228307</v>
          </cell>
          <cell r="E412">
            <v>0.35824484242771698</v>
          </cell>
          <cell r="F412">
            <v>0</v>
          </cell>
          <cell r="H412">
            <v>1</v>
          </cell>
        </row>
        <row r="413">
          <cell r="A413" t="str">
            <v>D0604.2018.10.1411.00015</v>
          </cell>
          <cell r="B413">
            <v>1</v>
          </cell>
          <cell r="C413">
            <v>8.6636569122553492E-2</v>
          </cell>
          <cell r="E413">
            <v>0.41336343087744654</v>
          </cell>
          <cell r="F413">
            <v>0.5</v>
          </cell>
          <cell r="H413">
            <v>1</v>
          </cell>
        </row>
        <row r="414">
          <cell r="A414" t="str">
            <v>D0604.2018.10.1411.00018</v>
          </cell>
          <cell r="B414">
            <v>1</v>
          </cell>
          <cell r="C414">
            <v>5.128205128205128E-2</v>
          </cell>
          <cell r="E414">
            <v>0.30769230769230771</v>
          </cell>
          <cell r="F414">
            <v>0.64102564102564108</v>
          </cell>
          <cell r="H414">
            <v>1</v>
          </cell>
        </row>
        <row r="415">
          <cell r="A415" t="str">
            <v>D0604.2018.10.1411.00019!</v>
          </cell>
          <cell r="B415">
            <v>1</v>
          </cell>
          <cell r="C415">
            <v>0.28409090909090906</v>
          </cell>
          <cell r="E415">
            <v>0.71590909090909094</v>
          </cell>
          <cell r="F415">
            <v>0</v>
          </cell>
          <cell r="H415">
            <v>1</v>
          </cell>
        </row>
        <row r="416">
          <cell r="A416" t="str">
            <v>D0604.2018.10.1411.00019!!</v>
          </cell>
          <cell r="B416">
            <v>1</v>
          </cell>
          <cell r="C416">
            <v>9.0909090909090905E-3</v>
          </cell>
          <cell r="E416">
            <v>2.3181818181818182E-2</v>
          </cell>
          <cell r="F416">
            <v>0.96772727272727277</v>
          </cell>
          <cell r="H416">
            <v>1</v>
          </cell>
        </row>
        <row r="417">
          <cell r="A417" t="str">
            <v>B01001.2018.10.1411.00001</v>
          </cell>
          <cell r="B417">
            <v>1</v>
          </cell>
          <cell r="C417">
            <v>0.27326884188664807</v>
          </cell>
          <cell r="E417">
            <v>0.72673115811335187</v>
          </cell>
          <cell r="F417">
            <v>0</v>
          </cell>
          <cell r="H417">
            <v>1</v>
          </cell>
        </row>
        <row r="418">
          <cell r="A418" t="str">
            <v>B01001.2018.10.1419.00001</v>
          </cell>
          <cell r="B418">
            <v>1</v>
          </cell>
          <cell r="C418">
            <v>0.27326884188664807</v>
          </cell>
          <cell r="E418">
            <v>0.72673115811335187</v>
          </cell>
          <cell r="F418">
            <v>0</v>
          </cell>
          <cell r="H418">
            <v>1</v>
          </cell>
        </row>
        <row r="419">
          <cell r="A419" t="str">
            <v>D0201.2018.10.1312.00001</v>
          </cell>
          <cell r="B419">
            <v>1</v>
          </cell>
          <cell r="C419">
            <v>0.5422418565678494</v>
          </cell>
          <cell r="E419">
            <v>0.4577581434321506</v>
          </cell>
          <cell r="F419">
            <v>0</v>
          </cell>
          <cell r="H419">
            <v>1</v>
          </cell>
        </row>
        <row r="420">
          <cell r="A420" t="str">
            <v>D1007.2018.10.1411.00009</v>
          </cell>
          <cell r="B420">
            <v>1</v>
          </cell>
          <cell r="C420">
            <v>0.15</v>
          </cell>
          <cell r="E420">
            <v>0.85</v>
          </cell>
          <cell r="F420">
            <v>0</v>
          </cell>
          <cell r="H420">
            <v>1</v>
          </cell>
        </row>
        <row r="421">
          <cell r="A421" t="str">
            <v>D0610.2018.10.1411.00006</v>
          </cell>
          <cell r="B421">
            <v>1</v>
          </cell>
          <cell r="C421">
            <v>0.7194098360545822</v>
          </cell>
          <cell r="E421">
            <v>0.2805901639454178</v>
          </cell>
          <cell r="F421">
            <v>0</v>
          </cell>
          <cell r="H421">
            <v>1</v>
          </cell>
        </row>
        <row r="422">
          <cell r="A422" t="str">
            <v>D0301.2018.10.1411.00003</v>
          </cell>
          <cell r="B422">
            <v>1</v>
          </cell>
          <cell r="C422">
            <v>0.16271187097085232</v>
          </cell>
          <cell r="E422">
            <v>0.83728812902914762</v>
          </cell>
          <cell r="F422">
            <v>0</v>
          </cell>
          <cell r="H422">
            <v>1</v>
          </cell>
        </row>
        <row r="423">
          <cell r="A423" t="str">
            <v>D0605.2018.10.1429.00012</v>
          </cell>
          <cell r="B423">
            <v>1</v>
          </cell>
          <cell r="C423">
            <v>0.25507232575796868</v>
          </cell>
          <cell r="E423">
            <v>0.74492767424203132</v>
          </cell>
          <cell r="F423">
            <v>0</v>
          </cell>
          <cell r="H423">
            <v>1</v>
          </cell>
        </row>
        <row r="424">
          <cell r="A424" t="str">
            <v>D0906.2018.10.1429.00003</v>
          </cell>
          <cell r="B424">
            <v>1</v>
          </cell>
          <cell r="C424">
            <v>0.21428571428571427</v>
          </cell>
          <cell r="E424">
            <v>0.7857142857142857</v>
          </cell>
          <cell r="F424">
            <v>0</v>
          </cell>
          <cell r="H424">
            <v>1</v>
          </cell>
        </row>
        <row r="425">
          <cell r="A425" t="str">
            <v>D0801.2018.10.1312.00001</v>
          </cell>
          <cell r="B425">
            <v>1</v>
          </cell>
          <cell r="C425">
            <v>0.3</v>
          </cell>
          <cell r="E425">
            <v>0.7</v>
          </cell>
          <cell r="F425">
            <v>0</v>
          </cell>
          <cell r="H425">
            <v>1</v>
          </cell>
        </row>
        <row r="426">
          <cell r="A426" t="str">
            <v>D0303.2018.10.1226.00006</v>
          </cell>
          <cell r="B426">
            <v>1</v>
          </cell>
          <cell r="C426">
            <v>0.88337538900309065</v>
          </cell>
          <cell r="E426">
            <v>0.11662461099690932</v>
          </cell>
          <cell r="F426">
            <v>0</v>
          </cell>
          <cell r="H426">
            <v>1</v>
          </cell>
        </row>
        <row r="427">
          <cell r="A427" t="str">
            <v>D0906.2018.10.1226.00020</v>
          </cell>
          <cell r="B427">
            <v>1</v>
          </cell>
          <cell r="C427">
            <v>0.5</v>
          </cell>
          <cell r="E427">
            <v>0.5</v>
          </cell>
          <cell r="F427">
            <v>0</v>
          </cell>
          <cell r="H427">
            <v>1</v>
          </cell>
        </row>
        <row r="428">
          <cell r="A428" t="str">
            <v>B01001.2018.10.1411.00002</v>
          </cell>
          <cell r="B428">
            <v>1</v>
          </cell>
          <cell r="C428">
            <v>2.5862068965517241E-2</v>
          </cell>
          <cell r="E428">
            <v>0.15517241379310345</v>
          </cell>
          <cell r="F428">
            <v>0.81896551724137934</v>
          </cell>
          <cell r="H428">
            <v>1</v>
          </cell>
        </row>
        <row r="429">
          <cell r="A429" t="str">
            <v>D0605.2018.10.1411.00017</v>
          </cell>
          <cell r="B429">
            <v>1</v>
          </cell>
          <cell r="C429">
            <v>0.75</v>
          </cell>
          <cell r="E429">
            <v>0.25</v>
          </cell>
          <cell r="F429">
            <v>0</v>
          </cell>
          <cell r="H429">
            <v>1</v>
          </cell>
        </row>
        <row r="430">
          <cell r="A430" t="str">
            <v>B01001.2018.10.1411.00003</v>
          </cell>
          <cell r="B430">
            <v>1</v>
          </cell>
          <cell r="C430">
            <v>2.5423728813559324E-2</v>
          </cell>
          <cell r="E430">
            <v>0.15254237288135594</v>
          </cell>
          <cell r="F430">
            <v>0.82203389830508466</v>
          </cell>
          <cell r="H430">
            <v>1</v>
          </cell>
        </row>
        <row r="431">
          <cell r="A431" t="str">
            <v>D0605.2018.10.1411.00018</v>
          </cell>
          <cell r="B431">
            <v>1</v>
          </cell>
          <cell r="C431">
            <v>0.28409090909090906</v>
          </cell>
          <cell r="E431">
            <v>0.71590909090909094</v>
          </cell>
          <cell r="F431">
            <v>0</v>
          </cell>
          <cell r="H431">
            <v>1</v>
          </cell>
        </row>
        <row r="432">
          <cell r="A432" t="str">
            <v>D0605.2018.10.1411.00019</v>
          </cell>
          <cell r="B432">
            <v>1</v>
          </cell>
          <cell r="C432">
            <v>0.72807339620538336</v>
          </cell>
          <cell r="E432">
            <v>0.27192660379461658</v>
          </cell>
          <cell r="F432">
            <v>0</v>
          </cell>
          <cell r="H432">
            <v>1</v>
          </cell>
        </row>
        <row r="433">
          <cell r="A433" t="str">
            <v>B01001.2018.10.1411.00004</v>
          </cell>
          <cell r="B433">
            <v>1</v>
          </cell>
          <cell r="C433">
            <v>5.4605504715403756E-2</v>
          </cell>
          <cell r="E433">
            <v>0.32763302829242252</v>
          </cell>
          <cell r="F433">
            <v>0.61776146699217371</v>
          </cell>
          <cell r="H433">
            <v>1</v>
          </cell>
        </row>
        <row r="434">
          <cell r="A434" t="str">
            <v>B01001.2018.10.1429.00002</v>
          </cell>
          <cell r="B434">
            <v>1</v>
          </cell>
          <cell r="C434">
            <v>0.12684899999999999</v>
          </cell>
          <cell r="E434">
            <v>0.50739599999999996</v>
          </cell>
          <cell r="F434">
            <v>0.365755</v>
          </cell>
          <cell r="H434">
            <v>1</v>
          </cell>
        </row>
        <row r="435">
          <cell r="A435" t="str">
            <v>D0201.2018.10.1419.00005</v>
          </cell>
          <cell r="B435">
            <v>1</v>
          </cell>
          <cell r="C435">
            <v>0.5357142857142857</v>
          </cell>
          <cell r="E435">
            <v>0.4642857142857143</v>
          </cell>
          <cell r="F435">
            <v>0</v>
          </cell>
          <cell r="H435">
            <v>1</v>
          </cell>
        </row>
        <row r="436">
          <cell r="A436" t="str">
            <v>D0605.2018.10.1411.00022</v>
          </cell>
          <cell r="B436">
            <v>1</v>
          </cell>
          <cell r="C436">
            <v>0.2</v>
          </cell>
          <cell r="E436">
            <v>0.8</v>
          </cell>
          <cell r="F436">
            <v>0</v>
          </cell>
          <cell r="H436">
            <v>1</v>
          </cell>
        </row>
        <row r="437">
          <cell r="A437" t="str">
            <v>D0605.2018.10.1419.00004</v>
          </cell>
          <cell r="B437">
            <v>1</v>
          </cell>
          <cell r="C437">
            <v>0.3</v>
          </cell>
          <cell r="E437">
            <v>0.7</v>
          </cell>
          <cell r="F437">
            <v>0</v>
          </cell>
          <cell r="H437">
            <v>1</v>
          </cell>
        </row>
        <row r="438">
          <cell r="A438" t="str">
            <v>D0209.2018.10.1429.00005</v>
          </cell>
          <cell r="B438">
            <v>1</v>
          </cell>
          <cell r="C438">
            <v>0.5</v>
          </cell>
          <cell r="E438">
            <v>0.5</v>
          </cell>
          <cell r="F438">
            <v>0</v>
          </cell>
          <cell r="H438">
            <v>1</v>
          </cell>
        </row>
        <row r="439">
          <cell r="A439" t="str">
            <v>D0211.2018.10.1411.00006</v>
          </cell>
          <cell r="B439">
            <v>1</v>
          </cell>
          <cell r="C439">
            <v>0.43263500000325716</v>
          </cell>
          <cell r="E439">
            <v>0.56736499999674284</v>
          </cell>
          <cell r="F439">
            <v>0</v>
          </cell>
          <cell r="H439">
            <v>1</v>
          </cell>
        </row>
        <row r="440">
          <cell r="A440" t="str">
            <v>204.2017.10.1411.00014</v>
          </cell>
          <cell r="B440">
            <v>1</v>
          </cell>
          <cell r="C440">
            <v>4.4820980521698285E-2</v>
          </cell>
          <cell r="E440">
            <v>0.27627993947830171</v>
          </cell>
          <cell r="F440">
            <v>0.67889907999999999</v>
          </cell>
          <cell r="H440">
            <v>1</v>
          </cell>
        </row>
        <row r="441">
          <cell r="A441" t="str">
            <v>D0211.2018.10.1429.00001</v>
          </cell>
          <cell r="B441">
            <v>1</v>
          </cell>
          <cell r="C441">
            <v>0.43263500000325716</v>
          </cell>
          <cell r="E441">
            <v>0.56736499999674284</v>
          </cell>
          <cell r="F441">
            <v>0</v>
          </cell>
          <cell r="H441">
            <v>1</v>
          </cell>
        </row>
        <row r="442">
          <cell r="A442" t="str">
            <v>B01001.2019.10.1411.00001</v>
          </cell>
          <cell r="B442">
            <v>1</v>
          </cell>
          <cell r="C442">
            <v>0.16910959570123407</v>
          </cell>
          <cell r="E442">
            <v>0.83089040429876593</v>
          </cell>
          <cell r="F442">
            <v>0</v>
          </cell>
          <cell r="H442">
            <v>1</v>
          </cell>
        </row>
        <row r="443">
          <cell r="A443" t="str">
            <v>D0201.2019.10.1411.00002</v>
          </cell>
          <cell r="B443">
            <v>1</v>
          </cell>
          <cell r="C443">
            <v>5.5640250000000002E-2</v>
          </cell>
          <cell r="E443">
            <v>0.38948175000000002</v>
          </cell>
          <cell r="F443">
            <v>0.55487799999999998</v>
          </cell>
          <cell r="H443">
            <v>1</v>
          </cell>
        </row>
        <row r="444">
          <cell r="A444" t="str">
            <v>D0203.2019.10.1411.00001</v>
          </cell>
          <cell r="B444">
            <v>1</v>
          </cell>
          <cell r="C444">
            <v>0.5</v>
          </cell>
          <cell r="E444">
            <v>0.5</v>
          </cell>
          <cell r="F444">
            <v>0</v>
          </cell>
          <cell r="H444">
            <v>1</v>
          </cell>
        </row>
        <row r="445">
          <cell r="A445" t="str">
            <v>D1007.2019.10.1411.00001</v>
          </cell>
          <cell r="B445">
            <v>1</v>
          </cell>
          <cell r="C445">
            <v>0.75</v>
          </cell>
          <cell r="E445">
            <v>0.25</v>
          </cell>
          <cell r="F445">
            <v>0</v>
          </cell>
          <cell r="H445">
            <v>1</v>
          </cell>
        </row>
        <row r="446">
          <cell r="A446" t="str">
            <v>D0302.2019.10.1411.00001</v>
          </cell>
          <cell r="B446">
            <v>1</v>
          </cell>
          <cell r="C446">
            <v>2.5423728813559324E-2</v>
          </cell>
          <cell r="E446">
            <v>0.17796610169491525</v>
          </cell>
          <cell r="F446">
            <v>0.79661016949152541</v>
          </cell>
          <cell r="H446">
            <v>1</v>
          </cell>
        </row>
        <row r="447">
          <cell r="A447" t="str">
            <v>B01001.2019.10.1411.00004</v>
          </cell>
          <cell r="B447">
            <v>1</v>
          </cell>
          <cell r="C447">
            <v>0.25379744425973633</v>
          </cell>
          <cell r="E447">
            <v>0.74620255574026373</v>
          </cell>
          <cell r="F447">
            <v>0</v>
          </cell>
          <cell r="H447">
            <v>1</v>
          </cell>
        </row>
        <row r="448">
          <cell r="A448" t="str">
            <v>B01001.2019.10.1411.00005</v>
          </cell>
          <cell r="B448">
            <v>1</v>
          </cell>
          <cell r="C448">
            <v>2.2388059701492536E-2</v>
          </cell>
          <cell r="E448">
            <v>0.15671641791044777</v>
          </cell>
          <cell r="F448">
            <v>0.82089552238805974</v>
          </cell>
          <cell r="H448">
            <v>1</v>
          </cell>
        </row>
        <row r="449">
          <cell r="A449" t="str">
            <v>D0201.2019.10.1312.00001</v>
          </cell>
          <cell r="B449">
            <v>1</v>
          </cell>
          <cell r="C449">
            <v>0.75</v>
          </cell>
          <cell r="E449">
            <v>0.25</v>
          </cell>
          <cell r="F449">
            <v>0</v>
          </cell>
          <cell r="H449">
            <v>1</v>
          </cell>
        </row>
        <row r="450">
          <cell r="A450" t="str">
            <v>D0201.2019.10.1419.00001</v>
          </cell>
          <cell r="B450">
            <v>1</v>
          </cell>
          <cell r="C450">
            <v>0.74360444407759962</v>
          </cell>
          <cell r="E450">
            <v>0.25639555592240043</v>
          </cell>
          <cell r="F450">
            <v>0</v>
          </cell>
          <cell r="H450">
            <v>1</v>
          </cell>
        </row>
        <row r="451">
          <cell r="A451" t="str">
            <v>D0201.2019.10.1429.00004</v>
          </cell>
          <cell r="B451">
            <v>1</v>
          </cell>
          <cell r="C451">
            <v>0.75</v>
          </cell>
          <cell r="E451">
            <v>0.25</v>
          </cell>
          <cell r="F451">
            <v>0</v>
          </cell>
          <cell r="H451">
            <v>1</v>
          </cell>
        </row>
        <row r="452">
          <cell r="A452" t="str">
            <v>D0203.2019.10.1411.00006</v>
          </cell>
          <cell r="B452">
            <v>1</v>
          </cell>
          <cell r="C452">
            <v>0.55485000007545959</v>
          </cell>
          <cell r="E452">
            <v>0.44514999992454041</v>
          </cell>
          <cell r="F452">
            <v>0</v>
          </cell>
          <cell r="H452">
            <v>1</v>
          </cell>
        </row>
        <row r="453">
          <cell r="A453" t="str">
            <v>D0605.2019.10.1312.00001</v>
          </cell>
          <cell r="B453">
            <v>1</v>
          </cell>
          <cell r="C453">
            <v>0.55563787227737438</v>
          </cell>
          <cell r="E453">
            <v>0.44436212772262557</v>
          </cell>
          <cell r="F453">
            <v>0</v>
          </cell>
          <cell r="H453">
            <v>1</v>
          </cell>
        </row>
        <row r="454">
          <cell r="A454" t="str">
            <v>D0605.2019.10.1411.00006</v>
          </cell>
          <cell r="B454">
            <v>1</v>
          </cell>
          <cell r="C454">
            <v>0.556544999993559</v>
          </cell>
          <cell r="E454">
            <v>0.44345500000644095</v>
          </cell>
          <cell r="F454">
            <v>0</v>
          </cell>
          <cell r="H454">
            <v>1</v>
          </cell>
        </row>
        <row r="455">
          <cell r="A455" t="str">
            <v>D0605.2019.10.1411.00007</v>
          </cell>
          <cell r="B455">
            <v>1</v>
          </cell>
          <cell r="C455">
            <v>0.3</v>
          </cell>
          <cell r="E455">
            <v>0.7</v>
          </cell>
          <cell r="F455">
            <v>0</v>
          </cell>
          <cell r="H455">
            <v>1</v>
          </cell>
        </row>
        <row r="456">
          <cell r="A456" t="str">
            <v>D0209.2019.10.1411.00004</v>
          </cell>
          <cell r="B456">
            <v>1</v>
          </cell>
          <cell r="C456">
            <v>0.3</v>
          </cell>
          <cell r="E456">
            <v>0.7</v>
          </cell>
          <cell r="F456">
            <v>0</v>
          </cell>
          <cell r="H456">
            <v>1</v>
          </cell>
        </row>
        <row r="457">
          <cell r="A457" t="str">
            <v>D0209.2019.10.1411.00005</v>
          </cell>
          <cell r="B457">
            <v>1</v>
          </cell>
          <cell r="C457">
            <v>0.3</v>
          </cell>
          <cell r="E457">
            <v>0.7</v>
          </cell>
          <cell r="F457">
            <v>0</v>
          </cell>
          <cell r="H457">
            <v>1</v>
          </cell>
        </row>
        <row r="458">
          <cell r="A458" t="str">
            <v>D0302.2019.10.1429.00001</v>
          </cell>
          <cell r="B458">
            <v>1</v>
          </cell>
          <cell r="C458">
            <v>0.36889941809805787</v>
          </cell>
          <cell r="E458">
            <v>0.63110058190194207</v>
          </cell>
          <cell r="F458">
            <v>0</v>
          </cell>
          <cell r="H458">
            <v>1</v>
          </cell>
        </row>
        <row r="459">
          <cell r="A459" t="str">
            <v>D0401.2019.10.1411.00002</v>
          </cell>
          <cell r="B459">
            <v>1</v>
          </cell>
          <cell r="C459">
            <v>0.12683219677592555</v>
          </cell>
          <cell r="E459">
            <v>0.87316780322407439</v>
          </cell>
          <cell r="F459">
            <v>0</v>
          </cell>
          <cell r="H459">
            <v>1</v>
          </cell>
        </row>
        <row r="460">
          <cell r="A460" t="str">
            <v>D0401.2019.10.1411.00003</v>
          </cell>
          <cell r="B460">
            <v>1</v>
          </cell>
          <cell r="C460">
            <v>0.14099858014429795</v>
          </cell>
          <cell r="E460">
            <v>0.85900141985570211</v>
          </cell>
          <cell r="F460">
            <v>0</v>
          </cell>
          <cell r="H460">
            <v>1</v>
          </cell>
        </row>
        <row r="461">
          <cell r="A461" t="str">
            <v>D0704.2019.10.1411.00004</v>
          </cell>
          <cell r="B461">
            <v>1</v>
          </cell>
          <cell r="C461">
            <v>0.75</v>
          </cell>
          <cell r="E461">
            <v>0.25</v>
          </cell>
          <cell r="F461">
            <v>0</v>
          </cell>
          <cell r="H461">
            <v>1</v>
          </cell>
        </row>
        <row r="462">
          <cell r="A462" t="str">
            <v>B07001.2019.10.1421.00002</v>
          </cell>
          <cell r="B462">
            <v>1</v>
          </cell>
          <cell r="C462">
            <v>0.5</v>
          </cell>
          <cell r="E462">
            <v>0.5</v>
          </cell>
          <cell r="F462">
            <v>0</v>
          </cell>
          <cell r="H462">
            <v>1</v>
          </cell>
        </row>
        <row r="463">
          <cell r="A463" t="str">
            <v>D0201.2019.10.1411.00004</v>
          </cell>
          <cell r="B463">
            <v>1</v>
          </cell>
          <cell r="C463">
            <v>0.22166887104043978</v>
          </cell>
          <cell r="E463">
            <v>0.77833112895956025</v>
          </cell>
          <cell r="F463">
            <v>0</v>
          </cell>
          <cell r="H463">
            <v>1</v>
          </cell>
        </row>
        <row r="464">
          <cell r="A464" t="str">
            <v>D0201.2019.10.1419.00002</v>
          </cell>
          <cell r="B464">
            <v>1</v>
          </cell>
          <cell r="C464">
            <v>0.44333774208087956</v>
          </cell>
          <cell r="E464">
            <v>0.55666225791912038</v>
          </cell>
          <cell r="F464">
            <v>0</v>
          </cell>
          <cell r="H464">
            <v>1</v>
          </cell>
        </row>
        <row r="465">
          <cell r="A465" t="str">
            <v>D0605.2019.10.1312.00002</v>
          </cell>
          <cell r="B465">
            <v>1</v>
          </cell>
          <cell r="C465">
            <v>0.2</v>
          </cell>
          <cell r="E465">
            <v>0.8</v>
          </cell>
          <cell r="F465">
            <v>0</v>
          </cell>
          <cell r="H465">
            <v>1</v>
          </cell>
        </row>
        <row r="466">
          <cell r="A466" t="str">
            <v>D0212.2019.10.1419.00002</v>
          </cell>
          <cell r="B466">
            <v>1</v>
          </cell>
          <cell r="C466">
            <v>0.75</v>
          </cell>
          <cell r="E466">
            <v>0.25</v>
          </cell>
          <cell r="F466">
            <v>0</v>
          </cell>
          <cell r="H466">
            <v>1</v>
          </cell>
        </row>
        <row r="467">
          <cell r="A467" t="str">
            <v>D0401.2019.10.1411.00004</v>
          </cell>
          <cell r="B467">
            <v>1</v>
          </cell>
          <cell r="C467">
            <v>0.15</v>
          </cell>
          <cell r="E467">
            <v>0.85</v>
          </cell>
          <cell r="F467">
            <v>0</v>
          </cell>
          <cell r="H467">
            <v>1</v>
          </cell>
        </row>
        <row r="468">
          <cell r="A468" t="str">
            <v>D0401.2019.10.1411.00005</v>
          </cell>
          <cell r="B468">
            <v>1</v>
          </cell>
          <cell r="C468">
            <v>0.29411764705882354</v>
          </cell>
          <cell r="E468">
            <v>0.70588235294117652</v>
          </cell>
          <cell r="F468">
            <v>0</v>
          </cell>
          <cell r="H468">
            <v>1</v>
          </cell>
        </row>
        <row r="469">
          <cell r="A469" t="str">
            <v>B01001.2019.10.1411.00003</v>
          </cell>
          <cell r="B469">
            <v>1</v>
          </cell>
          <cell r="C469">
            <v>2.5423728813559324E-2</v>
          </cell>
          <cell r="E469">
            <v>0.17796610169491525</v>
          </cell>
          <cell r="F469">
            <v>0.79661016949152541</v>
          </cell>
          <cell r="H469">
            <v>1</v>
          </cell>
        </row>
        <row r="470">
          <cell r="A470" t="str">
            <v>B01001.2019.10.1411.00007</v>
          </cell>
          <cell r="B470">
            <v>1</v>
          </cell>
          <cell r="C470">
            <v>5.0207272356043199E-2</v>
          </cell>
          <cell r="E470">
            <v>0.35145090649230237</v>
          </cell>
          <cell r="F470">
            <v>0.59834182115165446</v>
          </cell>
          <cell r="H470">
            <v>1</v>
          </cell>
        </row>
        <row r="471">
          <cell r="A471" t="str">
            <v>D0201.2019.10.1312.00003</v>
          </cell>
          <cell r="B471">
            <v>1</v>
          </cell>
          <cell r="C471">
            <v>0.98228846152763116</v>
          </cell>
          <cell r="E471">
            <v>1.771153847236882E-2</v>
          </cell>
          <cell r="F471">
            <v>0</v>
          </cell>
          <cell r="H471">
            <v>1</v>
          </cell>
        </row>
        <row r="472">
          <cell r="A472" t="str">
            <v>D0201.2019.10.1411.00007</v>
          </cell>
          <cell r="B472">
            <v>1</v>
          </cell>
          <cell r="C472">
            <v>0.6</v>
          </cell>
          <cell r="E472">
            <v>0.4</v>
          </cell>
          <cell r="F472">
            <v>0</v>
          </cell>
          <cell r="H472">
            <v>1</v>
          </cell>
        </row>
        <row r="473">
          <cell r="A473" t="str">
            <v>D0203.2019.10.1411.00007</v>
          </cell>
          <cell r="B473">
            <v>1</v>
          </cell>
          <cell r="C473">
            <v>0.12700799997228177</v>
          </cell>
          <cell r="E473">
            <v>0.87299200002771826</v>
          </cell>
          <cell r="F473">
            <v>0</v>
          </cell>
          <cell r="H473">
            <v>1</v>
          </cell>
        </row>
        <row r="474">
          <cell r="A474" t="str">
            <v>D0203.2019.10.1429.00005</v>
          </cell>
          <cell r="B474">
            <v>1</v>
          </cell>
          <cell r="C474">
            <v>0.62938360435570373</v>
          </cell>
          <cell r="E474">
            <v>0.37061639564429621</v>
          </cell>
          <cell r="F474">
            <v>0</v>
          </cell>
          <cell r="H474">
            <v>1</v>
          </cell>
        </row>
        <row r="475">
          <cell r="A475" t="str">
            <v>D0605.2019.10.1411.00010</v>
          </cell>
          <cell r="B475">
            <v>1</v>
          </cell>
          <cell r="C475">
            <v>0.55903373925145827</v>
          </cell>
          <cell r="E475">
            <v>0.44096626074854173</v>
          </cell>
          <cell r="F475">
            <v>0</v>
          </cell>
          <cell r="H475">
            <v>1</v>
          </cell>
        </row>
        <row r="476">
          <cell r="A476" t="str">
            <v>D0605.2019.10.1411.00011</v>
          </cell>
          <cell r="B476">
            <v>1</v>
          </cell>
          <cell r="C476">
            <v>0.75</v>
          </cell>
          <cell r="E476">
            <v>0.25</v>
          </cell>
          <cell r="F476">
            <v>0</v>
          </cell>
          <cell r="H476">
            <v>1</v>
          </cell>
        </row>
        <row r="477">
          <cell r="A477" t="str">
            <v>D0605.2019.10.1419.00002</v>
          </cell>
          <cell r="B477">
            <v>1</v>
          </cell>
          <cell r="C477">
            <v>0.75</v>
          </cell>
          <cell r="E477">
            <v>0.25</v>
          </cell>
          <cell r="F477">
            <v>0</v>
          </cell>
          <cell r="H477">
            <v>1</v>
          </cell>
        </row>
        <row r="478">
          <cell r="A478" t="str">
            <v>D0209.2019.10.1411.00006</v>
          </cell>
          <cell r="B478">
            <v>1</v>
          </cell>
          <cell r="C478">
            <v>0.22020000002642401</v>
          </cell>
          <cell r="E478">
            <v>0.77979999997357596</v>
          </cell>
          <cell r="F478">
            <v>0</v>
          </cell>
          <cell r="H478">
            <v>1</v>
          </cell>
        </row>
        <row r="479">
          <cell r="A479" t="str">
            <v>D0211.2019.10.1411.00004</v>
          </cell>
          <cell r="B479">
            <v>1</v>
          </cell>
          <cell r="C479">
            <v>0.4204849998451774</v>
          </cell>
          <cell r="E479">
            <v>0.5795150001548226</v>
          </cell>
          <cell r="F479">
            <v>0</v>
          </cell>
          <cell r="H479">
            <v>1</v>
          </cell>
        </row>
        <row r="480">
          <cell r="A480" t="str">
            <v>D0211.2019.10.1429.00002</v>
          </cell>
          <cell r="B480">
            <v>1</v>
          </cell>
          <cell r="C480">
            <v>0.4204849998451774</v>
          </cell>
          <cell r="E480">
            <v>0.5795150001548226</v>
          </cell>
          <cell r="F480">
            <v>0</v>
          </cell>
          <cell r="H480">
            <v>1</v>
          </cell>
        </row>
        <row r="481">
          <cell r="A481" t="str">
            <v>D0212.2019.10.1411.00006</v>
          </cell>
          <cell r="B481">
            <v>1</v>
          </cell>
          <cell r="C481">
            <v>0.46225188687753332</v>
          </cell>
          <cell r="E481">
            <v>0.53774811312246662</v>
          </cell>
          <cell r="F481">
            <v>0</v>
          </cell>
          <cell r="H481">
            <v>1</v>
          </cell>
        </row>
        <row r="482">
          <cell r="A482" t="str">
            <v>D0301.2019.10.1419.00001</v>
          </cell>
          <cell r="B482">
            <v>1</v>
          </cell>
          <cell r="C482">
            <v>0.25</v>
          </cell>
          <cell r="E482">
            <v>0.75</v>
          </cell>
          <cell r="F482">
            <v>0</v>
          </cell>
          <cell r="H482">
            <v>1</v>
          </cell>
        </row>
        <row r="483">
          <cell r="A483" t="str">
            <v>D0305.2019.10.1411.00011</v>
          </cell>
          <cell r="B483">
            <v>1</v>
          </cell>
          <cell r="C483">
            <v>0.12557912908362398</v>
          </cell>
          <cell r="E483">
            <v>0.87442087091637599</v>
          </cell>
          <cell r="F483">
            <v>0</v>
          </cell>
          <cell r="H483">
            <v>1</v>
          </cell>
        </row>
        <row r="484">
          <cell r="A484" t="str">
            <v>D0401.2019.10.1429.00004</v>
          </cell>
          <cell r="B484">
            <v>1</v>
          </cell>
          <cell r="C484">
            <v>0.2532342230858447</v>
          </cell>
          <cell r="E484">
            <v>0.74676577691415524</v>
          </cell>
          <cell r="F484">
            <v>0</v>
          </cell>
          <cell r="H484">
            <v>1</v>
          </cell>
        </row>
        <row r="485">
          <cell r="A485" t="str">
            <v>D0501.2019.10.1411.00007</v>
          </cell>
          <cell r="B485">
            <v>1</v>
          </cell>
          <cell r="C485">
            <v>0.71384924646073544</v>
          </cell>
          <cell r="E485">
            <v>0.28615075353926456</v>
          </cell>
          <cell r="F485">
            <v>0</v>
          </cell>
          <cell r="H485">
            <v>1</v>
          </cell>
        </row>
        <row r="486">
          <cell r="A486" t="str">
            <v>D0501.2019.10.1419.00002</v>
          </cell>
          <cell r="B486">
            <v>1</v>
          </cell>
          <cell r="C486">
            <v>0.75</v>
          </cell>
          <cell r="E486">
            <v>0.25</v>
          </cell>
          <cell r="F486">
            <v>0</v>
          </cell>
          <cell r="H486">
            <v>1</v>
          </cell>
        </row>
        <row r="487">
          <cell r="A487" t="str">
            <v>D0705.2019.10.1411.00020</v>
          </cell>
          <cell r="B487">
            <v>1</v>
          </cell>
          <cell r="C487">
            <v>0.967741935483871</v>
          </cell>
          <cell r="E487">
            <v>3.2258064516129031E-2</v>
          </cell>
          <cell r="F487">
            <v>0</v>
          </cell>
          <cell r="H487">
            <v>1</v>
          </cell>
        </row>
        <row r="488">
          <cell r="A488" t="str">
            <v>D0605.2019.10.1226.00007</v>
          </cell>
          <cell r="B488">
            <v>1</v>
          </cell>
          <cell r="C488">
            <v>0.75</v>
          </cell>
          <cell r="E488">
            <v>0.25</v>
          </cell>
          <cell r="F488">
            <v>0</v>
          </cell>
          <cell r="H488">
            <v>1</v>
          </cell>
        </row>
        <row r="489">
          <cell r="A489" t="str">
            <v>D0610.2019.10.1226.00005</v>
          </cell>
          <cell r="B489">
            <v>1</v>
          </cell>
          <cell r="C489">
            <v>0.6</v>
          </cell>
          <cell r="E489">
            <v>0.4</v>
          </cell>
          <cell r="F489">
            <v>0</v>
          </cell>
          <cell r="H489">
            <v>1</v>
          </cell>
        </row>
        <row r="490">
          <cell r="A490" t="str">
            <v>B01001.2019.10.1411.00009</v>
          </cell>
          <cell r="B490">
            <v>1</v>
          </cell>
          <cell r="C490">
            <v>8.40336134453782E-2</v>
          </cell>
          <cell r="E490">
            <v>0.58823529411764708</v>
          </cell>
          <cell r="F490">
            <v>0.32773109243697474</v>
          </cell>
          <cell r="H490">
            <v>1</v>
          </cell>
        </row>
        <row r="491">
          <cell r="A491" t="str">
            <v>B01001.2019.10.1411.00010</v>
          </cell>
          <cell r="B491">
            <v>1</v>
          </cell>
          <cell r="C491">
            <v>8.4033613445378158E-2</v>
          </cell>
          <cell r="E491">
            <v>0.58823529411764708</v>
          </cell>
          <cell r="F491">
            <v>0.32773109243697474</v>
          </cell>
          <cell r="H491">
            <v>1</v>
          </cell>
        </row>
        <row r="492">
          <cell r="A492" t="str">
            <v>B01001.2019.10.1411.00011</v>
          </cell>
          <cell r="B492">
            <v>1</v>
          </cell>
          <cell r="C492">
            <v>8.4033613445378158E-2</v>
          </cell>
          <cell r="E492">
            <v>0.41596638655462181</v>
          </cell>
          <cell r="F492">
            <v>0.5</v>
          </cell>
          <cell r="H492">
            <v>1</v>
          </cell>
        </row>
        <row r="493">
          <cell r="A493" t="str">
            <v>B01001.2019.10.1411.00012</v>
          </cell>
          <cell r="B493">
            <v>1</v>
          </cell>
          <cell r="C493">
            <v>0.05</v>
          </cell>
          <cell r="E493">
            <v>0.35</v>
          </cell>
          <cell r="F493">
            <v>0.6</v>
          </cell>
          <cell r="H493">
            <v>1</v>
          </cell>
        </row>
        <row r="494">
          <cell r="A494" t="str">
            <v>B01001.2019.10.1411.00013</v>
          </cell>
          <cell r="B494">
            <v>1</v>
          </cell>
          <cell r="C494">
            <v>6.3025210084033598E-2</v>
          </cell>
          <cell r="E494">
            <v>0.44117647058823528</v>
          </cell>
          <cell r="F494">
            <v>0.49579831932773111</v>
          </cell>
          <cell r="H494">
            <v>1</v>
          </cell>
        </row>
        <row r="495">
          <cell r="A495" t="str">
            <v>B01001.2019.10.1411.00015!!</v>
          </cell>
          <cell r="B495">
            <v>1</v>
          </cell>
          <cell r="C495">
            <v>0.25210084033613445</v>
          </cell>
          <cell r="E495">
            <v>0.74789915966386555</v>
          </cell>
          <cell r="F495">
            <v>0</v>
          </cell>
          <cell r="H495">
            <v>1</v>
          </cell>
        </row>
        <row r="496">
          <cell r="A496" t="str">
            <v>B01001.2019.10.1411.00015!</v>
          </cell>
          <cell r="B496">
            <v>1</v>
          </cell>
          <cell r="C496">
            <v>7.3949579831932774E-3</v>
          </cell>
          <cell r="E496">
            <v>2.0336134453781511E-2</v>
          </cell>
          <cell r="F496">
            <v>0.9722689075630252</v>
          </cell>
          <cell r="H496">
            <v>1</v>
          </cell>
        </row>
        <row r="497">
          <cell r="A497" t="str">
            <v>B01001.2019.10.1429.00001</v>
          </cell>
          <cell r="B497">
            <v>1</v>
          </cell>
          <cell r="C497">
            <v>0.28044973667639389</v>
          </cell>
          <cell r="E497">
            <v>0.71955026332360605</v>
          </cell>
          <cell r="F497">
            <v>0</v>
          </cell>
          <cell r="H497">
            <v>1</v>
          </cell>
        </row>
        <row r="498">
          <cell r="A498" t="str">
            <v>D0605.2019.10.1429.00006</v>
          </cell>
          <cell r="B498">
            <v>1</v>
          </cell>
          <cell r="C498">
            <v>0.2527420405212889</v>
          </cell>
          <cell r="E498">
            <v>0.7472579594787111</v>
          </cell>
          <cell r="F498">
            <v>0</v>
          </cell>
          <cell r="H498">
            <v>1</v>
          </cell>
        </row>
        <row r="499">
          <cell r="A499" t="str">
            <v>D0605.2019.10.1429.00008</v>
          </cell>
          <cell r="B499">
            <v>1</v>
          </cell>
          <cell r="C499">
            <v>0.21428571428571427</v>
          </cell>
          <cell r="E499">
            <v>0.7857142857142857</v>
          </cell>
          <cell r="F499">
            <v>0</v>
          </cell>
          <cell r="H499">
            <v>1</v>
          </cell>
        </row>
        <row r="500">
          <cell r="A500" t="str">
            <v>D1007.2019.10.1411.00008</v>
          </cell>
          <cell r="B500">
            <v>1</v>
          </cell>
          <cell r="C500">
            <v>0.15</v>
          </cell>
          <cell r="E500">
            <v>0.85</v>
          </cell>
          <cell r="F500">
            <v>0</v>
          </cell>
          <cell r="H500">
            <v>1</v>
          </cell>
        </row>
        <row r="501">
          <cell r="A501" t="str">
            <v>D0212.2019.10.1312.00001</v>
          </cell>
          <cell r="B501">
            <v>1</v>
          </cell>
          <cell r="C501">
            <v>0.10526315789473684</v>
          </cell>
          <cell r="E501">
            <v>0.89473684210526316</v>
          </cell>
          <cell r="F501">
            <v>0</v>
          </cell>
          <cell r="H501">
            <v>1</v>
          </cell>
        </row>
        <row r="502">
          <cell r="A502" t="str">
            <v>B01001.2019.10.1411.00017</v>
          </cell>
          <cell r="B502">
            <v>1</v>
          </cell>
          <cell r="C502">
            <v>4.2016806722689079E-2</v>
          </cell>
          <cell r="E502">
            <v>0.29411764705882354</v>
          </cell>
          <cell r="F502">
            <v>0.66386554621848748</v>
          </cell>
          <cell r="H502">
            <v>1</v>
          </cell>
        </row>
        <row r="503">
          <cell r="A503" t="str">
            <v>B01001.2019.10.1411.00018</v>
          </cell>
          <cell r="B503">
            <v>1</v>
          </cell>
          <cell r="C503">
            <v>0.28137563422067952</v>
          </cell>
          <cell r="E503">
            <v>0.71862436577932043</v>
          </cell>
          <cell r="F503">
            <v>0</v>
          </cell>
          <cell r="H503">
            <v>1</v>
          </cell>
        </row>
        <row r="504">
          <cell r="A504" t="str">
            <v>D0906.2019.10.1226.00017</v>
          </cell>
          <cell r="B504">
            <v>1</v>
          </cell>
          <cell r="C504">
            <v>0.75</v>
          </cell>
          <cell r="E504">
            <v>0.25</v>
          </cell>
          <cell r="F504">
            <v>0</v>
          </cell>
          <cell r="H504">
            <v>1</v>
          </cell>
        </row>
        <row r="505">
          <cell r="A505" t="str">
            <v>D0610.2019.10.1411.00005</v>
          </cell>
          <cell r="B505">
            <v>1</v>
          </cell>
          <cell r="C505">
            <v>0.72989287459598606</v>
          </cell>
          <cell r="E505">
            <v>0.27010712540401394</v>
          </cell>
          <cell r="F505">
            <v>0</v>
          </cell>
          <cell r="H505">
            <v>1</v>
          </cell>
        </row>
        <row r="506">
          <cell r="A506" t="str">
            <v>B01001.2019.10.1411.00019</v>
          </cell>
          <cell r="B506">
            <v>1</v>
          </cell>
          <cell r="C506">
            <v>2.5000000000000001E-2</v>
          </cell>
          <cell r="E506">
            <v>0.17499999999999999</v>
          </cell>
          <cell r="F506">
            <v>0.8</v>
          </cell>
          <cell r="H506">
            <v>1</v>
          </cell>
        </row>
        <row r="507">
          <cell r="A507" t="str">
            <v>D0201.2019.10.1411.00008</v>
          </cell>
          <cell r="B507">
            <v>1</v>
          </cell>
          <cell r="C507">
            <v>0.22324038025575757</v>
          </cell>
          <cell r="E507">
            <v>0.77675961974424246</v>
          </cell>
          <cell r="F507">
            <v>0</v>
          </cell>
          <cell r="H507">
            <v>1</v>
          </cell>
        </row>
        <row r="508">
          <cell r="A508" t="str">
            <v>D0201.2019.10.1419.00005</v>
          </cell>
          <cell r="B508">
            <v>1</v>
          </cell>
          <cell r="C508">
            <v>0.5357142857142857</v>
          </cell>
          <cell r="E508">
            <v>0.4642857142857143</v>
          </cell>
          <cell r="F508">
            <v>0</v>
          </cell>
          <cell r="H508">
            <v>1</v>
          </cell>
        </row>
        <row r="509">
          <cell r="A509" t="str">
            <v>D0605.2019.10.1411.00016</v>
          </cell>
          <cell r="B509">
            <v>1</v>
          </cell>
          <cell r="C509">
            <v>0.7493690312756659</v>
          </cell>
          <cell r="E509">
            <v>0.2506309687243341</v>
          </cell>
          <cell r="F509">
            <v>0</v>
          </cell>
          <cell r="H509">
            <v>1</v>
          </cell>
        </row>
        <row r="510">
          <cell r="A510" t="str">
            <v>D0906.2019.10.1429.00004</v>
          </cell>
          <cell r="B510">
            <v>1</v>
          </cell>
          <cell r="C510">
            <v>0.21428571428571427</v>
          </cell>
          <cell r="E510">
            <v>0.7857142857142857</v>
          </cell>
          <cell r="F510">
            <v>0</v>
          </cell>
          <cell r="H510">
            <v>1</v>
          </cell>
        </row>
        <row r="511">
          <cell r="A511" t="str">
            <v>D0808.2019.10.1411.00008</v>
          </cell>
          <cell r="B511">
            <v>1</v>
          </cell>
          <cell r="C511">
            <v>5.620267734567494E-2</v>
          </cell>
          <cell r="E511">
            <v>0.3934187414197246</v>
          </cell>
          <cell r="F511">
            <v>0.55037858123460048</v>
          </cell>
          <cell r="H511">
            <v>1</v>
          </cell>
        </row>
        <row r="512">
          <cell r="A512" t="str">
            <v>D0209.2019.10.1411.00008</v>
          </cell>
          <cell r="B512">
            <v>1</v>
          </cell>
          <cell r="C512">
            <v>0.22480280859636947</v>
          </cell>
          <cell r="E512">
            <v>0.77519719140363053</v>
          </cell>
          <cell r="F512">
            <v>0</v>
          </cell>
          <cell r="H512">
            <v>1</v>
          </cell>
        </row>
        <row r="513">
          <cell r="A513" t="str">
            <v>D0209.2019.10.1411.00009</v>
          </cell>
          <cell r="B513">
            <v>1</v>
          </cell>
          <cell r="C513">
            <v>0.22682735519757494</v>
          </cell>
          <cell r="E513">
            <v>0.77317264480242509</v>
          </cell>
          <cell r="F513">
            <v>0</v>
          </cell>
          <cell r="H513">
            <v>1</v>
          </cell>
        </row>
        <row r="514">
          <cell r="A514" t="str">
            <v>D0610.2019.10.1411.00006</v>
          </cell>
          <cell r="B514">
            <v>1</v>
          </cell>
          <cell r="C514">
            <v>0.25</v>
          </cell>
          <cell r="E514">
            <v>0.75</v>
          </cell>
          <cell r="F514">
            <v>0</v>
          </cell>
          <cell r="H514">
            <v>1</v>
          </cell>
        </row>
        <row r="515">
          <cell r="A515" t="str">
            <v>D0211.2019.10.1411.00007</v>
          </cell>
          <cell r="B515">
            <v>1</v>
          </cell>
          <cell r="C515">
            <v>0.85460000216156828</v>
          </cell>
          <cell r="E515">
            <v>0.14539999783843172</v>
          </cell>
          <cell r="F515">
            <v>0</v>
          </cell>
          <cell r="H515">
            <v>1</v>
          </cell>
        </row>
        <row r="516">
          <cell r="A516" t="str">
            <v>D0211.2019.10.1419.00001</v>
          </cell>
          <cell r="B516">
            <v>1</v>
          </cell>
          <cell r="C516">
            <v>0.65297965669465774</v>
          </cell>
          <cell r="E516">
            <v>0.3470203433053422</v>
          </cell>
          <cell r="F516">
            <v>0</v>
          </cell>
          <cell r="H516">
            <v>1</v>
          </cell>
        </row>
        <row r="517">
          <cell r="A517" t="str">
            <v>D0211.2019.10.1419.00002</v>
          </cell>
          <cell r="B517">
            <v>1</v>
          </cell>
          <cell r="C517">
            <v>0.75642260106224446</v>
          </cell>
          <cell r="E517">
            <v>0.24357739893775554</v>
          </cell>
          <cell r="F517">
            <v>0</v>
          </cell>
          <cell r="H517">
            <v>1</v>
          </cell>
        </row>
        <row r="518">
          <cell r="A518" t="str">
            <v>D0211.2019.10.1429.00003</v>
          </cell>
          <cell r="B518">
            <v>1</v>
          </cell>
          <cell r="C518">
            <v>0.6</v>
          </cell>
          <cell r="E518">
            <v>0.4</v>
          </cell>
          <cell r="F518">
            <v>0</v>
          </cell>
          <cell r="H518">
            <v>1</v>
          </cell>
        </row>
        <row r="519">
          <cell r="A519" t="str">
            <v>B01001.2019.10.1229.00012</v>
          </cell>
          <cell r="B519">
            <v>1</v>
          </cell>
          <cell r="C519">
            <v>0.12526880597949766</v>
          </cell>
          <cell r="E519">
            <v>0.87473119402050237</v>
          </cell>
          <cell r="F519">
            <v>0</v>
          </cell>
          <cell r="H519">
            <v>1</v>
          </cell>
        </row>
        <row r="520">
          <cell r="A520" t="str">
            <v>D0401.2019.10.1411.00013</v>
          </cell>
          <cell r="B520">
            <v>1</v>
          </cell>
          <cell r="C520">
            <v>0.12503063250496371</v>
          </cell>
          <cell r="E520">
            <v>0.87496936749503629</v>
          </cell>
          <cell r="F520">
            <v>0</v>
          </cell>
          <cell r="H520">
            <v>1</v>
          </cell>
        </row>
        <row r="521">
          <cell r="A521" t="str">
            <v>B01001.2020.10.1411.00001</v>
          </cell>
          <cell r="B521">
            <v>1</v>
          </cell>
          <cell r="C521">
            <v>1.6666666666666666E-2</v>
          </cell>
          <cell r="E521">
            <v>0.18333333333333332</v>
          </cell>
          <cell r="F521">
            <v>0.8</v>
          </cell>
          <cell r="H521">
            <v>1</v>
          </cell>
        </row>
        <row r="522">
          <cell r="A522" t="str">
            <v>B01001.2020.10.1411.00002</v>
          </cell>
          <cell r="B522">
            <v>1</v>
          </cell>
          <cell r="C522">
            <v>1.5037593984962405E-2</v>
          </cell>
          <cell r="E522">
            <v>0.16541353383458646</v>
          </cell>
          <cell r="F522">
            <v>0.81954887218045114</v>
          </cell>
          <cell r="H522">
            <v>1</v>
          </cell>
        </row>
        <row r="523">
          <cell r="A523" t="str">
            <v>B01001.2020.10.1419.00001</v>
          </cell>
          <cell r="B523">
            <v>1</v>
          </cell>
          <cell r="C523">
            <v>0.83599999916400003</v>
          </cell>
          <cell r="E523">
            <v>0.164000000836</v>
          </cell>
          <cell r="F523">
            <v>0</v>
          </cell>
          <cell r="H523">
            <v>1</v>
          </cell>
        </row>
        <row r="524">
          <cell r="A524" t="str">
            <v>D0201.2020.10.1411.00003</v>
          </cell>
          <cell r="B524">
            <v>1</v>
          </cell>
          <cell r="C524">
            <v>0.45740124252974346</v>
          </cell>
          <cell r="E524">
            <v>0.54259875747025654</v>
          </cell>
          <cell r="F524">
            <v>0</v>
          </cell>
          <cell r="H524">
            <v>1</v>
          </cell>
        </row>
        <row r="525">
          <cell r="A525" t="str">
            <v>D0201.2020.10.1411.00004</v>
          </cell>
          <cell r="B525">
            <v>1</v>
          </cell>
          <cell r="C525">
            <v>0.14965411193379302</v>
          </cell>
          <cell r="E525">
            <v>0.85034588806620703</v>
          </cell>
          <cell r="F525">
            <v>0</v>
          </cell>
          <cell r="H525">
            <v>1</v>
          </cell>
        </row>
        <row r="526">
          <cell r="A526" t="str">
            <v>D0201.2020.10.1411.00005</v>
          </cell>
          <cell r="B526">
            <v>1</v>
          </cell>
          <cell r="C526">
            <v>3.7514246034931767E-2</v>
          </cell>
          <cell r="E526">
            <v>0.41265670638424939</v>
          </cell>
          <cell r="F526">
            <v>0.54982904758081885</v>
          </cell>
          <cell r="H526">
            <v>1</v>
          </cell>
        </row>
        <row r="527">
          <cell r="A527" t="str">
            <v>D0201.2020.10.1419.00001</v>
          </cell>
          <cell r="B527">
            <v>1</v>
          </cell>
          <cell r="C527">
            <v>0.50691996443449527</v>
          </cell>
          <cell r="E527">
            <v>0.49308003556550473</v>
          </cell>
          <cell r="F527">
            <v>0</v>
          </cell>
          <cell r="H527">
            <v>1</v>
          </cell>
        </row>
        <row r="528">
          <cell r="A528" t="str">
            <v>D0201.2020.10.1419.00002</v>
          </cell>
          <cell r="B528">
            <v>1</v>
          </cell>
          <cell r="C528">
            <v>0.29930822386758604</v>
          </cell>
          <cell r="E528">
            <v>0.70069177613241396</v>
          </cell>
          <cell r="F528">
            <v>0</v>
          </cell>
          <cell r="H528">
            <v>1</v>
          </cell>
        </row>
        <row r="529">
          <cell r="A529" t="str">
            <v>D0201.2020.10.1429.00002</v>
          </cell>
          <cell r="B529">
            <v>1</v>
          </cell>
          <cell r="C529">
            <v>0.25</v>
          </cell>
          <cell r="E529">
            <v>0.75</v>
          </cell>
          <cell r="F529">
            <v>0</v>
          </cell>
          <cell r="H529">
            <v>1</v>
          </cell>
        </row>
        <row r="530">
          <cell r="A530" t="str">
            <v>D0203.2020.10.1411.00002</v>
          </cell>
          <cell r="B530">
            <v>1</v>
          </cell>
          <cell r="C530">
            <v>0.1743252979476036</v>
          </cell>
          <cell r="E530">
            <v>0.82567470205239646</v>
          </cell>
          <cell r="F530">
            <v>0</v>
          </cell>
          <cell r="H530">
            <v>1</v>
          </cell>
        </row>
        <row r="531">
          <cell r="A531" t="str">
            <v>D0203.2020.10.1411.00004</v>
          </cell>
          <cell r="B531">
            <v>1</v>
          </cell>
          <cell r="C531">
            <v>0.14285714285714285</v>
          </cell>
          <cell r="E531">
            <v>0.8571428571428571</v>
          </cell>
          <cell r="F531">
            <v>0</v>
          </cell>
          <cell r="H531">
            <v>1</v>
          </cell>
        </row>
        <row r="532">
          <cell r="A532" t="str">
            <v>D0203.2020.10.1411.00005</v>
          </cell>
          <cell r="B532">
            <v>1</v>
          </cell>
          <cell r="C532">
            <v>0.14285714285714285</v>
          </cell>
          <cell r="E532">
            <v>0.8571428571428571</v>
          </cell>
          <cell r="F532">
            <v>0</v>
          </cell>
          <cell r="H532">
            <v>1</v>
          </cell>
        </row>
        <row r="533">
          <cell r="A533" t="str">
            <v>D0203.2020.10.1411.00006</v>
          </cell>
          <cell r="B533">
            <v>1</v>
          </cell>
          <cell r="C533">
            <v>8.2700002927580105E-2</v>
          </cell>
          <cell r="E533">
            <v>0.91729999707241994</v>
          </cell>
          <cell r="F533">
            <v>0</v>
          </cell>
          <cell r="H533">
            <v>1</v>
          </cell>
        </row>
        <row r="534">
          <cell r="A534" t="str">
            <v>D0203.2020.10.1411.00008</v>
          </cell>
          <cell r="B534">
            <v>1</v>
          </cell>
          <cell r="C534">
            <v>0.37499999953125002</v>
          </cell>
          <cell r="E534">
            <v>0.62500000046875004</v>
          </cell>
          <cell r="F534">
            <v>0</v>
          </cell>
          <cell r="H534">
            <v>1</v>
          </cell>
        </row>
        <row r="535">
          <cell r="A535" t="str">
            <v>D0203.2020.10.1429.00003</v>
          </cell>
          <cell r="B535">
            <v>1</v>
          </cell>
          <cell r="C535">
            <v>0.66666666666666663</v>
          </cell>
          <cell r="E535">
            <v>0.33333333333333331</v>
          </cell>
          <cell r="F535">
            <v>0</v>
          </cell>
          <cell r="H535">
            <v>1</v>
          </cell>
        </row>
        <row r="536">
          <cell r="A536" t="str">
            <v>D0605.2020.10.1411.00002</v>
          </cell>
          <cell r="B536">
            <v>1</v>
          </cell>
          <cell r="C536">
            <v>0.83656736333208126</v>
          </cell>
          <cell r="E536">
            <v>0.16343263666791874</v>
          </cell>
          <cell r="F536">
            <v>0</v>
          </cell>
          <cell r="H536">
            <v>1</v>
          </cell>
        </row>
        <row r="537">
          <cell r="A537" t="str">
            <v>D0605.2020.10.1411.00004</v>
          </cell>
          <cell r="B537">
            <v>1</v>
          </cell>
          <cell r="C537">
            <v>0.75609118399191644</v>
          </cell>
          <cell r="E537">
            <v>0.24390881600808353</v>
          </cell>
          <cell r="F537">
            <v>0</v>
          </cell>
          <cell r="H537">
            <v>1</v>
          </cell>
        </row>
        <row r="538">
          <cell r="A538" t="str">
            <v>D0906.2020.10.1411.00004</v>
          </cell>
          <cell r="B538">
            <v>1</v>
          </cell>
          <cell r="C538">
            <v>0.66666666666666663</v>
          </cell>
          <cell r="E538">
            <v>0.33333333333333331</v>
          </cell>
          <cell r="F538">
            <v>0</v>
          </cell>
          <cell r="H538">
            <v>1</v>
          </cell>
        </row>
        <row r="539">
          <cell r="A539" t="str">
            <v>D1007.2020.10.1411.00003</v>
          </cell>
          <cell r="B539">
            <v>1</v>
          </cell>
          <cell r="C539">
            <v>0.5</v>
          </cell>
          <cell r="E539">
            <v>0.5</v>
          </cell>
          <cell r="F539">
            <v>0</v>
          </cell>
          <cell r="H539">
            <v>1</v>
          </cell>
        </row>
        <row r="540">
          <cell r="A540" t="str">
            <v>D0808.2020.10.1411.00001</v>
          </cell>
          <cell r="B540">
            <v>1</v>
          </cell>
          <cell r="C540">
            <v>0.75609118399191644</v>
          </cell>
          <cell r="E540">
            <v>0.24390881600808353</v>
          </cell>
          <cell r="F540">
            <v>0</v>
          </cell>
          <cell r="H540">
            <v>1</v>
          </cell>
        </row>
        <row r="541">
          <cell r="A541" t="str">
            <v>D0209.2020.10.1411.00001</v>
          </cell>
          <cell r="B541">
            <v>1</v>
          </cell>
          <cell r="C541">
            <v>0.75280797374205788</v>
          </cell>
          <cell r="E541">
            <v>0.24719202625794212</v>
          </cell>
          <cell r="F541">
            <v>0</v>
          </cell>
          <cell r="H541">
            <v>1</v>
          </cell>
        </row>
        <row r="542">
          <cell r="A542" t="str">
            <v>D0209.2020.10.1411.00002</v>
          </cell>
          <cell r="B542">
            <v>1</v>
          </cell>
          <cell r="C542">
            <v>0.2</v>
          </cell>
          <cell r="E542">
            <v>0.8</v>
          </cell>
          <cell r="F542">
            <v>0</v>
          </cell>
          <cell r="H542">
            <v>1</v>
          </cell>
        </row>
        <row r="543">
          <cell r="A543" t="str">
            <v>D0209.2020.10.1411.00003</v>
          </cell>
          <cell r="B543">
            <v>1</v>
          </cell>
          <cell r="C543">
            <v>0.2</v>
          </cell>
          <cell r="E543">
            <v>0.8</v>
          </cell>
          <cell r="F543">
            <v>0</v>
          </cell>
          <cell r="H543">
            <v>1</v>
          </cell>
        </row>
        <row r="544">
          <cell r="A544" t="str">
            <v>D0209.2020.10.1411.00004</v>
          </cell>
          <cell r="B544">
            <v>1</v>
          </cell>
          <cell r="C544">
            <v>8.3871086784768345E-2</v>
          </cell>
          <cell r="E544">
            <v>0.91612891321523171</v>
          </cell>
          <cell r="F544">
            <v>0</v>
          </cell>
          <cell r="H544">
            <v>1</v>
          </cell>
        </row>
        <row r="545">
          <cell r="A545" t="str">
            <v>D0209.2020.10.1429.00001</v>
          </cell>
          <cell r="B545">
            <v>1</v>
          </cell>
          <cell r="C545">
            <v>0.1665860112728754</v>
          </cell>
          <cell r="E545">
            <v>0.83341398872712458</v>
          </cell>
          <cell r="F545">
            <v>0</v>
          </cell>
          <cell r="H545">
            <v>1</v>
          </cell>
        </row>
        <row r="546">
          <cell r="A546" t="str">
            <v>D0610.2020.10.1411.00001</v>
          </cell>
          <cell r="B546">
            <v>1</v>
          </cell>
          <cell r="C546">
            <v>0.75609118399191644</v>
          </cell>
          <cell r="E546">
            <v>0.24390881600808353</v>
          </cell>
          <cell r="F546">
            <v>0</v>
          </cell>
          <cell r="H546">
            <v>1</v>
          </cell>
        </row>
        <row r="547">
          <cell r="A547" t="str">
            <v>D0610.2020.10.1411.00003</v>
          </cell>
          <cell r="B547">
            <v>1</v>
          </cell>
          <cell r="C547">
            <v>0.75609118399191644</v>
          </cell>
          <cell r="E547">
            <v>0.24390881600808353</v>
          </cell>
          <cell r="F547">
            <v>0</v>
          </cell>
          <cell r="H547">
            <v>1</v>
          </cell>
        </row>
        <row r="548">
          <cell r="A548" t="str">
            <v>D0211.2020.10.1411.00001</v>
          </cell>
          <cell r="B548">
            <v>1</v>
          </cell>
          <cell r="C548">
            <v>0.68027210884353739</v>
          </cell>
          <cell r="E548">
            <v>0.31972789115646261</v>
          </cell>
          <cell r="F548">
            <v>0</v>
          </cell>
          <cell r="H548">
            <v>1</v>
          </cell>
        </row>
        <row r="549">
          <cell r="A549" t="str">
            <v>D0211.2020.10.1411.00002</v>
          </cell>
          <cell r="B549">
            <v>1</v>
          </cell>
          <cell r="C549">
            <v>0.75609118399191644</v>
          </cell>
          <cell r="E549">
            <v>0.24390881600808353</v>
          </cell>
          <cell r="F549">
            <v>0</v>
          </cell>
          <cell r="H549">
            <v>1</v>
          </cell>
        </row>
        <row r="550">
          <cell r="A550" t="str">
            <v>D0211.2020.10.1411.00003</v>
          </cell>
          <cell r="B550">
            <v>1</v>
          </cell>
          <cell r="C550">
            <v>0.9613535858488752</v>
          </cell>
          <cell r="E550">
            <v>3.8646414151124783E-2</v>
          </cell>
          <cell r="F550">
            <v>0</v>
          </cell>
          <cell r="H550">
            <v>1</v>
          </cell>
        </row>
        <row r="551">
          <cell r="A551" t="str">
            <v>D0211.2020.10.1411.00004</v>
          </cell>
          <cell r="B551">
            <v>1</v>
          </cell>
          <cell r="C551">
            <v>0.98978541452213165</v>
          </cell>
          <cell r="E551">
            <v>1.0214585477868398E-2</v>
          </cell>
          <cell r="F551">
            <v>0</v>
          </cell>
          <cell r="H551">
            <v>1</v>
          </cell>
        </row>
        <row r="552">
          <cell r="A552" t="str">
            <v>D0211.2020.10.1421.00001</v>
          </cell>
          <cell r="B552">
            <v>1</v>
          </cell>
          <cell r="C552">
            <v>0.83854934371736845</v>
          </cell>
          <cell r="E552">
            <v>0.16145065628263155</v>
          </cell>
          <cell r="F552">
            <v>0</v>
          </cell>
          <cell r="H552">
            <v>1</v>
          </cell>
        </row>
        <row r="553">
          <cell r="A553" t="str">
            <v>D0212.2020.10.1411.00001</v>
          </cell>
          <cell r="B553">
            <v>1</v>
          </cell>
          <cell r="C553">
            <v>0.37746475045427885</v>
          </cell>
          <cell r="E553">
            <v>0.62253524954572115</v>
          </cell>
          <cell r="F553">
            <v>0</v>
          </cell>
          <cell r="H553">
            <v>1</v>
          </cell>
        </row>
        <row r="554">
          <cell r="A554" t="str">
            <v>D0212.2020.10.1411.00004</v>
          </cell>
          <cell r="B554">
            <v>1</v>
          </cell>
          <cell r="C554">
            <v>0.75770778241663317</v>
          </cell>
          <cell r="E554">
            <v>0.2422922175833668</v>
          </cell>
          <cell r="F554">
            <v>0</v>
          </cell>
          <cell r="H554">
            <v>1</v>
          </cell>
        </row>
        <row r="555">
          <cell r="A555" t="str">
            <v>D0212.2020.10.1411.00007</v>
          </cell>
          <cell r="B555">
            <v>1</v>
          </cell>
          <cell r="C555">
            <v>0.75769055917563266</v>
          </cell>
          <cell r="E555">
            <v>0.24230944082436734</v>
          </cell>
          <cell r="F555">
            <v>0</v>
          </cell>
          <cell r="H555">
            <v>1</v>
          </cell>
        </row>
        <row r="556">
          <cell r="A556" t="str">
            <v>D0212.2020.10.1429.00001</v>
          </cell>
          <cell r="B556">
            <v>1</v>
          </cell>
          <cell r="C556">
            <v>0.75330247806383188</v>
          </cell>
          <cell r="E556">
            <v>0.24669752193616817</v>
          </cell>
          <cell r="F556">
            <v>0</v>
          </cell>
          <cell r="H556">
            <v>1</v>
          </cell>
        </row>
        <row r="557">
          <cell r="A557" t="str">
            <v>D0301.2020.10.1411.00002</v>
          </cell>
          <cell r="B557">
            <v>1</v>
          </cell>
          <cell r="C557">
            <v>0.75088604553372984</v>
          </cell>
          <cell r="E557">
            <v>0.24911395446627019</v>
          </cell>
          <cell r="F557">
            <v>0</v>
          </cell>
          <cell r="H557">
            <v>1</v>
          </cell>
        </row>
        <row r="558">
          <cell r="A558" t="str">
            <v>D0301.2020.10.1411.00003</v>
          </cell>
          <cell r="B558">
            <v>1</v>
          </cell>
          <cell r="C558">
            <v>0.1380033672821617</v>
          </cell>
          <cell r="E558">
            <v>0.86199663271783833</v>
          </cell>
          <cell r="F558">
            <v>0</v>
          </cell>
          <cell r="H558">
            <v>1</v>
          </cell>
        </row>
        <row r="559">
          <cell r="A559" t="str">
            <v>D0302.2020.10.1411.00002</v>
          </cell>
          <cell r="B559">
            <v>1</v>
          </cell>
          <cell r="C559">
            <v>0.23905179874537918</v>
          </cell>
          <cell r="E559">
            <v>0.76094820125462082</v>
          </cell>
          <cell r="F559">
            <v>0</v>
          </cell>
          <cell r="H559">
            <v>1</v>
          </cell>
        </row>
        <row r="560">
          <cell r="A560" t="str">
            <v>D0302.2020.10.1411.00003</v>
          </cell>
          <cell r="B560">
            <v>1</v>
          </cell>
          <cell r="C560">
            <v>0.1</v>
          </cell>
          <cell r="E560">
            <v>0.9</v>
          </cell>
          <cell r="F560">
            <v>0</v>
          </cell>
          <cell r="H560">
            <v>1</v>
          </cell>
        </row>
        <row r="561">
          <cell r="A561" t="str">
            <v>D0302.2020.10.1429.00001</v>
          </cell>
          <cell r="B561">
            <v>1</v>
          </cell>
          <cell r="C561">
            <v>0.24954956303871512</v>
          </cell>
          <cell r="E561">
            <v>0.75045043696128488</v>
          </cell>
          <cell r="F561">
            <v>0</v>
          </cell>
          <cell r="H561">
            <v>1</v>
          </cell>
        </row>
        <row r="562">
          <cell r="A562" t="str">
            <v>D0401.2020.10.1411.00001</v>
          </cell>
          <cell r="B562">
            <v>1</v>
          </cell>
          <cell r="C562">
            <v>8.3871086784768345E-2</v>
          </cell>
          <cell r="E562">
            <v>0.91612891321523171</v>
          </cell>
          <cell r="F562">
            <v>0</v>
          </cell>
          <cell r="H562">
            <v>1</v>
          </cell>
        </row>
        <row r="563">
          <cell r="A563" t="str">
            <v>D0401.2020.10.1411.00002</v>
          </cell>
          <cell r="B563">
            <v>1</v>
          </cell>
          <cell r="C563">
            <v>9.2592592592592587E-2</v>
          </cell>
          <cell r="E563">
            <v>0.90740740740740744</v>
          </cell>
          <cell r="F563">
            <v>0</v>
          </cell>
          <cell r="H563">
            <v>1</v>
          </cell>
        </row>
        <row r="564">
          <cell r="A564" t="str">
            <v>D0401.2020.10.1411.00003</v>
          </cell>
          <cell r="B564">
            <v>1</v>
          </cell>
          <cell r="C564">
            <v>0.5</v>
          </cell>
          <cell r="E564">
            <v>0.5</v>
          </cell>
          <cell r="F564">
            <v>0</v>
          </cell>
          <cell r="H564">
            <v>1</v>
          </cell>
        </row>
        <row r="565">
          <cell r="A565" t="str">
            <v>D0401.2020.10.1429.00002</v>
          </cell>
          <cell r="B565">
            <v>1</v>
          </cell>
          <cell r="C565">
            <v>0.31288245969667172</v>
          </cell>
          <cell r="E565">
            <v>0.68711754030332828</v>
          </cell>
          <cell r="F565">
            <v>0</v>
          </cell>
          <cell r="H565">
            <v>1</v>
          </cell>
        </row>
        <row r="566">
          <cell r="A566" t="str">
            <v>D0501.2020.10.1411.00001</v>
          </cell>
          <cell r="B566">
            <v>1</v>
          </cell>
          <cell r="C566">
            <v>0.7485775155760267</v>
          </cell>
          <cell r="E566">
            <v>0.25142248442397336</v>
          </cell>
          <cell r="F566">
            <v>0</v>
          </cell>
          <cell r="H566">
            <v>1</v>
          </cell>
        </row>
        <row r="567">
          <cell r="A567" t="str">
            <v>D0704.2020.10.1411.00002</v>
          </cell>
          <cell r="B567">
            <v>1</v>
          </cell>
          <cell r="C567">
            <v>0.5</v>
          </cell>
          <cell r="E567">
            <v>0.5</v>
          </cell>
          <cell r="F567">
            <v>0</v>
          </cell>
          <cell r="H567">
            <v>1</v>
          </cell>
        </row>
        <row r="568">
          <cell r="A568" t="str">
            <v>D0705.2020.10.1411.00020</v>
          </cell>
          <cell r="B568">
            <v>1</v>
          </cell>
          <cell r="C568">
            <v>0.9722897423432183</v>
          </cell>
          <cell r="E568">
            <v>2.7710257656781721E-2</v>
          </cell>
          <cell r="F568">
            <v>0</v>
          </cell>
          <cell r="H568">
            <v>1</v>
          </cell>
        </row>
        <row r="569">
          <cell r="A569" t="str">
            <v>D0707.2020.10.1411.00001</v>
          </cell>
          <cell r="B569">
            <v>1</v>
          </cell>
          <cell r="C569">
            <v>0.1903974928458142</v>
          </cell>
          <cell r="E569">
            <v>0.8096025071541858</v>
          </cell>
          <cell r="F569">
            <v>0</v>
          </cell>
          <cell r="H569">
            <v>1</v>
          </cell>
        </row>
        <row r="570">
          <cell r="A570" t="str">
            <v>D0707.2020.10.1411.00002</v>
          </cell>
          <cell r="B570">
            <v>1</v>
          </cell>
          <cell r="C570">
            <v>0.76923076923076927</v>
          </cell>
          <cell r="E570">
            <v>0.23076923076923078</v>
          </cell>
          <cell r="F570">
            <v>0</v>
          </cell>
          <cell r="H570">
            <v>1</v>
          </cell>
        </row>
        <row r="571">
          <cell r="A571" t="str">
            <v>D0707.2020.10.1411.00003</v>
          </cell>
          <cell r="B571">
            <v>1</v>
          </cell>
          <cell r="C571">
            <v>0.41044209966750655</v>
          </cell>
          <cell r="E571">
            <v>0.58955790033249345</v>
          </cell>
          <cell r="F571">
            <v>0</v>
          </cell>
          <cell r="H571">
            <v>1</v>
          </cell>
        </row>
        <row r="572">
          <cell r="A572" t="str">
            <v>D0707.2020.10.1429.00003</v>
          </cell>
          <cell r="B572">
            <v>1</v>
          </cell>
          <cell r="C572">
            <v>0.14430014430014429</v>
          </cell>
          <cell r="E572">
            <v>0.85569985569985574</v>
          </cell>
          <cell r="F572">
            <v>0</v>
          </cell>
          <cell r="H572">
            <v>1</v>
          </cell>
        </row>
        <row r="573">
          <cell r="A573" t="str">
            <v>D0801.2020.10.1419.00001</v>
          </cell>
          <cell r="B573">
            <v>1</v>
          </cell>
          <cell r="C573">
            <v>0.66666666666666663</v>
          </cell>
          <cell r="E573">
            <v>0.33333333333333331</v>
          </cell>
          <cell r="F573">
            <v>0</v>
          </cell>
          <cell r="H573">
            <v>1</v>
          </cell>
        </row>
        <row r="574">
          <cell r="A574" t="str">
            <v>D0901.2020.10.1429.00001</v>
          </cell>
          <cell r="B574">
            <v>1</v>
          </cell>
          <cell r="C574">
            <v>0.66666666666666663</v>
          </cell>
          <cell r="E574">
            <v>0.33333333333333331</v>
          </cell>
          <cell r="F574">
            <v>0</v>
          </cell>
          <cell r="H574">
            <v>1</v>
          </cell>
        </row>
        <row r="575">
          <cell r="A575" t="str">
            <v>D0605.2020.10.1226.00007</v>
          </cell>
          <cell r="B575">
            <v>1</v>
          </cell>
          <cell r="C575">
            <v>0.22222222222222221</v>
          </cell>
          <cell r="E575">
            <v>0.77777777777777779</v>
          </cell>
          <cell r="F575">
            <v>0</v>
          </cell>
          <cell r="H575">
            <v>1</v>
          </cell>
        </row>
        <row r="576">
          <cell r="A576" t="str">
            <v>D0605.2020.10.1226.00004</v>
          </cell>
          <cell r="B576">
            <v>1</v>
          </cell>
          <cell r="C576">
            <v>0.25</v>
          </cell>
          <cell r="E576">
            <v>0.75</v>
          </cell>
          <cell r="F576">
            <v>0</v>
          </cell>
          <cell r="H576">
            <v>1</v>
          </cell>
        </row>
        <row r="577">
          <cell r="A577" t="str">
            <v>D0706.2020.10.1226.00002</v>
          </cell>
          <cell r="B577">
            <v>1</v>
          </cell>
          <cell r="C577">
            <v>0.37037037037037035</v>
          </cell>
          <cell r="E577">
            <v>0.62962962962962965</v>
          </cell>
          <cell r="F577">
            <v>0</v>
          </cell>
          <cell r="H577">
            <v>1</v>
          </cell>
        </row>
        <row r="578">
          <cell r="A578" t="str">
            <v>D0202.2020.10.1226.00003</v>
          </cell>
          <cell r="B578">
            <v>1</v>
          </cell>
          <cell r="C578">
            <v>0.5</v>
          </cell>
          <cell r="E578">
            <v>0.5</v>
          </cell>
          <cell r="F578">
            <v>0</v>
          </cell>
          <cell r="H578">
            <v>1</v>
          </cell>
        </row>
        <row r="579">
          <cell r="A579" t="str">
            <v>D0402.2020.10.1226.00001</v>
          </cell>
          <cell r="B579">
            <v>1</v>
          </cell>
          <cell r="C579">
            <v>0.66666666666666663</v>
          </cell>
          <cell r="E579">
            <v>0.33333333333333331</v>
          </cell>
          <cell r="F579">
            <v>0</v>
          </cell>
          <cell r="H579">
            <v>1</v>
          </cell>
        </row>
        <row r="580">
          <cell r="A580" t="str">
            <v>D0610.2020.10.1226.00005</v>
          </cell>
          <cell r="B580">
            <v>1</v>
          </cell>
          <cell r="C580">
            <v>0.22222222222222221</v>
          </cell>
          <cell r="E580">
            <v>0.77777777777777779</v>
          </cell>
          <cell r="F580">
            <v>0</v>
          </cell>
          <cell r="H580">
            <v>1</v>
          </cell>
        </row>
        <row r="581">
          <cell r="A581" t="str">
            <v>D0203.2020.10.1226.00001</v>
          </cell>
          <cell r="B581">
            <v>1</v>
          </cell>
          <cell r="C581">
            <v>0.16880186964950825</v>
          </cell>
          <cell r="E581">
            <v>0.83119813035049173</v>
          </cell>
          <cell r="F581">
            <v>0</v>
          </cell>
          <cell r="H581">
            <v>1</v>
          </cell>
        </row>
        <row r="582">
          <cell r="A582" t="str">
            <v>D1002.2020.10.1226.00008</v>
          </cell>
          <cell r="B582">
            <v>1</v>
          </cell>
          <cell r="C582">
            <v>0.25</v>
          </cell>
          <cell r="E582">
            <v>0.75</v>
          </cell>
          <cell r="F582">
            <v>0</v>
          </cell>
          <cell r="H582">
            <v>1</v>
          </cell>
        </row>
        <row r="583">
          <cell r="A583" t="str">
            <v>D0605.2020.10.1226.00003</v>
          </cell>
          <cell r="B583">
            <v>1</v>
          </cell>
          <cell r="C583">
            <v>0.25</v>
          </cell>
          <cell r="E583">
            <v>0.75</v>
          </cell>
          <cell r="F583">
            <v>0</v>
          </cell>
          <cell r="H583">
            <v>1</v>
          </cell>
        </row>
        <row r="584">
          <cell r="A584" t="str">
            <v>D0203.2020.10.1311.00001</v>
          </cell>
          <cell r="B584">
            <v>1</v>
          </cell>
          <cell r="C584">
            <v>0.46133973057759736</v>
          </cell>
          <cell r="E584">
            <v>0.53866026942240264</v>
          </cell>
          <cell r="F584">
            <v>0</v>
          </cell>
          <cell r="H584">
            <v>1</v>
          </cell>
        </row>
        <row r="585">
          <cell r="A585" t="str">
            <v>D0212.2020.10.1311.00001</v>
          </cell>
          <cell r="B585">
            <v>1</v>
          </cell>
          <cell r="C585">
            <v>0.11871116564318492</v>
          </cell>
          <cell r="E585">
            <v>0.88128883435681504</v>
          </cell>
          <cell r="F585">
            <v>0</v>
          </cell>
          <cell r="H585">
            <v>1</v>
          </cell>
        </row>
        <row r="586">
          <cell r="A586" t="str">
            <v>D0201.2018.10.1311.00001</v>
          </cell>
          <cell r="B586">
            <v>1</v>
          </cell>
          <cell r="C586">
            <v>0.29401819972656307</v>
          </cell>
          <cell r="E586">
            <v>0.70598180027343693</v>
          </cell>
          <cell r="F586">
            <v>0</v>
          </cell>
          <cell r="H586">
            <v>1</v>
          </cell>
        </row>
        <row r="587">
          <cell r="A587" t="str">
            <v>B01001.2020.10.1411.00003</v>
          </cell>
          <cell r="B587">
            <v>1</v>
          </cell>
          <cell r="C587">
            <v>0.15575001810593961</v>
          </cell>
          <cell r="E587">
            <v>0.84424998189406042</v>
          </cell>
          <cell r="F587">
            <v>0</v>
          </cell>
          <cell r="H587">
            <v>1</v>
          </cell>
        </row>
        <row r="588">
          <cell r="A588" t="str">
            <v>B01001.2020.10.1411.00004</v>
          </cell>
          <cell r="B588">
            <v>1</v>
          </cell>
          <cell r="C588">
            <v>5.2083333333333336E-2</v>
          </cell>
          <cell r="E588">
            <v>0.57291666666666663</v>
          </cell>
          <cell r="F588">
            <v>0.375</v>
          </cell>
          <cell r="H588">
            <v>1</v>
          </cell>
        </row>
        <row r="589">
          <cell r="A589" t="str">
            <v>B01001.2020.10.1411.00005</v>
          </cell>
          <cell r="B589">
            <v>1</v>
          </cell>
          <cell r="C589">
            <v>5.2083333333333336E-2</v>
          </cell>
          <cell r="E589">
            <v>0.57291666666666663</v>
          </cell>
          <cell r="F589">
            <v>0.375</v>
          </cell>
          <cell r="H589">
            <v>1</v>
          </cell>
        </row>
        <row r="590">
          <cell r="A590" t="str">
            <v>B01001.2020.10.1411.00008</v>
          </cell>
          <cell r="B590">
            <v>1</v>
          </cell>
          <cell r="C590">
            <v>3.1496062992125984E-2</v>
          </cell>
          <cell r="E590">
            <v>0.34645669291338582</v>
          </cell>
          <cell r="F590">
            <v>0.62204724409448819</v>
          </cell>
          <cell r="H590">
            <v>1</v>
          </cell>
        </row>
        <row r="591">
          <cell r="A591" t="str">
            <v>D0201.2020.10.1411.00006</v>
          </cell>
          <cell r="B591">
            <v>1</v>
          </cell>
          <cell r="C591">
            <v>0.1510135234875486</v>
          </cell>
          <cell r="E591">
            <v>0.8489864765124514</v>
          </cell>
          <cell r="F591">
            <v>0</v>
          </cell>
          <cell r="H591">
            <v>1</v>
          </cell>
        </row>
        <row r="592">
          <cell r="A592" t="str">
            <v>D0201.2020.10.1411.00007</v>
          </cell>
          <cell r="B592">
            <v>1</v>
          </cell>
          <cell r="C592">
            <v>0.15014393802587322</v>
          </cell>
          <cell r="E592">
            <v>0</v>
          </cell>
          <cell r="F592">
            <v>0.84985606197412678</v>
          </cell>
          <cell r="H592">
            <v>1</v>
          </cell>
        </row>
        <row r="593">
          <cell r="A593" t="str">
            <v>D0203.2020.10.1429.00005</v>
          </cell>
          <cell r="B593">
            <v>1</v>
          </cell>
          <cell r="C593">
            <v>7.7730275942479596E-2</v>
          </cell>
          <cell r="E593">
            <v>0.92226972405752039</v>
          </cell>
          <cell r="F593">
            <v>0</v>
          </cell>
          <cell r="H593">
            <v>1</v>
          </cell>
        </row>
        <row r="594">
          <cell r="A594" t="str">
            <v>D0605.2020.10.1411.00005</v>
          </cell>
          <cell r="B594">
            <v>1</v>
          </cell>
          <cell r="C594">
            <v>0.2</v>
          </cell>
          <cell r="E594">
            <v>0.8</v>
          </cell>
          <cell r="F594">
            <v>0</v>
          </cell>
          <cell r="H594">
            <v>1</v>
          </cell>
        </row>
        <row r="595">
          <cell r="A595" t="str">
            <v>D0605.2020.10.1411.00006</v>
          </cell>
          <cell r="B595">
            <v>1</v>
          </cell>
          <cell r="C595">
            <v>0.41666666666666669</v>
          </cell>
          <cell r="E595">
            <v>0.58333333333333337</v>
          </cell>
          <cell r="F595">
            <v>0</v>
          </cell>
          <cell r="H595">
            <v>1</v>
          </cell>
        </row>
        <row r="596">
          <cell r="A596" t="str">
            <v>D0605.2020.10.1411.00007</v>
          </cell>
          <cell r="B596">
            <v>1</v>
          </cell>
          <cell r="C596">
            <v>0.3782317005338105</v>
          </cell>
          <cell r="E596">
            <v>0.6217682994661895</v>
          </cell>
          <cell r="F596">
            <v>0</v>
          </cell>
          <cell r="H596">
            <v>1</v>
          </cell>
        </row>
        <row r="597">
          <cell r="A597" t="str">
            <v>D0605.2020.10.1411.00009</v>
          </cell>
          <cell r="B597">
            <v>1</v>
          </cell>
          <cell r="C597">
            <v>0.91900000154392003</v>
          </cell>
          <cell r="E597">
            <v>8.0999998456079997E-2</v>
          </cell>
          <cell r="F597">
            <v>0</v>
          </cell>
          <cell r="H597">
            <v>1</v>
          </cell>
        </row>
        <row r="598">
          <cell r="A598" t="str">
            <v>D0605.2020.10.1429.00005</v>
          </cell>
          <cell r="B598">
            <v>1</v>
          </cell>
          <cell r="C598">
            <v>0.1556442035763925</v>
          </cell>
          <cell r="E598">
            <v>0.84435579642360747</v>
          </cell>
          <cell r="F598">
            <v>0</v>
          </cell>
          <cell r="H598">
            <v>1</v>
          </cell>
        </row>
        <row r="599">
          <cell r="A599" t="str">
            <v>D0605.2020.10.1429.00006</v>
          </cell>
          <cell r="B599">
            <v>1</v>
          </cell>
          <cell r="C599">
            <v>0.14285714285714285</v>
          </cell>
          <cell r="E599">
            <v>0.8571428571428571</v>
          </cell>
          <cell r="F599">
            <v>0</v>
          </cell>
          <cell r="H599">
            <v>1</v>
          </cell>
        </row>
        <row r="600">
          <cell r="A600" t="str">
            <v>D1007.2020.10.1411.00005</v>
          </cell>
          <cell r="B600">
            <v>1</v>
          </cell>
          <cell r="C600">
            <v>0.66666666666666663</v>
          </cell>
          <cell r="E600">
            <v>0.33333333333333331</v>
          </cell>
          <cell r="F600">
            <v>0</v>
          </cell>
          <cell r="H600">
            <v>1</v>
          </cell>
        </row>
        <row r="601">
          <cell r="A601" t="str">
            <v>D0209.2020.10.1411.00007</v>
          </cell>
          <cell r="B601">
            <v>1</v>
          </cell>
          <cell r="C601">
            <v>0.66666666666666663</v>
          </cell>
          <cell r="E601">
            <v>0.33333333333333331</v>
          </cell>
          <cell r="F601">
            <v>0</v>
          </cell>
          <cell r="H601">
            <v>1</v>
          </cell>
        </row>
        <row r="602">
          <cell r="A602" t="str">
            <v>D0209.2020.10.1411.00008</v>
          </cell>
          <cell r="B602">
            <v>1</v>
          </cell>
          <cell r="C602">
            <v>0.75646300050201909</v>
          </cell>
          <cell r="E602">
            <v>0.24353699949798088</v>
          </cell>
          <cell r="F602">
            <v>0</v>
          </cell>
          <cell r="H602">
            <v>1</v>
          </cell>
        </row>
        <row r="603">
          <cell r="A603" t="str">
            <v>D0209.2020.10.1411.00009</v>
          </cell>
          <cell r="B603">
            <v>1</v>
          </cell>
          <cell r="C603">
            <v>0.1493999999638452</v>
          </cell>
          <cell r="E603">
            <v>0.85060000003615477</v>
          </cell>
          <cell r="F603">
            <v>0</v>
          </cell>
          <cell r="H603">
            <v>1</v>
          </cell>
        </row>
        <row r="604">
          <cell r="A604" t="str">
            <v>D0211.2020.10.1411.00012</v>
          </cell>
          <cell r="B604">
            <v>1</v>
          </cell>
          <cell r="C604">
            <v>0.28032333323011827</v>
          </cell>
          <cell r="E604">
            <v>0.71967666676988173</v>
          </cell>
          <cell r="F604">
            <v>0</v>
          </cell>
          <cell r="H604">
            <v>1</v>
          </cell>
        </row>
        <row r="605">
          <cell r="A605" t="str">
            <v>D0211.2020.10.1411.00013</v>
          </cell>
          <cell r="B605">
            <v>1</v>
          </cell>
          <cell r="C605">
            <v>0.75609118399191644</v>
          </cell>
          <cell r="E605">
            <v>0.24390881600808353</v>
          </cell>
          <cell r="F605">
            <v>0</v>
          </cell>
          <cell r="H605">
            <v>1</v>
          </cell>
        </row>
        <row r="606">
          <cell r="A606" t="str">
            <v>D0211.2020.10.1419.00001</v>
          </cell>
          <cell r="B606">
            <v>1</v>
          </cell>
          <cell r="C606">
            <v>0.83367999831863415</v>
          </cell>
          <cell r="E606">
            <v>0.16632000168136582</v>
          </cell>
          <cell r="F606">
            <v>0</v>
          </cell>
          <cell r="H606">
            <v>1</v>
          </cell>
        </row>
        <row r="607">
          <cell r="A607" t="str">
            <v>D0211.2020.10.1429.00002</v>
          </cell>
          <cell r="B607">
            <v>1</v>
          </cell>
          <cell r="C607">
            <v>0.4</v>
          </cell>
          <cell r="E607">
            <v>0.6</v>
          </cell>
          <cell r="F607">
            <v>0</v>
          </cell>
          <cell r="H607">
            <v>1</v>
          </cell>
        </row>
        <row r="608">
          <cell r="A608" t="str">
            <v>D0301.2020.10.1411.00005</v>
          </cell>
          <cell r="B608">
            <v>1</v>
          </cell>
          <cell r="C608">
            <v>0.5</v>
          </cell>
          <cell r="E608">
            <v>0.5</v>
          </cell>
          <cell r="F608">
            <v>0</v>
          </cell>
          <cell r="H608">
            <v>1</v>
          </cell>
        </row>
        <row r="609">
          <cell r="A609" t="str">
            <v>D0302.2020.10.1312.00002</v>
          </cell>
          <cell r="B609">
            <v>1</v>
          </cell>
          <cell r="C609">
            <v>0.7815781434463982</v>
          </cell>
          <cell r="E609">
            <v>0.21842185655360175</v>
          </cell>
          <cell r="F609">
            <v>0</v>
          </cell>
          <cell r="H609">
            <v>1</v>
          </cell>
        </row>
        <row r="610">
          <cell r="A610" t="str">
            <v>D0401.2020.10.1411.00005</v>
          </cell>
          <cell r="B610">
            <v>1</v>
          </cell>
          <cell r="C610">
            <v>0.27836489573703649</v>
          </cell>
          <cell r="E610">
            <v>0.72163510426296351</v>
          </cell>
          <cell r="F610">
            <v>0</v>
          </cell>
          <cell r="H610">
            <v>1</v>
          </cell>
        </row>
        <row r="611">
          <cell r="A611" t="str">
            <v>D0401.2020.10.1429.00004</v>
          </cell>
          <cell r="B611">
            <v>1</v>
          </cell>
          <cell r="C611">
            <v>0.37707390648567118</v>
          </cell>
          <cell r="E611">
            <v>0.62292609351432882</v>
          </cell>
          <cell r="F611">
            <v>0</v>
          </cell>
          <cell r="H611">
            <v>1</v>
          </cell>
        </row>
        <row r="612">
          <cell r="A612" t="str">
            <v>D0401.2020.10.1429.00005</v>
          </cell>
          <cell r="B612">
            <v>1</v>
          </cell>
          <cell r="C612">
            <v>0.16701893744222188</v>
          </cell>
          <cell r="E612">
            <v>0.83298106255777815</v>
          </cell>
          <cell r="F612">
            <v>0</v>
          </cell>
          <cell r="H612">
            <v>1</v>
          </cell>
        </row>
        <row r="613">
          <cell r="A613" t="str">
            <v>D0501.2020.10.1419.00001</v>
          </cell>
          <cell r="B613">
            <v>1</v>
          </cell>
          <cell r="C613">
            <v>0.5</v>
          </cell>
          <cell r="E613">
            <v>0.5</v>
          </cell>
          <cell r="F613">
            <v>0</v>
          </cell>
          <cell r="H613">
            <v>1</v>
          </cell>
        </row>
        <row r="614">
          <cell r="A614" t="str">
            <v>D0501.2020.10.1419.00002</v>
          </cell>
          <cell r="B614">
            <v>1</v>
          </cell>
          <cell r="C614">
            <v>0.5</v>
          </cell>
          <cell r="E614">
            <v>0.5</v>
          </cell>
          <cell r="F614">
            <v>0</v>
          </cell>
          <cell r="H614">
            <v>1</v>
          </cell>
        </row>
        <row r="615">
          <cell r="A615" t="str">
            <v>D0704.2020.10.1421.00001</v>
          </cell>
          <cell r="B615">
            <v>1</v>
          </cell>
          <cell r="C615">
            <v>0.2339376065244512</v>
          </cell>
          <cell r="E615">
            <v>0.76606239347554883</v>
          </cell>
          <cell r="F615">
            <v>0</v>
          </cell>
          <cell r="H615">
            <v>1</v>
          </cell>
        </row>
        <row r="616">
          <cell r="A616" t="str">
            <v>D0705.2020.10.1411.00023</v>
          </cell>
          <cell r="B616">
            <v>1</v>
          </cell>
          <cell r="C616">
            <v>0.64516129032258063</v>
          </cell>
          <cell r="E616">
            <v>0.35483870967741937</v>
          </cell>
          <cell r="F616">
            <v>0</v>
          </cell>
          <cell r="H616">
            <v>1</v>
          </cell>
        </row>
        <row r="617">
          <cell r="A617" t="str">
            <v>D0704.2020.10.1226.00008</v>
          </cell>
          <cell r="B617">
            <v>1</v>
          </cell>
          <cell r="C617">
            <v>0.5</v>
          </cell>
          <cell r="E617">
            <v>0.5</v>
          </cell>
          <cell r="F617">
            <v>0</v>
          </cell>
          <cell r="H617">
            <v>1</v>
          </cell>
        </row>
        <row r="618">
          <cell r="A618" t="str">
            <v>D0305.2020.10.1226.00016</v>
          </cell>
          <cell r="B618">
            <v>1</v>
          </cell>
          <cell r="C618">
            <v>0.32824221515039848</v>
          </cell>
          <cell r="E618">
            <v>0.67175778484960158</v>
          </cell>
          <cell r="F618">
            <v>0</v>
          </cell>
          <cell r="H618">
            <v>1</v>
          </cell>
        </row>
        <row r="619">
          <cell r="A619" t="str">
            <v>D0303.2020.10.1226.00010</v>
          </cell>
          <cell r="B619">
            <v>1</v>
          </cell>
          <cell r="C619">
            <v>0.14285714285714285</v>
          </cell>
          <cell r="E619">
            <v>0.8571428571428571</v>
          </cell>
          <cell r="F619">
            <v>0</v>
          </cell>
          <cell r="H619">
            <v>1</v>
          </cell>
        </row>
        <row r="620">
          <cell r="A620" t="str">
            <v>D0906.2020.10.1226.00013</v>
          </cell>
          <cell r="B620">
            <v>1</v>
          </cell>
          <cell r="C620">
            <v>0.5</v>
          </cell>
          <cell r="E620">
            <v>0.5</v>
          </cell>
          <cell r="F620">
            <v>0</v>
          </cell>
          <cell r="H620">
            <v>1</v>
          </cell>
        </row>
        <row r="621">
          <cell r="A621" t="str">
            <v>D1002.2020.10.1226.00011</v>
          </cell>
          <cell r="B621">
            <v>1</v>
          </cell>
          <cell r="C621">
            <v>0.33333333333333331</v>
          </cell>
          <cell r="E621">
            <v>0.66666666666666663</v>
          </cell>
          <cell r="F621">
            <v>0</v>
          </cell>
          <cell r="H621">
            <v>1</v>
          </cell>
        </row>
        <row r="622">
          <cell r="A622" t="str">
            <v>D1002.2020.10.1226.00015</v>
          </cell>
          <cell r="B622">
            <v>1</v>
          </cell>
          <cell r="C622">
            <v>0.66666666666666663</v>
          </cell>
          <cell r="E622">
            <v>0.33333333333333331</v>
          </cell>
          <cell r="F622">
            <v>0</v>
          </cell>
          <cell r="H622">
            <v>1</v>
          </cell>
        </row>
        <row r="623">
          <cell r="A623" t="str">
            <v>D1002.2020.10.1226.00014</v>
          </cell>
          <cell r="B623">
            <v>1</v>
          </cell>
          <cell r="C623">
            <v>0.33333333333333331</v>
          </cell>
          <cell r="E623">
            <v>0.66666666666666663</v>
          </cell>
          <cell r="F623">
            <v>0</v>
          </cell>
          <cell r="H623">
            <v>1</v>
          </cell>
        </row>
        <row r="624">
          <cell r="A624" t="str">
            <v>D0401.2020.10.1226.00004</v>
          </cell>
          <cell r="B624">
            <v>1</v>
          </cell>
          <cell r="C624">
            <v>0.75414781297134237</v>
          </cell>
          <cell r="E624">
            <v>0.2458521870286576</v>
          </cell>
          <cell r="F624">
            <v>0</v>
          </cell>
          <cell r="H624">
            <v>1</v>
          </cell>
        </row>
        <row r="625">
          <cell r="A625" t="str">
            <v>D1002.2020.10.1226.00013</v>
          </cell>
          <cell r="B625">
            <v>1</v>
          </cell>
          <cell r="C625">
            <v>0.33333333333333331</v>
          </cell>
          <cell r="E625">
            <v>0.66666666666666663</v>
          </cell>
          <cell r="F625">
            <v>0</v>
          </cell>
          <cell r="H625">
            <v>1</v>
          </cell>
        </row>
        <row r="626">
          <cell r="A626" t="str">
            <v>D1002.2020.10.1226.00012</v>
          </cell>
          <cell r="B626">
            <v>1</v>
          </cell>
          <cell r="C626">
            <v>0.33333333333333331</v>
          </cell>
          <cell r="E626">
            <v>0.66666666666666663</v>
          </cell>
          <cell r="F626">
            <v>0</v>
          </cell>
          <cell r="H626">
            <v>1</v>
          </cell>
        </row>
        <row r="627">
          <cell r="A627" t="str">
            <v>D0501.2020.10.1226.00009</v>
          </cell>
          <cell r="B627">
            <v>1</v>
          </cell>
          <cell r="C627">
            <v>0.1069017497502428</v>
          </cell>
          <cell r="E627">
            <v>0.8930982502497572</v>
          </cell>
          <cell r="F627">
            <v>0</v>
          </cell>
          <cell r="H627">
            <v>1</v>
          </cell>
        </row>
        <row r="628">
          <cell r="A628" t="str">
            <v>D1002.2020.10.1226.00017</v>
          </cell>
          <cell r="B628">
            <v>1</v>
          </cell>
          <cell r="C628">
            <v>0.5</v>
          </cell>
          <cell r="E628">
            <v>0.5</v>
          </cell>
          <cell r="F628">
            <v>0</v>
          </cell>
          <cell r="H628">
            <v>1</v>
          </cell>
        </row>
        <row r="629">
          <cell r="A629" t="str">
            <v>D0906.2020.10.1226.00011</v>
          </cell>
          <cell r="B629">
            <v>1</v>
          </cell>
          <cell r="C629">
            <v>0.5</v>
          </cell>
          <cell r="E629">
            <v>0.5</v>
          </cell>
          <cell r="F629">
            <v>0</v>
          </cell>
          <cell r="H629">
            <v>1</v>
          </cell>
        </row>
        <row r="630">
          <cell r="A630" t="str">
            <v>D0906.2020.10.1226.00007</v>
          </cell>
          <cell r="B630">
            <v>1</v>
          </cell>
          <cell r="C630">
            <v>0.2</v>
          </cell>
          <cell r="E630">
            <v>0.8</v>
          </cell>
          <cell r="F630">
            <v>0</v>
          </cell>
          <cell r="H630">
            <v>1</v>
          </cell>
        </row>
        <row r="631">
          <cell r="A631" t="str">
            <v>D0906.2020.10.1226.00012</v>
          </cell>
          <cell r="B631">
            <v>1</v>
          </cell>
          <cell r="C631">
            <v>0.1</v>
          </cell>
          <cell r="E631">
            <v>0.9</v>
          </cell>
          <cell r="F631">
            <v>0</v>
          </cell>
          <cell r="H631">
            <v>1</v>
          </cell>
        </row>
        <row r="632">
          <cell r="A632" t="str">
            <v>B01001.2020.10.1411.00007</v>
          </cell>
          <cell r="B632">
            <v>1</v>
          </cell>
          <cell r="C632">
            <v>5.1916672701979867E-2</v>
          </cell>
          <cell r="E632">
            <v>0.48808332729802012</v>
          </cell>
          <cell r="F632">
            <v>0.46</v>
          </cell>
          <cell r="H632">
            <v>1</v>
          </cell>
        </row>
        <row r="633">
          <cell r="A633" t="str">
            <v>B01001.2020.10.1411.00009</v>
          </cell>
          <cell r="B633">
            <v>1</v>
          </cell>
          <cell r="C633">
            <v>3.0769230769230771E-2</v>
          </cell>
          <cell r="E633">
            <v>0.33846153846153848</v>
          </cell>
          <cell r="F633">
            <v>0.63076923076923075</v>
          </cell>
          <cell r="H633">
            <v>1</v>
          </cell>
        </row>
        <row r="634">
          <cell r="A634" t="str">
            <v>B01001.2020.10.1411.00010</v>
          </cell>
          <cell r="B634">
            <v>1</v>
          </cell>
          <cell r="E634">
            <v>3.5076540000000003E-2</v>
          </cell>
          <cell r="F634">
            <v>0.96492345999999996</v>
          </cell>
          <cell r="H634">
            <v>1</v>
          </cell>
        </row>
        <row r="635">
          <cell r="A635" t="str">
            <v>B01001.2020.10.1411.00012</v>
          </cell>
          <cell r="B635">
            <v>1</v>
          </cell>
          <cell r="C635">
            <v>2.564102564102564E-2</v>
          </cell>
          <cell r="E635">
            <v>0.28205128205128199</v>
          </cell>
          <cell r="F635">
            <v>0.6923076923076924</v>
          </cell>
          <cell r="H635">
            <v>1</v>
          </cell>
        </row>
        <row r="636">
          <cell r="A636" t="str">
            <v>B01001.2020.10.1411.00013</v>
          </cell>
          <cell r="B636">
            <v>1</v>
          </cell>
          <cell r="C636">
            <v>0.16692450939217446</v>
          </cell>
          <cell r="E636">
            <v>0.8330754906078256</v>
          </cell>
          <cell r="F636">
            <v>0</v>
          </cell>
          <cell r="H636">
            <v>1</v>
          </cell>
        </row>
        <row r="637">
          <cell r="A637" t="str">
            <v>B01001.2020.10.1429.00001</v>
          </cell>
          <cell r="B637">
            <v>1</v>
          </cell>
          <cell r="C637">
            <v>0.16692450939217446</v>
          </cell>
          <cell r="E637">
            <v>0.8330754906078256</v>
          </cell>
          <cell r="F637">
            <v>0</v>
          </cell>
          <cell r="H637">
            <v>1</v>
          </cell>
        </row>
        <row r="638">
          <cell r="A638" t="str">
            <v>D0203.2020.10.1411.00012</v>
          </cell>
          <cell r="B638">
            <v>1</v>
          </cell>
          <cell r="C638">
            <v>0.6912076725157581</v>
          </cell>
          <cell r="E638">
            <v>0.30879232748424185</v>
          </cell>
          <cell r="F638">
            <v>0</v>
          </cell>
          <cell r="H638">
            <v>1</v>
          </cell>
        </row>
        <row r="639">
          <cell r="A639" t="str">
            <v>D0203.2020.10.1429.00008</v>
          </cell>
          <cell r="B639">
            <v>1</v>
          </cell>
          <cell r="C639">
            <v>0.38770512605883239</v>
          </cell>
          <cell r="E639">
            <v>0.61229487394116766</v>
          </cell>
          <cell r="F639">
            <v>0</v>
          </cell>
          <cell r="H639">
            <v>1</v>
          </cell>
        </row>
        <row r="640">
          <cell r="A640" t="str">
            <v>D0605.2020.10.1312.00001</v>
          </cell>
          <cell r="B640">
            <v>1</v>
          </cell>
          <cell r="C640">
            <v>0.13333333333333333</v>
          </cell>
          <cell r="E640">
            <v>0.8666666666666667</v>
          </cell>
          <cell r="F640">
            <v>0</v>
          </cell>
          <cell r="H640">
            <v>1</v>
          </cell>
        </row>
        <row r="641">
          <cell r="A641" t="str">
            <v>D0605.2020.10.1411.00011</v>
          </cell>
          <cell r="B641">
            <v>1</v>
          </cell>
          <cell r="C641">
            <v>1</v>
          </cell>
          <cell r="E641">
            <v>0</v>
          </cell>
          <cell r="F641">
            <v>0</v>
          </cell>
          <cell r="H641">
            <v>1</v>
          </cell>
        </row>
        <row r="642">
          <cell r="A642" t="str">
            <v>D0605.2020.10.1411.00013</v>
          </cell>
          <cell r="B642">
            <v>1</v>
          </cell>
          <cell r="C642">
            <v>0.2</v>
          </cell>
          <cell r="E642">
            <v>0.8</v>
          </cell>
          <cell r="F642">
            <v>0</v>
          </cell>
          <cell r="H642">
            <v>1</v>
          </cell>
        </row>
        <row r="643">
          <cell r="A643" t="str">
            <v>D0605.2020.10.1429.00007</v>
          </cell>
          <cell r="B643">
            <v>1</v>
          </cell>
          <cell r="C643">
            <v>0.66666666666666663</v>
          </cell>
          <cell r="E643">
            <v>0.33333333333333331</v>
          </cell>
          <cell r="F643">
            <v>0</v>
          </cell>
          <cell r="H643">
            <v>1</v>
          </cell>
        </row>
        <row r="644">
          <cell r="A644" t="str">
            <v>D1007.2020.10.1411.00009</v>
          </cell>
          <cell r="B644">
            <v>1</v>
          </cell>
          <cell r="C644">
            <v>0.1</v>
          </cell>
          <cell r="E644">
            <v>0.9</v>
          </cell>
          <cell r="F644">
            <v>0</v>
          </cell>
          <cell r="H644">
            <v>1</v>
          </cell>
        </row>
        <row r="645">
          <cell r="A645" t="str">
            <v>D0808.2020.10.1429.00001</v>
          </cell>
          <cell r="B645">
            <v>1</v>
          </cell>
          <cell r="C645">
            <v>0.66666666666666663</v>
          </cell>
          <cell r="E645">
            <v>0.33333333333333331</v>
          </cell>
          <cell r="F645">
            <v>0</v>
          </cell>
          <cell r="H645">
            <v>1</v>
          </cell>
        </row>
        <row r="646">
          <cell r="A646" t="str">
            <v>D0209.2020.10.1411.00010</v>
          </cell>
          <cell r="B646">
            <v>1</v>
          </cell>
          <cell r="C646">
            <v>0.75182882361343972</v>
          </cell>
          <cell r="E646">
            <v>0.2481711763865603</v>
          </cell>
          <cell r="F646">
            <v>0</v>
          </cell>
          <cell r="H646">
            <v>1</v>
          </cell>
        </row>
        <row r="647">
          <cell r="A647" t="str">
            <v>D0610.2020.10.1411.00004</v>
          </cell>
          <cell r="B647">
            <v>1</v>
          </cell>
          <cell r="C647">
            <v>0.49603934409471512</v>
          </cell>
          <cell r="E647">
            <v>0.50396065590528494</v>
          </cell>
          <cell r="F647">
            <v>0</v>
          </cell>
          <cell r="H647">
            <v>1</v>
          </cell>
        </row>
        <row r="648">
          <cell r="A648" t="str">
            <v>D0610.2020.10.1411.00005</v>
          </cell>
          <cell r="B648">
            <v>1</v>
          </cell>
          <cell r="C648">
            <v>0.66666666666666663</v>
          </cell>
          <cell r="E648">
            <v>0.33333333333333331</v>
          </cell>
          <cell r="F648">
            <v>0</v>
          </cell>
          <cell r="H648">
            <v>1</v>
          </cell>
        </row>
        <row r="649">
          <cell r="A649" t="str">
            <v>D0610.2020.10.1411.00006</v>
          </cell>
          <cell r="B649">
            <v>1</v>
          </cell>
          <cell r="C649">
            <v>0.1</v>
          </cell>
          <cell r="E649">
            <v>0.9</v>
          </cell>
          <cell r="F649">
            <v>0</v>
          </cell>
          <cell r="H649">
            <v>1</v>
          </cell>
        </row>
        <row r="650">
          <cell r="A650" t="str">
            <v>D0301.2020.10.1419.00002</v>
          </cell>
          <cell r="B650">
            <v>1</v>
          </cell>
          <cell r="C650">
            <v>0.16666666666666666</v>
          </cell>
          <cell r="E650">
            <v>0.83333333333333337</v>
          </cell>
          <cell r="F650">
            <v>0</v>
          </cell>
          <cell r="H650">
            <v>1</v>
          </cell>
        </row>
        <row r="651">
          <cell r="A651" t="str">
            <v>D0502.2020.10.1419.00001</v>
          </cell>
          <cell r="B651">
            <v>1</v>
          </cell>
          <cell r="C651">
            <v>0.5</v>
          </cell>
          <cell r="E651">
            <v>0.5</v>
          </cell>
          <cell r="F651">
            <v>0</v>
          </cell>
          <cell r="H651">
            <v>1</v>
          </cell>
        </row>
        <row r="652">
          <cell r="A652" t="str">
            <v>D0507.2020.10.1312.00001</v>
          </cell>
          <cell r="B652">
            <v>1</v>
          </cell>
          <cell r="C652">
            <v>0.61032472691215089</v>
          </cell>
          <cell r="E652">
            <v>0.38967527308784905</v>
          </cell>
          <cell r="F652">
            <v>0</v>
          </cell>
          <cell r="H652">
            <v>1</v>
          </cell>
        </row>
        <row r="653">
          <cell r="A653" t="str">
            <v>D0801.2020.10.1429.00002</v>
          </cell>
          <cell r="B653">
            <v>1</v>
          </cell>
          <cell r="C653">
            <v>0.7760125217380508</v>
          </cell>
          <cell r="E653">
            <v>0.22398747826194923</v>
          </cell>
          <cell r="F653">
            <v>0</v>
          </cell>
          <cell r="H653">
            <v>1</v>
          </cell>
        </row>
        <row r="654">
          <cell r="A654" t="str">
            <v>D0906.2020.10.1226.00016</v>
          </cell>
          <cell r="B654">
            <v>1</v>
          </cell>
          <cell r="C654">
            <v>0.33333333333333331</v>
          </cell>
          <cell r="E654">
            <v>0.66666666666666663</v>
          </cell>
          <cell r="F654">
            <v>0</v>
          </cell>
          <cell r="H654">
            <v>1</v>
          </cell>
        </row>
        <row r="655">
          <cell r="A655" t="str">
            <v>D0906.2020.10.1226.00014</v>
          </cell>
          <cell r="B655">
            <v>1</v>
          </cell>
          <cell r="C655">
            <v>0.5</v>
          </cell>
          <cell r="E655">
            <v>0.5</v>
          </cell>
          <cell r="F655">
            <v>0</v>
          </cell>
          <cell r="H655">
            <v>1</v>
          </cell>
        </row>
        <row r="656">
          <cell r="A656" t="str">
            <v>D0211.2020.10.1411.00011</v>
          </cell>
          <cell r="B656">
            <v>1</v>
          </cell>
          <cell r="C656">
            <v>8.3871086784768345E-2</v>
          </cell>
          <cell r="E656">
            <v>0.91612891321523171</v>
          </cell>
          <cell r="F656">
            <v>0</v>
          </cell>
          <cell r="H656">
            <v>1</v>
          </cell>
        </row>
        <row r="657">
          <cell r="A657" t="str">
            <v>D0211.2020.10.1429.00003</v>
          </cell>
          <cell r="B657">
            <v>1</v>
          </cell>
          <cell r="C657">
            <v>0.4</v>
          </cell>
          <cell r="E657">
            <v>0.6</v>
          </cell>
          <cell r="F657">
            <v>0</v>
          </cell>
          <cell r="H657">
            <v>1</v>
          </cell>
        </row>
        <row r="658">
          <cell r="A658" t="str">
            <v>D0401.2020.10.1411.00008</v>
          </cell>
          <cell r="B658">
            <v>1</v>
          </cell>
          <cell r="C658">
            <v>7.8289101295919497E-2</v>
          </cell>
          <cell r="E658">
            <v>0.92171089870408052</v>
          </cell>
          <cell r="F658">
            <v>0</v>
          </cell>
          <cell r="H658">
            <v>1</v>
          </cell>
        </row>
        <row r="659">
          <cell r="A659" t="str">
            <v>D0302.2020.10.1312.00003</v>
          </cell>
          <cell r="B659">
            <v>1</v>
          </cell>
          <cell r="C659">
            <v>0.2</v>
          </cell>
          <cell r="E659">
            <v>0.8</v>
          </cell>
          <cell r="F659">
            <v>0</v>
          </cell>
          <cell r="H659">
            <v>1</v>
          </cell>
        </row>
        <row r="660">
          <cell r="A660" t="str">
            <v>D0201.2020.10.1419.00005</v>
          </cell>
          <cell r="B660">
            <v>1</v>
          </cell>
          <cell r="C660">
            <v>0.35714285714285715</v>
          </cell>
          <cell r="E660">
            <v>0.6428571428571429</v>
          </cell>
          <cell r="F660">
            <v>0</v>
          </cell>
          <cell r="H660">
            <v>1</v>
          </cell>
        </row>
        <row r="661">
          <cell r="A661" t="str">
            <v>D0201.2020.10.1429.00010</v>
          </cell>
          <cell r="B661">
            <v>1</v>
          </cell>
          <cell r="C661">
            <v>1</v>
          </cell>
          <cell r="E661">
            <v>0</v>
          </cell>
          <cell r="F661">
            <v>0</v>
          </cell>
          <cell r="H661">
            <v>1</v>
          </cell>
        </row>
        <row r="662">
          <cell r="A662" t="str">
            <v>D0201.2020.10.1429.00012</v>
          </cell>
          <cell r="B662">
            <v>1</v>
          </cell>
          <cell r="C662">
            <v>0.5</v>
          </cell>
          <cell r="E662">
            <v>0.5</v>
          </cell>
          <cell r="F662">
            <v>0</v>
          </cell>
          <cell r="H662">
            <v>1</v>
          </cell>
        </row>
        <row r="663">
          <cell r="A663" t="str">
            <v>D0203.2020.10.1411.00011</v>
          </cell>
          <cell r="B663">
            <v>1</v>
          </cell>
          <cell r="C663">
            <v>0.25340000020424042</v>
          </cell>
          <cell r="E663">
            <v>0.74659999979575964</v>
          </cell>
          <cell r="F663">
            <v>0</v>
          </cell>
          <cell r="H663">
            <v>1</v>
          </cell>
        </row>
        <row r="664">
          <cell r="A664" t="str">
            <v>D0605.2020.10.1411.00014</v>
          </cell>
          <cell r="B664">
            <v>1</v>
          </cell>
          <cell r="C664">
            <v>0.43863458317871462</v>
          </cell>
          <cell r="E664">
            <v>0.56136541682128538</v>
          </cell>
          <cell r="F664">
            <v>0</v>
          </cell>
          <cell r="H664">
            <v>1</v>
          </cell>
        </row>
        <row r="665">
          <cell r="A665" t="str">
            <v>D0605.2020.10.1411.00015</v>
          </cell>
          <cell r="B665">
            <v>1</v>
          </cell>
          <cell r="C665">
            <v>0.5</v>
          </cell>
          <cell r="E665">
            <v>0.5</v>
          </cell>
          <cell r="F665">
            <v>0</v>
          </cell>
          <cell r="H665">
            <v>1</v>
          </cell>
        </row>
        <row r="666">
          <cell r="A666" t="str">
            <v>D0605.2020.10.1419.00003</v>
          </cell>
          <cell r="B666">
            <v>1</v>
          </cell>
          <cell r="C666">
            <v>0.5</v>
          </cell>
          <cell r="E666">
            <v>0.5</v>
          </cell>
          <cell r="F666">
            <v>0</v>
          </cell>
          <cell r="H666">
            <v>1</v>
          </cell>
        </row>
        <row r="667">
          <cell r="A667" t="str">
            <v>D0605.2020.10.1429.00009</v>
          </cell>
          <cell r="B667">
            <v>1</v>
          </cell>
          <cell r="C667">
            <v>0.5</v>
          </cell>
          <cell r="E667">
            <v>0.5</v>
          </cell>
          <cell r="F667">
            <v>0</v>
          </cell>
          <cell r="H667">
            <v>1</v>
          </cell>
        </row>
        <row r="668">
          <cell r="A668" t="str">
            <v>D0209.2020.10.1429.00007</v>
          </cell>
          <cell r="B668">
            <v>1</v>
          </cell>
          <cell r="C668">
            <v>0.7728399317118636</v>
          </cell>
          <cell r="E668">
            <v>0.22716006828813637</v>
          </cell>
          <cell r="F668">
            <v>0</v>
          </cell>
          <cell r="H668">
            <v>1</v>
          </cell>
        </row>
        <row r="669">
          <cell r="A669" t="str">
            <v>D0211.2020.10.1411.00016</v>
          </cell>
          <cell r="B669">
            <v>1</v>
          </cell>
          <cell r="C669">
            <v>0.5</v>
          </cell>
          <cell r="E669">
            <v>0.5</v>
          </cell>
          <cell r="F669">
            <v>0</v>
          </cell>
          <cell r="H669">
            <v>1</v>
          </cell>
        </row>
        <row r="670">
          <cell r="A670" t="str">
            <v>D0212.2020.10.1411.00010</v>
          </cell>
          <cell r="B670">
            <v>1</v>
          </cell>
          <cell r="C670">
            <v>0.5</v>
          </cell>
          <cell r="E670">
            <v>0.5</v>
          </cell>
          <cell r="F670">
            <v>0</v>
          </cell>
          <cell r="H670">
            <v>1</v>
          </cell>
        </row>
        <row r="671">
          <cell r="A671" t="str">
            <v>D0212.2020.10.1411.00011</v>
          </cell>
          <cell r="B671">
            <v>1</v>
          </cell>
          <cell r="C671">
            <v>0.5</v>
          </cell>
          <cell r="E671">
            <v>0.5</v>
          </cell>
          <cell r="F671">
            <v>0</v>
          </cell>
          <cell r="H671">
            <v>1</v>
          </cell>
        </row>
        <row r="672">
          <cell r="A672" t="str">
            <v>D0901.2020.10.1312.00005</v>
          </cell>
          <cell r="B672">
            <v>1</v>
          </cell>
          <cell r="C672">
            <v>0.25</v>
          </cell>
          <cell r="E672">
            <v>0.75</v>
          </cell>
          <cell r="F672">
            <v>0</v>
          </cell>
          <cell r="H672">
            <v>1</v>
          </cell>
        </row>
        <row r="673">
          <cell r="A673" t="str">
            <v>D0203.2020.10.1226.00008</v>
          </cell>
          <cell r="B673">
            <v>1</v>
          </cell>
          <cell r="C673">
            <v>0.5</v>
          </cell>
          <cell r="E673">
            <v>0.5</v>
          </cell>
          <cell r="F673">
            <v>0</v>
          </cell>
          <cell r="H673">
            <v>1</v>
          </cell>
        </row>
        <row r="674">
          <cell r="A674" t="str">
            <v>D0305.2020.10.1226.00017</v>
          </cell>
          <cell r="B674">
            <v>1</v>
          </cell>
          <cell r="C674">
            <v>0.66666666666666663</v>
          </cell>
          <cell r="E674">
            <v>0.33333333333333331</v>
          </cell>
          <cell r="F674">
            <v>0</v>
          </cell>
          <cell r="H674">
            <v>1</v>
          </cell>
        </row>
        <row r="675">
          <cell r="A675" t="str">
            <v>D0307.2020.10.1226.00002</v>
          </cell>
          <cell r="B675">
            <v>1</v>
          </cell>
          <cell r="C675">
            <v>0.5</v>
          </cell>
          <cell r="E675">
            <v>0.5</v>
          </cell>
          <cell r="F675">
            <v>0</v>
          </cell>
          <cell r="H675">
            <v>1</v>
          </cell>
        </row>
        <row r="676">
          <cell r="A676" t="str">
            <v>B01001.2020.10.1411.00014</v>
          </cell>
          <cell r="B676">
            <v>1</v>
          </cell>
          <cell r="C676">
            <v>1.5384615384615385E-2</v>
          </cell>
          <cell r="E676">
            <v>0.16923076923076924</v>
          </cell>
          <cell r="F676">
            <v>0.81538461538461537</v>
          </cell>
          <cell r="H676">
            <v>1</v>
          </cell>
        </row>
        <row r="677">
          <cell r="A677" t="str">
            <v>D0604.2020.10.1411.00003</v>
          </cell>
          <cell r="B677">
            <v>1</v>
          </cell>
          <cell r="C677">
            <v>0.75570824220751442</v>
          </cell>
          <cell r="E677">
            <v>0.24429175779248555</v>
          </cell>
          <cell r="F677">
            <v>0</v>
          </cell>
          <cell r="H677">
            <v>1</v>
          </cell>
        </row>
        <row r="678">
          <cell r="A678" t="str">
            <v>D0808.2020.10.1411.00007</v>
          </cell>
          <cell r="B678">
            <v>1</v>
          </cell>
          <cell r="C678">
            <v>3.2897593738403598E-2</v>
          </cell>
          <cell r="E678">
            <v>0.36187353112243958</v>
          </cell>
          <cell r="F678">
            <v>0.6052288751391568</v>
          </cell>
          <cell r="H678">
            <v>1</v>
          </cell>
        </row>
        <row r="679">
          <cell r="A679" t="str">
            <v>D0209.2020.10.1411.00011</v>
          </cell>
          <cell r="B679">
            <v>1</v>
          </cell>
          <cell r="C679">
            <v>6.5000000000000002E-2</v>
          </cell>
          <cell r="E679">
            <v>0</v>
          </cell>
          <cell r="F679">
            <v>0.93500000000000005</v>
          </cell>
          <cell r="H679">
            <v>1</v>
          </cell>
        </row>
        <row r="680">
          <cell r="A680" t="str">
            <v>D0211.2020.10.1411.00006</v>
          </cell>
          <cell r="B680">
            <v>1</v>
          </cell>
          <cell r="C680">
            <v>0.22222222222222221</v>
          </cell>
          <cell r="E680">
            <v>0.77777777777777779</v>
          </cell>
          <cell r="F680">
            <v>0</v>
          </cell>
          <cell r="H680">
            <v>1</v>
          </cell>
        </row>
        <row r="681">
          <cell r="A681" t="str">
            <v>D0211.2020.10.1411.00007</v>
          </cell>
          <cell r="B681">
            <v>1</v>
          </cell>
          <cell r="C681">
            <v>0.25</v>
          </cell>
          <cell r="E681">
            <v>0.75</v>
          </cell>
          <cell r="F681">
            <v>0</v>
          </cell>
          <cell r="H681">
            <v>1</v>
          </cell>
        </row>
        <row r="682">
          <cell r="A682" t="str">
            <v>D0211.2020.10.1411.00009</v>
          </cell>
          <cell r="B682">
            <v>1</v>
          </cell>
          <cell r="C682">
            <v>0.25</v>
          </cell>
          <cell r="E682">
            <v>0.75</v>
          </cell>
          <cell r="F682">
            <v>0</v>
          </cell>
          <cell r="H682">
            <v>1</v>
          </cell>
        </row>
        <row r="683">
          <cell r="A683" t="str">
            <v>D0401.2020.10.1411.00012</v>
          </cell>
          <cell r="B683">
            <v>1</v>
          </cell>
          <cell r="C683">
            <v>0.5</v>
          </cell>
          <cell r="E683">
            <v>0.5</v>
          </cell>
          <cell r="F683">
            <v>0</v>
          </cell>
          <cell r="H683">
            <v>1</v>
          </cell>
        </row>
        <row r="684">
          <cell r="A684" t="str">
            <v>D0706.2020.10.1411.00002</v>
          </cell>
          <cell r="B684">
            <v>1</v>
          </cell>
          <cell r="C684">
            <v>0.45633682841193035</v>
          </cell>
          <cell r="E684">
            <v>0.54366317158806965</v>
          </cell>
          <cell r="F684">
            <v>0</v>
          </cell>
          <cell r="H684">
            <v>1</v>
          </cell>
        </row>
        <row r="685">
          <cell r="A685" t="str">
            <v>D0706.2020.10.1411.00003</v>
          </cell>
          <cell r="B685">
            <v>1</v>
          </cell>
          <cell r="C685">
            <v>0.6755701274746968</v>
          </cell>
          <cell r="E685">
            <v>0.3244298725253032</v>
          </cell>
          <cell r="F685">
            <v>0</v>
          </cell>
          <cell r="H685">
            <v>1</v>
          </cell>
        </row>
        <row r="686">
          <cell r="A686" t="str">
            <v>D0706.2020.10.1429.00003</v>
          </cell>
          <cell r="B686">
            <v>1</v>
          </cell>
          <cell r="C686">
            <v>0.26629690778601506</v>
          </cell>
          <cell r="E686">
            <v>0.73370309221398489</v>
          </cell>
          <cell r="F686">
            <v>0</v>
          </cell>
          <cell r="H686">
            <v>1</v>
          </cell>
        </row>
        <row r="687">
          <cell r="A687" t="str">
            <v>D0706.2020.10.1429.00004</v>
          </cell>
          <cell r="B687">
            <v>1</v>
          </cell>
          <cell r="C687">
            <v>0.26312869001429301</v>
          </cell>
          <cell r="E687">
            <v>0.73687130998570693</v>
          </cell>
          <cell r="F687">
            <v>0</v>
          </cell>
          <cell r="H687">
            <v>1</v>
          </cell>
        </row>
        <row r="688">
          <cell r="A688" t="str">
            <v>D0906.2020.10.1226.00020</v>
          </cell>
          <cell r="B688">
            <v>1</v>
          </cell>
          <cell r="C688">
            <v>0.5</v>
          </cell>
          <cell r="E688">
            <v>0.5</v>
          </cell>
          <cell r="F688">
            <v>0</v>
          </cell>
          <cell r="H688">
            <v>1</v>
          </cell>
        </row>
        <row r="689">
          <cell r="A689" t="str">
            <v>D0610.2020.10.1226.00012</v>
          </cell>
          <cell r="B689">
            <v>1</v>
          </cell>
          <cell r="C689">
            <v>0.81588575722339463</v>
          </cell>
          <cell r="E689">
            <v>0.1841142427766054</v>
          </cell>
          <cell r="F689">
            <v>0</v>
          </cell>
          <cell r="H689">
            <v>1</v>
          </cell>
        </row>
        <row r="690">
          <cell r="A690" t="str">
            <v>D0906.2020.10.1429.00003</v>
          </cell>
          <cell r="B690">
            <v>1</v>
          </cell>
          <cell r="C690">
            <v>7.4999999999999997E-2</v>
          </cell>
          <cell r="E690">
            <v>0.42499999999999999</v>
          </cell>
          <cell r="F690">
            <v>0.5</v>
          </cell>
          <cell r="H690">
            <v>1</v>
          </cell>
        </row>
      </sheetData>
      <sheetData sheetId="6"/>
      <sheetData sheetId="7"/>
      <sheetData sheetId="8"/>
      <sheetData sheetId="9"/>
      <sheetData sheetId="10"/>
      <sheetData sheetId="11">
        <row r="1">
          <cell r="A1" t="str">
            <v>POLICE_AVENAT</v>
          </cell>
        </row>
      </sheetData>
      <sheetData sheetId="12"/>
      <sheetData sheetId="13"/>
      <sheetData sheetId="14"/>
      <sheetData sheetId="15"/>
      <sheetData sheetId="16"/>
      <sheetData sheetId="17">
        <row r="1">
          <cell r="A1" t="str">
            <v>POLICE_AVENAT</v>
          </cell>
        </row>
      </sheetData>
      <sheetData sheetId="18"/>
      <sheetData sheetId="19"/>
      <sheetData sheetId="20"/>
      <sheetData sheetId="21"/>
      <sheetData sheetId="22"/>
      <sheetData sheetId="23">
        <row r="1">
          <cell r="A1" t="str">
            <v>POLICE_AVENAT</v>
          </cell>
        </row>
      </sheetData>
      <sheetData sheetId="24"/>
      <sheetData sheetId="25"/>
      <sheetData sheetId="26"/>
      <sheetData sheetId="27"/>
      <sheetData sheetId="28"/>
      <sheetData sheetId="29">
        <row r="1">
          <cell r="A1" t="str">
            <v>POLICE_AVENAT</v>
          </cell>
        </row>
      </sheetData>
      <sheetData sheetId="30"/>
      <sheetData sheetId="31"/>
      <sheetData sheetId="32"/>
      <sheetData sheetId="33"/>
      <sheetData sheetId="34"/>
      <sheetData sheetId="35">
        <row r="1">
          <cell r="A1" t="str">
            <v>POLICE_AVENAT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F369-E259-4A9D-AAFC-84D677752880}">
  <dimension ref="A1:U128"/>
  <sheetViews>
    <sheetView tabSelected="1" topLeftCell="F1" workbookViewId="0">
      <selection activeCell="J11" sqref="J11"/>
    </sheetView>
  </sheetViews>
  <sheetFormatPr baseColWidth="10" defaultRowHeight="14.4" x14ac:dyDescent="0.3"/>
  <cols>
    <col min="1" max="1" width="13.109375" bestFit="1" customWidth="1"/>
    <col min="2" max="2" width="13.109375" customWidth="1"/>
    <col min="3" max="3" width="18.109375" customWidth="1"/>
    <col min="5" max="5" width="18.109375" customWidth="1"/>
    <col min="6" max="6" width="23.44140625" customWidth="1"/>
    <col min="7" max="7" width="21.5546875" customWidth="1"/>
    <col min="8" max="8" width="19.5546875" customWidth="1"/>
    <col min="9" max="10" width="18.6640625" customWidth="1"/>
    <col min="11" max="11" width="17.5546875" customWidth="1"/>
    <col min="13" max="13" width="16" customWidth="1"/>
    <col min="14" max="15" width="17" customWidth="1"/>
    <col min="16" max="16" width="18" customWidth="1"/>
    <col min="17" max="17" width="18.109375" customWidth="1"/>
    <col min="18" max="18" width="19.77734375" customWidth="1"/>
    <col min="20" max="20" width="13.5546875" bestFit="1" customWidth="1"/>
    <col min="21" max="21" width="14.88671875" customWidth="1"/>
  </cols>
  <sheetData>
    <row r="1" spans="1:21" x14ac:dyDescent="0.3">
      <c r="A1" s="1" t="s">
        <v>0</v>
      </c>
      <c r="B1" s="1"/>
      <c r="C1" s="2">
        <v>44926</v>
      </c>
      <c r="D1" t="s">
        <v>1</v>
      </c>
      <c r="E1" s="3">
        <v>44562</v>
      </c>
      <c r="F1" t="s">
        <v>2</v>
      </c>
      <c r="P1" s="4"/>
      <c r="R1" s="5"/>
    </row>
    <row r="2" spans="1:21" x14ac:dyDescent="0.3">
      <c r="A2" s="1"/>
      <c r="B2" s="1"/>
      <c r="C2" s="2"/>
      <c r="E2" s="3"/>
      <c r="P2" s="4"/>
      <c r="R2" s="5"/>
      <c r="U2" s="5">
        <f>SUM(U4:U128)</f>
        <v>93561414.061794817</v>
      </c>
    </row>
    <row r="3" spans="1:21" ht="100.8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6" t="s">
        <v>9</v>
      </c>
      <c r="H3" s="8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8" t="s">
        <v>15</v>
      </c>
      <c r="N3" s="10" t="s">
        <v>16</v>
      </c>
      <c r="O3" s="11" t="s">
        <v>17</v>
      </c>
      <c r="P3" s="11" t="s">
        <v>18</v>
      </c>
      <c r="Q3" s="11" t="s">
        <v>19</v>
      </c>
      <c r="R3" s="11" t="s">
        <v>20</v>
      </c>
      <c r="S3" s="11" t="s">
        <v>21</v>
      </c>
      <c r="T3" s="12" t="s">
        <v>22</v>
      </c>
      <c r="U3" s="13" t="s">
        <v>23</v>
      </c>
    </row>
    <row r="4" spans="1:21" x14ac:dyDescent="0.3">
      <c r="A4" t="s">
        <v>24</v>
      </c>
      <c r="B4" t="s">
        <v>25</v>
      </c>
      <c r="C4">
        <v>2022</v>
      </c>
      <c r="D4" t="s">
        <v>26</v>
      </c>
      <c r="E4" s="14">
        <v>1393576062.8900001</v>
      </c>
      <c r="F4" s="14">
        <v>3998783184.7771187</v>
      </c>
      <c r="G4" s="14">
        <v>58470719.75</v>
      </c>
      <c r="H4" s="14">
        <f>SUM(E4:G4)</f>
        <v>5450829967.417119</v>
      </c>
      <c r="I4" s="14">
        <v>74012280.609999999</v>
      </c>
      <c r="J4" s="14">
        <v>5231401612.9874878</v>
      </c>
      <c r="K4" s="14">
        <v>96001411.12999998</v>
      </c>
      <c r="L4">
        <v>0</v>
      </c>
      <c r="M4" s="5">
        <f t="shared" ref="M4:M35" si="0">SUM(I4:L4)</f>
        <v>5401415304.7274876</v>
      </c>
      <c r="N4" s="15">
        <f t="shared" ref="N4:N35" si="1">H4-M4</f>
        <v>49414662.689631462</v>
      </c>
      <c r="O4" s="15">
        <f t="shared" ref="O4:O35" si="2">K4+I4-G4</f>
        <v>111542971.98999998</v>
      </c>
      <c r="P4" s="16">
        <v>21799957.339999996</v>
      </c>
      <c r="Q4" s="14">
        <v>48586088.270000003</v>
      </c>
      <c r="R4" s="14">
        <v>120556798.71000001</v>
      </c>
      <c r="S4" s="14">
        <v>3</v>
      </c>
      <c r="T4" s="14">
        <f>(SUM(P4:R4)/S4)</f>
        <v>63647614.773333333</v>
      </c>
      <c r="U4" s="14">
        <f t="shared" ref="U4:U35" si="3">IF(N4&lt;0,0,MIN(72%*N4,15%*T4))</f>
        <v>9547142.216</v>
      </c>
    </row>
    <row r="5" spans="1:21" x14ac:dyDescent="0.3">
      <c r="A5" t="s">
        <v>27</v>
      </c>
      <c r="B5" t="s">
        <v>28</v>
      </c>
      <c r="C5">
        <v>2022</v>
      </c>
      <c r="D5" t="s">
        <v>26</v>
      </c>
      <c r="E5">
        <v>57509.64</v>
      </c>
      <c r="F5">
        <v>4106.9511475409836</v>
      </c>
      <c r="G5">
        <v>0</v>
      </c>
      <c r="H5" s="14">
        <f t="shared" ref="H5:H68" si="4">SUM(E5:G5)</f>
        <v>61616.591147540981</v>
      </c>
      <c r="I5" s="1">
        <v>0</v>
      </c>
      <c r="J5" s="1">
        <v>4884.3803835616436</v>
      </c>
      <c r="K5" s="1">
        <v>0</v>
      </c>
      <c r="L5">
        <v>0</v>
      </c>
      <c r="M5" s="5">
        <f t="shared" si="0"/>
        <v>4884.3803835616436</v>
      </c>
      <c r="N5" s="15">
        <f t="shared" si="1"/>
        <v>56732.210763979339</v>
      </c>
      <c r="O5" s="15">
        <f t="shared" si="2"/>
        <v>0</v>
      </c>
      <c r="P5">
        <v>0</v>
      </c>
      <c r="Q5">
        <v>0</v>
      </c>
      <c r="R5">
        <v>0</v>
      </c>
      <c r="T5">
        <f>AVERAGE(P5:R5)</f>
        <v>0</v>
      </c>
      <c r="U5" s="14">
        <f t="shared" si="3"/>
        <v>0</v>
      </c>
    </row>
    <row r="6" spans="1:21" x14ac:dyDescent="0.3">
      <c r="A6" t="s">
        <v>29</v>
      </c>
      <c r="B6" t="s">
        <v>28</v>
      </c>
      <c r="C6">
        <v>2022</v>
      </c>
      <c r="D6" t="s">
        <v>26</v>
      </c>
      <c r="E6">
        <v>687897</v>
      </c>
      <c r="F6">
        <v>0</v>
      </c>
      <c r="G6">
        <v>0</v>
      </c>
      <c r="H6" s="14">
        <f t="shared" si="4"/>
        <v>687897</v>
      </c>
      <c r="I6">
        <v>0</v>
      </c>
      <c r="J6">
        <v>0</v>
      </c>
      <c r="K6">
        <v>0</v>
      </c>
      <c r="L6">
        <v>0</v>
      </c>
      <c r="M6" s="5">
        <f t="shared" si="0"/>
        <v>0</v>
      </c>
      <c r="N6" s="15">
        <f t="shared" si="1"/>
        <v>687897</v>
      </c>
      <c r="O6" s="15">
        <f t="shared" si="2"/>
        <v>0</v>
      </c>
      <c r="P6">
        <v>0</v>
      </c>
      <c r="Q6">
        <v>0</v>
      </c>
      <c r="R6">
        <v>0</v>
      </c>
      <c r="T6">
        <f t="shared" ref="T6:T69" si="5">AVERAGE(P6:R6)</f>
        <v>0</v>
      </c>
      <c r="U6" s="14">
        <f t="shared" si="3"/>
        <v>0</v>
      </c>
    </row>
    <row r="7" spans="1:21" x14ac:dyDescent="0.3">
      <c r="A7" t="s">
        <v>30</v>
      </c>
      <c r="B7" t="s">
        <v>28</v>
      </c>
      <c r="C7">
        <v>2022</v>
      </c>
      <c r="D7" t="s">
        <v>26</v>
      </c>
      <c r="E7">
        <v>1557035.35</v>
      </c>
      <c r="F7">
        <v>203633.58279452057</v>
      </c>
      <c r="G7">
        <v>0</v>
      </c>
      <c r="H7" s="14">
        <f t="shared" si="4"/>
        <v>1760668.9327945206</v>
      </c>
      <c r="I7">
        <v>2000000</v>
      </c>
      <c r="J7">
        <v>245457.31528767126</v>
      </c>
      <c r="K7">
        <v>0</v>
      </c>
      <c r="L7">
        <v>3297879.7830467001</v>
      </c>
      <c r="M7" s="5">
        <f t="shared" si="0"/>
        <v>5543337.0983343711</v>
      </c>
      <c r="N7" s="15">
        <f t="shared" si="1"/>
        <v>-3782668.1655398505</v>
      </c>
      <c r="O7" s="15">
        <f t="shared" si="2"/>
        <v>2000000</v>
      </c>
      <c r="P7">
        <v>2000000</v>
      </c>
      <c r="Q7">
        <v>4200000</v>
      </c>
      <c r="R7">
        <v>0</v>
      </c>
      <c r="T7">
        <f t="shared" si="5"/>
        <v>2066666.6666666667</v>
      </c>
      <c r="U7" s="14">
        <f t="shared" si="3"/>
        <v>0</v>
      </c>
    </row>
    <row r="8" spans="1:21" x14ac:dyDescent="0.3">
      <c r="A8" t="s">
        <v>31</v>
      </c>
      <c r="B8" t="s">
        <v>28</v>
      </c>
      <c r="C8">
        <v>2022</v>
      </c>
      <c r="D8" t="s">
        <v>26</v>
      </c>
      <c r="E8">
        <v>724619.52</v>
      </c>
      <c r="F8">
        <v>210848.19287671233</v>
      </c>
      <c r="G8">
        <v>0</v>
      </c>
      <c r="H8" s="14">
        <f t="shared" si="4"/>
        <v>935467.71287671232</v>
      </c>
      <c r="I8">
        <v>300000</v>
      </c>
      <c r="J8">
        <v>238231.07506849314</v>
      </c>
      <c r="K8">
        <v>0</v>
      </c>
      <c r="L8">
        <v>0</v>
      </c>
      <c r="M8" s="5">
        <f t="shared" si="0"/>
        <v>538231.07506849314</v>
      </c>
      <c r="N8" s="15">
        <f t="shared" si="1"/>
        <v>397236.63780821918</v>
      </c>
      <c r="O8" s="15">
        <f t="shared" si="2"/>
        <v>300000</v>
      </c>
      <c r="P8">
        <v>300000</v>
      </c>
      <c r="Q8">
        <v>0</v>
      </c>
      <c r="R8">
        <v>0</v>
      </c>
      <c r="T8">
        <f t="shared" si="5"/>
        <v>100000</v>
      </c>
      <c r="U8" s="14">
        <f t="shared" si="3"/>
        <v>15000</v>
      </c>
    </row>
    <row r="9" spans="1:21" x14ac:dyDescent="0.3">
      <c r="A9" t="s">
        <v>32</v>
      </c>
      <c r="B9" t="s">
        <v>28</v>
      </c>
      <c r="C9">
        <v>2022</v>
      </c>
      <c r="D9" t="s">
        <v>26</v>
      </c>
      <c r="E9">
        <v>1411104.791862241</v>
      </c>
      <c r="F9">
        <v>0</v>
      </c>
      <c r="G9">
        <v>0</v>
      </c>
      <c r="H9" s="14">
        <f t="shared" si="4"/>
        <v>1411104.791862241</v>
      </c>
      <c r="I9">
        <v>1500000</v>
      </c>
      <c r="J9">
        <v>96651.013141249379</v>
      </c>
      <c r="K9">
        <v>500000</v>
      </c>
      <c r="L9">
        <v>0</v>
      </c>
      <c r="M9" s="5">
        <f t="shared" si="0"/>
        <v>2096651.0131412493</v>
      </c>
      <c r="N9" s="15">
        <f t="shared" si="1"/>
        <v>-685546.22127900831</v>
      </c>
      <c r="O9" s="15">
        <f t="shared" si="2"/>
        <v>2000000</v>
      </c>
      <c r="P9">
        <v>2000000</v>
      </c>
      <c r="Q9">
        <v>0</v>
      </c>
      <c r="R9">
        <v>0</v>
      </c>
      <c r="T9">
        <f t="shared" si="5"/>
        <v>666666.66666666663</v>
      </c>
      <c r="U9" s="14">
        <f t="shared" si="3"/>
        <v>0</v>
      </c>
    </row>
    <row r="10" spans="1:21" x14ac:dyDescent="0.3">
      <c r="A10" t="s">
        <v>33</v>
      </c>
      <c r="B10" t="s">
        <v>28</v>
      </c>
      <c r="C10">
        <v>2022</v>
      </c>
      <c r="D10" t="s">
        <v>26</v>
      </c>
      <c r="E10">
        <v>49555.199999999997</v>
      </c>
      <c r="F10">
        <v>0</v>
      </c>
      <c r="G10">
        <v>0</v>
      </c>
      <c r="H10" s="14">
        <f t="shared" si="4"/>
        <v>49555.199999999997</v>
      </c>
      <c r="I10">
        <v>0</v>
      </c>
      <c r="J10">
        <v>0</v>
      </c>
      <c r="K10">
        <v>0</v>
      </c>
      <c r="L10">
        <v>0</v>
      </c>
      <c r="M10" s="5">
        <f t="shared" si="0"/>
        <v>0</v>
      </c>
      <c r="N10" s="15">
        <f t="shared" si="1"/>
        <v>49555.199999999997</v>
      </c>
      <c r="O10" s="15">
        <f t="shared" si="2"/>
        <v>0</v>
      </c>
      <c r="P10">
        <v>0</v>
      </c>
      <c r="Q10">
        <v>0</v>
      </c>
      <c r="R10">
        <v>0</v>
      </c>
      <c r="T10">
        <f t="shared" si="5"/>
        <v>0</v>
      </c>
      <c r="U10" s="14">
        <f t="shared" si="3"/>
        <v>0</v>
      </c>
    </row>
    <row r="11" spans="1:21" x14ac:dyDescent="0.3">
      <c r="A11" t="s">
        <v>34</v>
      </c>
      <c r="B11" t="s">
        <v>28</v>
      </c>
      <c r="C11">
        <v>2022</v>
      </c>
      <c r="D11" t="s">
        <v>26</v>
      </c>
      <c r="E11">
        <v>206207.65358241944</v>
      </c>
      <c r="F11">
        <v>0</v>
      </c>
      <c r="G11">
        <v>0</v>
      </c>
      <c r="H11" s="14">
        <f t="shared" si="4"/>
        <v>206207.65358241944</v>
      </c>
      <c r="I11">
        <v>0</v>
      </c>
      <c r="J11">
        <v>13558.859413638538</v>
      </c>
      <c r="K11">
        <v>0</v>
      </c>
      <c r="L11">
        <v>0</v>
      </c>
      <c r="M11" s="5">
        <f t="shared" si="0"/>
        <v>13558.859413638538</v>
      </c>
      <c r="N11" s="15">
        <f t="shared" si="1"/>
        <v>192648.79416878091</v>
      </c>
      <c r="O11" s="15">
        <f t="shared" si="2"/>
        <v>0</v>
      </c>
      <c r="P11">
        <v>0</v>
      </c>
      <c r="Q11">
        <v>0</v>
      </c>
      <c r="R11">
        <v>0</v>
      </c>
      <c r="T11">
        <f t="shared" si="5"/>
        <v>0</v>
      </c>
      <c r="U11" s="14">
        <f t="shared" si="3"/>
        <v>0</v>
      </c>
    </row>
    <row r="12" spans="1:21" x14ac:dyDescent="0.3">
      <c r="A12" t="s">
        <v>35</v>
      </c>
      <c r="B12" t="s">
        <v>28</v>
      </c>
      <c r="C12">
        <v>2022</v>
      </c>
      <c r="D12" t="s">
        <v>26</v>
      </c>
      <c r="E12">
        <v>19905.389723759501</v>
      </c>
      <c r="F12">
        <v>11264.269171075413</v>
      </c>
      <c r="G12">
        <v>0</v>
      </c>
      <c r="H12" s="14">
        <f t="shared" si="4"/>
        <v>31169.658894834916</v>
      </c>
      <c r="I12">
        <v>0</v>
      </c>
      <c r="J12">
        <v>13252.081377735778</v>
      </c>
      <c r="K12">
        <v>0</v>
      </c>
      <c r="L12">
        <v>0</v>
      </c>
      <c r="M12" s="5">
        <f t="shared" si="0"/>
        <v>13252.081377735778</v>
      </c>
      <c r="N12" s="15">
        <f t="shared" si="1"/>
        <v>17917.57751709914</v>
      </c>
      <c r="O12" s="15">
        <f t="shared" si="2"/>
        <v>0</v>
      </c>
      <c r="P12">
        <v>0</v>
      </c>
      <c r="Q12">
        <v>0</v>
      </c>
      <c r="R12">
        <v>0</v>
      </c>
      <c r="T12">
        <f t="shared" si="5"/>
        <v>0</v>
      </c>
      <c r="U12" s="14">
        <f t="shared" si="3"/>
        <v>0</v>
      </c>
    </row>
    <row r="13" spans="1:21" x14ac:dyDescent="0.3">
      <c r="A13" t="s">
        <v>36</v>
      </c>
      <c r="B13" t="s">
        <v>28</v>
      </c>
      <c r="C13">
        <v>2022</v>
      </c>
      <c r="D13" t="s">
        <v>26</v>
      </c>
      <c r="E13">
        <v>1815901.92</v>
      </c>
      <c r="F13">
        <v>0</v>
      </c>
      <c r="G13">
        <v>0</v>
      </c>
      <c r="H13" s="14">
        <f t="shared" si="4"/>
        <v>1815901.92</v>
      </c>
      <c r="I13">
        <v>0</v>
      </c>
      <c r="J13">
        <v>0</v>
      </c>
      <c r="K13">
        <v>0</v>
      </c>
      <c r="L13">
        <v>0</v>
      </c>
      <c r="M13" s="5">
        <f t="shared" si="0"/>
        <v>0</v>
      </c>
      <c r="N13" s="15">
        <f t="shared" si="1"/>
        <v>1815901.92</v>
      </c>
      <c r="O13" s="15">
        <f t="shared" si="2"/>
        <v>0</v>
      </c>
      <c r="P13">
        <v>0</v>
      </c>
      <c r="Q13">
        <v>0</v>
      </c>
      <c r="R13">
        <v>0</v>
      </c>
      <c r="T13">
        <f t="shared" si="5"/>
        <v>0</v>
      </c>
      <c r="U13" s="14">
        <f t="shared" si="3"/>
        <v>0</v>
      </c>
    </row>
    <row r="14" spans="1:21" x14ac:dyDescent="0.3">
      <c r="A14" t="s">
        <v>37</v>
      </c>
      <c r="B14" t="s">
        <v>28</v>
      </c>
      <c r="C14">
        <v>2022</v>
      </c>
      <c r="D14" t="s">
        <v>26</v>
      </c>
      <c r="E14">
        <v>1743024.96</v>
      </c>
      <c r="F14">
        <v>0</v>
      </c>
      <c r="G14">
        <v>2600000</v>
      </c>
      <c r="H14" s="14">
        <f t="shared" si="4"/>
        <v>4343024.96</v>
      </c>
      <c r="I14">
        <v>2000000</v>
      </c>
      <c r="J14">
        <v>0</v>
      </c>
      <c r="K14">
        <v>0</v>
      </c>
      <c r="L14">
        <v>0</v>
      </c>
      <c r="M14" s="5">
        <f t="shared" si="0"/>
        <v>2000000</v>
      </c>
      <c r="N14" s="15">
        <f t="shared" si="1"/>
        <v>2343024.96</v>
      </c>
      <c r="O14" s="15">
        <f t="shared" si="2"/>
        <v>-600000</v>
      </c>
      <c r="P14">
        <v>-600000</v>
      </c>
      <c r="Q14">
        <v>3200000</v>
      </c>
      <c r="R14">
        <v>0</v>
      </c>
      <c r="T14">
        <f t="shared" si="5"/>
        <v>866666.66666666663</v>
      </c>
      <c r="U14" s="14">
        <f t="shared" si="3"/>
        <v>129999.99999999999</v>
      </c>
    </row>
    <row r="15" spans="1:21" x14ac:dyDescent="0.3">
      <c r="A15" t="s">
        <v>38</v>
      </c>
      <c r="B15" t="s">
        <v>28</v>
      </c>
      <c r="C15">
        <v>2022</v>
      </c>
      <c r="D15" t="s">
        <v>26</v>
      </c>
      <c r="E15">
        <v>405046.08000000007</v>
      </c>
      <c r="F15">
        <v>0</v>
      </c>
      <c r="G15">
        <v>0</v>
      </c>
      <c r="H15" s="14">
        <f t="shared" si="4"/>
        <v>405046.08000000007</v>
      </c>
      <c r="I15">
        <v>0</v>
      </c>
      <c r="J15">
        <v>385071.20482191787</v>
      </c>
      <c r="K15">
        <v>0</v>
      </c>
      <c r="L15">
        <v>0</v>
      </c>
      <c r="M15" s="5">
        <f t="shared" si="0"/>
        <v>385071.20482191787</v>
      </c>
      <c r="N15" s="15">
        <f t="shared" si="1"/>
        <v>19974.875178082206</v>
      </c>
      <c r="O15" s="15">
        <f t="shared" si="2"/>
        <v>0</v>
      </c>
      <c r="P15">
        <v>0</v>
      </c>
      <c r="Q15">
        <v>0</v>
      </c>
      <c r="R15">
        <v>0</v>
      </c>
      <c r="T15">
        <f t="shared" si="5"/>
        <v>0</v>
      </c>
      <c r="U15" s="14">
        <f t="shared" si="3"/>
        <v>0</v>
      </c>
    </row>
    <row r="16" spans="1:21" x14ac:dyDescent="0.3">
      <c r="A16" t="s">
        <v>39</v>
      </c>
      <c r="B16" t="s">
        <v>28</v>
      </c>
      <c r="C16">
        <v>2022</v>
      </c>
      <c r="D16" t="s">
        <v>26</v>
      </c>
      <c r="E16">
        <v>55578.277950564734</v>
      </c>
      <c r="F16">
        <v>2092.0654556969157</v>
      </c>
      <c r="G16">
        <v>0</v>
      </c>
      <c r="H16" s="14">
        <f t="shared" si="4"/>
        <v>57670.343406261651</v>
      </c>
      <c r="I16">
        <v>0</v>
      </c>
      <c r="J16">
        <v>2131.7695652271404</v>
      </c>
      <c r="K16">
        <v>0</v>
      </c>
      <c r="L16">
        <v>0</v>
      </c>
      <c r="M16" s="5">
        <f t="shared" si="0"/>
        <v>2131.7695652271404</v>
      </c>
      <c r="N16" s="15">
        <f t="shared" si="1"/>
        <v>55538.573841034507</v>
      </c>
      <c r="O16" s="15">
        <f t="shared" si="2"/>
        <v>0</v>
      </c>
      <c r="P16">
        <v>0</v>
      </c>
      <c r="Q16">
        <v>50000</v>
      </c>
      <c r="R16">
        <v>0</v>
      </c>
      <c r="T16">
        <f t="shared" si="5"/>
        <v>16666.666666666668</v>
      </c>
      <c r="U16" s="14">
        <f t="shared" si="3"/>
        <v>2500</v>
      </c>
    </row>
    <row r="17" spans="1:21" x14ac:dyDescent="0.3">
      <c r="A17" t="s">
        <v>40</v>
      </c>
      <c r="B17" t="s">
        <v>28</v>
      </c>
      <c r="C17">
        <v>2022</v>
      </c>
      <c r="D17" t="s">
        <v>26</v>
      </c>
      <c r="E17">
        <v>113513.51999999999</v>
      </c>
      <c r="F17">
        <v>3745.1198909645686</v>
      </c>
      <c r="G17">
        <v>0</v>
      </c>
      <c r="H17" s="14">
        <f t="shared" si="4"/>
        <v>117258.63989096456</v>
      </c>
      <c r="I17">
        <v>0</v>
      </c>
      <c r="J17">
        <v>46960.387726027395</v>
      </c>
      <c r="K17">
        <v>0</v>
      </c>
      <c r="L17">
        <v>0</v>
      </c>
      <c r="M17" s="5">
        <f t="shared" si="0"/>
        <v>46960.387726027395</v>
      </c>
      <c r="N17" s="15">
        <f t="shared" si="1"/>
        <v>70298.252164937177</v>
      </c>
      <c r="O17" s="15">
        <f t="shared" si="2"/>
        <v>0</v>
      </c>
      <c r="P17">
        <v>0</v>
      </c>
      <c r="Q17">
        <v>0</v>
      </c>
      <c r="R17">
        <v>0</v>
      </c>
      <c r="T17">
        <f t="shared" si="5"/>
        <v>0</v>
      </c>
      <c r="U17" s="14">
        <f t="shared" si="3"/>
        <v>0</v>
      </c>
    </row>
    <row r="18" spans="1:21" x14ac:dyDescent="0.3">
      <c r="A18" t="s">
        <v>41</v>
      </c>
      <c r="B18" t="s">
        <v>28</v>
      </c>
      <c r="C18">
        <v>2022</v>
      </c>
      <c r="D18" t="s">
        <v>26</v>
      </c>
      <c r="E18">
        <v>325378.80000000005</v>
      </c>
      <c r="F18">
        <v>0</v>
      </c>
      <c r="G18">
        <v>0</v>
      </c>
      <c r="H18" s="14">
        <f t="shared" si="4"/>
        <v>325378.80000000005</v>
      </c>
      <c r="I18">
        <v>0</v>
      </c>
      <c r="J18">
        <v>173832.50958904112</v>
      </c>
      <c r="K18">
        <v>0</v>
      </c>
      <c r="L18">
        <v>0</v>
      </c>
      <c r="M18" s="5">
        <f t="shared" si="0"/>
        <v>173832.50958904112</v>
      </c>
      <c r="N18" s="15">
        <f t="shared" si="1"/>
        <v>151546.29041095893</v>
      </c>
      <c r="O18" s="15">
        <f t="shared" si="2"/>
        <v>0</v>
      </c>
      <c r="P18">
        <v>0</v>
      </c>
      <c r="Q18">
        <v>0</v>
      </c>
      <c r="R18">
        <v>0</v>
      </c>
      <c r="T18">
        <f t="shared" si="5"/>
        <v>0</v>
      </c>
      <c r="U18" s="14">
        <f t="shared" si="3"/>
        <v>0</v>
      </c>
    </row>
    <row r="19" spans="1:21" x14ac:dyDescent="0.3">
      <c r="A19" t="s">
        <v>42</v>
      </c>
      <c r="B19" t="s">
        <v>28</v>
      </c>
      <c r="C19">
        <v>2022</v>
      </c>
      <c r="D19" t="s">
        <v>26</v>
      </c>
      <c r="E19">
        <v>163720.44</v>
      </c>
      <c r="F19">
        <v>38936.189589041096</v>
      </c>
      <c r="G19">
        <v>0</v>
      </c>
      <c r="H19" s="14">
        <f t="shared" si="4"/>
        <v>202656.62958904111</v>
      </c>
      <c r="I19">
        <v>500000</v>
      </c>
      <c r="J19">
        <v>40369.423561643831</v>
      </c>
      <c r="K19">
        <v>0</v>
      </c>
      <c r="L19">
        <v>0</v>
      </c>
      <c r="M19" s="5">
        <f t="shared" si="0"/>
        <v>540369.42356164381</v>
      </c>
      <c r="N19" s="15">
        <f t="shared" si="1"/>
        <v>-337712.7939726027</v>
      </c>
      <c r="O19" s="15">
        <f t="shared" si="2"/>
        <v>500000</v>
      </c>
      <c r="P19">
        <v>500000</v>
      </c>
      <c r="Q19">
        <v>0</v>
      </c>
      <c r="R19">
        <v>0</v>
      </c>
      <c r="T19">
        <f t="shared" si="5"/>
        <v>166666.66666666666</v>
      </c>
      <c r="U19" s="14">
        <f t="shared" si="3"/>
        <v>0</v>
      </c>
    </row>
    <row r="20" spans="1:21" x14ac:dyDescent="0.3">
      <c r="A20" t="s">
        <v>43</v>
      </c>
      <c r="B20" t="s">
        <v>28</v>
      </c>
      <c r="C20">
        <v>2022</v>
      </c>
      <c r="D20" t="s">
        <v>26</v>
      </c>
      <c r="E20">
        <v>595103.76</v>
      </c>
      <c r="F20">
        <v>0</v>
      </c>
      <c r="G20">
        <v>0</v>
      </c>
      <c r="H20" s="14">
        <f t="shared" si="4"/>
        <v>595103.76</v>
      </c>
      <c r="I20">
        <v>0</v>
      </c>
      <c r="J20">
        <v>0</v>
      </c>
      <c r="K20">
        <v>0</v>
      </c>
      <c r="L20">
        <v>0</v>
      </c>
      <c r="M20" s="5">
        <f t="shared" si="0"/>
        <v>0</v>
      </c>
      <c r="N20" s="15">
        <f t="shared" si="1"/>
        <v>595103.76</v>
      </c>
      <c r="O20" s="15">
        <f t="shared" si="2"/>
        <v>0</v>
      </c>
      <c r="P20">
        <v>0</v>
      </c>
      <c r="Q20">
        <v>0</v>
      </c>
      <c r="R20">
        <v>0</v>
      </c>
      <c r="T20">
        <f t="shared" si="5"/>
        <v>0</v>
      </c>
      <c r="U20" s="14">
        <f t="shared" si="3"/>
        <v>0</v>
      </c>
    </row>
    <row r="21" spans="1:21" x14ac:dyDescent="0.3">
      <c r="A21" t="s">
        <v>44</v>
      </c>
      <c r="B21" t="s">
        <v>28</v>
      </c>
      <c r="C21">
        <v>2022</v>
      </c>
      <c r="D21" t="s">
        <v>26</v>
      </c>
      <c r="E21">
        <v>963829.00000000012</v>
      </c>
      <c r="F21">
        <v>0</v>
      </c>
      <c r="G21">
        <v>0</v>
      </c>
      <c r="H21" s="14">
        <f t="shared" si="4"/>
        <v>963829.00000000012</v>
      </c>
      <c r="I21">
        <v>209346.74</v>
      </c>
      <c r="J21">
        <v>0</v>
      </c>
      <c r="K21">
        <v>287712.96999999997</v>
      </c>
      <c r="L21">
        <v>0</v>
      </c>
      <c r="M21" s="5">
        <f t="shared" si="0"/>
        <v>497059.70999999996</v>
      </c>
      <c r="N21" s="15">
        <f t="shared" si="1"/>
        <v>466769.29000000015</v>
      </c>
      <c r="O21" s="15">
        <f t="shared" si="2"/>
        <v>497059.70999999996</v>
      </c>
      <c r="P21">
        <v>497059.70999999996</v>
      </c>
      <c r="Q21">
        <v>0</v>
      </c>
      <c r="R21">
        <v>0</v>
      </c>
      <c r="T21">
        <f t="shared" si="5"/>
        <v>165686.56999999998</v>
      </c>
      <c r="U21" s="14">
        <f t="shared" si="3"/>
        <v>24852.985499999995</v>
      </c>
    </row>
    <row r="22" spans="1:21" x14ac:dyDescent="0.3">
      <c r="A22" t="s">
        <v>45</v>
      </c>
      <c r="B22" t="s">
        <v>28</v>
      </c>
      <c r="C22">
        <v>2022</v>
      </c>
      <c r="D22" t="s">
        <v>26</v>
      </c>
      <c r="E22">
        <v>8995.1092946362969</v>
      </c>
      <c r="F22">
        <v>1466.3260357009856</v>
      </c>
      <c r="G22">
        <v>0</v>
      </c>
      <c r="H22" s="14">
        <f t="shared" si="4"/>
        <v>10461.435330337283</v>
      </c>
      <c r="I22">
        <v>0</v>
      </c>
      <c r="J22">
        <v>1675.8011836582691</v>
      </c>
      <c r="K22">
        <v>0</v>
      </c>
      <c r="L22">
        <v>0</v>
      </c>
      <c r="M22" s="5">
        <f t="shared" si="0"/>
        <v>1675.8011836582691</v>
      </c>
      <c r="N22" s="15">
        <f t="shared" si="1"/>
        <v>8785.6341466790145</v>
      </c>
      <c r="O22" s="15">
        <f t="shared" si="2"/>
        <v>0</v>
      </c>
      <c r="P22">
        <v>0</v>
      </c>
      <c r="Q22">
        <v>0</v>
      </c>
      <c r="R22">
        <v>0</v>
      </c>
      <c r="T22">
        <f t="shared" si="5"/>
        <v>0</v>
      </c>
      <c r="U22" s="14">
        <f t="shared" si="3"/>
        <v>0</v>
      </c>
    </row>
    <row r="23" spans="1:21" x14ac:dyDescent="0.3">
      <c r="A23" t="s">
        <v>46</v>
      </c>
      <c r="B23" t="s">
        <v>28</v>
      </c>
      <c r="C23">
        <v>2022</v>
      </c>
      <c r="D23" t="s">
        <v>26</v>
      </c>
      <c r="E23">
        <v>28458.479532163743</v>
      </c>
      <c r="F23">
        <v>26041.457982856686</v>
      </c>
      <c r="G23">
        <v>0</v>
      </c>
      <c r="H23" s="14">
        <f t="shared" si="4"/>
        <v>54499.937515020429</v>
      </c>
      <c r="I23">
        <v>0</v>
      </c>
      <c r="J23">
        <v>26041.457982856686</v>
      </c>
      <c r="K23">
        <v>0</v>
      </c>
      <c r="L23">
        <v>0</v>
      </c>
      <c r="M23" s="5">
        <f t="shared" si="0"/>
        <v>26041.457982856686</v>
      </c>
      <c r="N23" s="15">
        <f t="shared" si="1"/>
        <v>28458.479532163743</v>
      </c>
      <c r="O23" s="15">
        <f t="shared" si="2"/>
        <v>0</v>
      </c>
      <c r="P23">
        <v>0</v>
      </c>
      <c r="Q23">
        <v>0</v>
      </c>
      <c r="R23">
        <v>0</v>
      </c>
      <c r="T23">
        <f t="shared" si="5"/>
        <v>0</v>
      </c>
      <c r="U23" s="14">
        <f t="shared" si="3"/>
        <v>0</v>
      </c>
    </row>
    <row r="24" spans="1:21" x14ac:dyDescent="0.3">
      <c r="A24" t="s">
        <v>47</v>
      </c>
      <c r="B24" t="s">
        <v>28</v>
      </c>
      <c r="C24">
        <v>2022</v>
      </c>
      <c r="D24" t="s">
        <v>26</v>
      </c>
      <c r="E24">
        <v>12677599.02</v>
      </c>
      <c r="F24">
        <v>0</v>
      </c>
      <c r="G24">
        <v>0</v>
      </c>
      <c r="H24" s="14">
        <f t="shared" si="4"/>
        <v>12677599.02</v>
      </c>
      <c r="I24">
        <v>2012180.32</v>
      </c>
      <c r="J24">
        <v>0</v>
      </c>
      <c r="K24">
        <v>0</v>
      </c>
      <c r="L24">
        <v>0</v>
      </c>
      <c r="M24" s="5">
        <f t="shared" si="0"/>
        <v>2012180.32</v>
      </c>
      <c r="N24" s="15">
        <f t="shared" si="1"/>
        <v>10665418.699999999</v>
      </c>
      <c r="O24" s="15">
        <f t="shared" si="2"/>
        <v>2012180.32</v>
      </c>
      <c r="P24">
        <v>2012180.32</v>
      </c>
      <c r="Q24">
        <v>0</v>
      </c>
      <c r="R24">
        <v>0</v>
      </c>
      <c r="T24">
        <f t="shared" si="5"/>
        <v>670726.77333333332</v>
      </c>
      <c r="U24" s="14">
        <f t="shared" si="3"/>
        <v>100609.01599999999</v>
      </c>
    </row>
    <row r="25" spans="1:21" x14ac:dyDescent="0.3">
      <c r="A25" t="s">
        <v>48</v>
      </c>
      <c r="B25" t="s">
        <v>28</v>
      </c>
      <c r="C25">
        <v>2022</v>
      </c>
      <c r="D25" t="s">
        <v>26</v>
      </c>
      <c r="E25">
        <v>82435.489999999874</v>
      </c>
      <c r="F25">
        <v>0</v>
      </c>
      <c r="G25">
        <v>0</v>
      </c>
      <c r="H25" s="14">
        <f t="shared" si="4"/>
        <v>82435.489999999874</v>
      </c>
      <c r="I25">
        <v>0</v>
      </c>
      <c r="J25">
        <v>0</v>
      </c>
      <c r="K25">
        <v>0</v>
      </c>
      <c r="L25">
        <v>211313.55000000028</v>
      </c>
      <c r="M25" s="5">
        <f t="shared" si="0"/>
        <v>211313.55000000028</v>
      </c>
      <c r="N25" s="15">
        <f t="shared" si="1"/>
        <v>-128878.06000000041</v>
      </c>
      <c r="O25" s="15">
        <f t="shared" si="2"/>
        <v>0</v>
      </c>
      <c r="P25">
        <v>0</v>
      </c>
      <c r="Q25">
        <v>0</v>
      </c>
      <c r="R25">
        <v>0</v>
      </c>
      <c r="T25">
        <f t="shared" si="5"/>
        <v>0</v>
      </c>
      <c r="U25" s="14">
        <f t="shared" si="3"/>
        <v>0</v>
      </c>
    </row>
    <row r="26" spans="1:21" x14ac:dyDescent="0.3">
      <c r="A26" t="s">
        <v>49</v>
      </c>
      <c r="B26" t="s">
        <v>28</v>
      </c>
      <c r="C26">
        <v>2022</v>
      </c>
      <c r="D26" t="s">
        <v>26</v>
      </c>
      <c r="E26">
        <v>624374.84723381698</v>
      </c>
      <c r="F26">
        <v>573136.69118167635</v>
      </c>
      <c r="G26">
        <v>0</v>
      </c>
      <c r="H26" s="14">
        <f t="shared" si="4"/>
        <v>1197511.5384154934</v>
      </c>
      <c r="I26">
        <v>0</v>
      </c>
      <c r="J26">
        <v>415679.6928159385</v>
      </c>
      <c r="K26">
        <v>0</v>
      </c>
      <c r="L26">
        <v>0</v>
      </c>
      <c r="M26" s="5">
        <f t="shared" si="0"/>
        <v>415679.6928159385</v>
      </c>
      <c r="N26" s="15">
        <f t="shared" si="1"/>
        <v>781831.84559955494</v>
      </c>
      <c r="O26" s="15">
        <f t="shared" si="2"/>
        <v>0</v>
      </c>
      <c r="P26">
        <v>0</v>
      </c>
      <c r="Q26">
        <v>0</v>
      </c>
      <c r="R26">
        <v>0</v>
      </c>
      <c r="T26">
        <f t="shared" si="5"/>
        <v>0</v>
      </c>
      <c r="U26" s="14">
        <f t="shared" si="3"/>
        <v>0</v>
      </c>
    </row>
    <row r="27" spans="1:21" x14ac:dyDescent="0.3">
      <c r="A27" t="s">
        <v>50</v>
      </c>
      <c r="B27" t="s">
        <v>28</v>
      </c>
      <c r="C27">
        <v>2022</v>
      </c>
      <c r="D27" t="s">
        <v>26</v>
      </c>
      <c r="E27">
        <v>17295.940415779995</v>
      </c>
      <c r="F27">
        <v>0</v>
      </c>
      <c r="G27">
        <v>0</v>
      </c>
      <c r="H27" s="14">
        <f t="shared" si="4"/>
        <v>17295.940415779995</v>
      </c>
      <c r="I27">
        <v>0</v>
      </c>
      <c r="J27">
        <v>0</v>
      </c>
      <c r="K27">
        <v>0</v>
      </c>
      <c r="L27">
        <v>0</v>
      </c>
      <c r="M27" s="5">
        <f t="shared" si="0"/>
        <v>0</v>
      </c>
      <c r="N27" s="15">
        <f t="shared" si="1"/>
        <v>17295.940415779995</v>
      </c>
      <c r="O27" s="15">
        <f t="shared" si="2"/>
        <v>0</v>
      </c>
      <c r="P27">
        <v>0</v>
      </c>
      <c r="Q27">
        <v>0</v>
      </c>
      <c r="R27">
        <v>0</v>
      </c>
      <c r="T27">
        <f t="shared" si="5"/>
        <v>0</v>
      </c>
      <c r="U27" s="14">
        <f t="shared" si="3"/>
        <v>0</v>
      </c>
    </row>
    <row r="28" spans="1:21" x14ac:dyDescent="0.3">
      <c r="A28" t="s">
        <v>51</v>
      </c>
      <c r="B28" t="s">
        <v>28</v>
      </c>
      <c r="C28">
        <v>2022</v>
      </c>
      <c r="D28" t="s">
        <v>26</v>
      </c>
      <c r="E28">
        <v>558871.32000000007</v>
      </c>
      <c r="F28">
        <v>422314.4554520548</v>
      </c>
      <c r="G28">
        <v>0</v>
      </c>
      <c r="H28" s="14">
        <f t="shared" si="4"/>
        <v>981185.7754520548</v>
      </c>
      <c r="I28">
        <v>0</v>
      </c>
      <c r="J28">
        <v>418005.12427397264</v>
      </c>
      <c r="K28">
        <v>0</v>
      </c>
      <c r="L28">
        <v>2509166.4258630127</v>
      </c>
      <c r="M28" s="5">
        <f t="shared" si="0"/>
        <v>2927171.5501369853</v>
      </c>
      <c r="N28" s="15">
        <f t="shared" si="1"/>
        <v>-1945985.7746849305</v>
      </c>
      <c r="O28" s="15">
        <f t="shared" si="2"/>
        <v>0</v>
      </c>
      <c r="P28">
        <v>0</v>
      </c>
      <c r="Q28">
        <v>0</v>
      </c>
      <c r="R28">
        <v>3000000</v>
      </c>
      <c r="T28">
        <f t="shared" si="5"/>
        <v>1000000</v>
      </c>
      <c r="U28" s="14">
        <f t="shared" si="3"/>
        <v>0</v>
      </c>
    </row>
    <row r="29" spans="1:21" x14ac:dyDescent="0.3">
      <c r="A29" t="s">
        <v>52</v>
      </c>
      <c r="B29" t="s">
        <v>28</v>
      </c>
      <c r="C29">
        <v>2022</v>
      </c>
      <c r="D29" t="s">
        <v>26</v>
      </c>
      <c r="E29">
        <v>50457.536838734399</v>
      </c>
      <c r="F29">
        <v>0</v>
      </c>
      <c r="G29">
        <v>0</v>
      </c>
      <c r="H29" s="14">
        <f t="shared" si="4"/>
        <v>50457.536838734399</v>
      </c>
      <c r="I29">
        <v>0</v>
      </c>
      <c r="J29">
        <v>20874.213870270945</v>
      </c>
      <c r="K29">
        <v>0</v>
      </c>
      <c r="L29">
        <v>0</v>
      </c>
      <c r="M29" s="5">
        <f t="shared" si="0"/>
        <v>20874.213870270945</v>
      </c>
      <c r="N29" s="15">
        <f t="shared" si="1"/>
        <v>29583.322968463453</v>
      </c>
      <c r="O29" s="15">
        <f t="shared" si="2"/>
        <v>0</v>
      </c>
      <c r="P29">
        <v>0</v>
      </c>
      <c r="Q29">
        <v>0</v>
      </c>
      <c r="R29">
        <v>0</v>
      </c>
      <c r="T29">
        <f t="shared" si="5"/>
        <v>0</v>
      </c>
      <c r="U29" s="14">
        <f t="shared" si="3"/>
        <v>0</v>
      </c>
    </row>
    <row r="30" spans="1:21" x14ac:dyDescent="0.3">
      <c r="A30" t="s">
        <v>53</v>
      </c>
      <c r="B30" t="s">
        <v>28</v>
      </c>
      <c r="C30">
        <v>2022</v>
      </c>
      <c r="D30" t="s">
        <v>26</v>
      </c>
      <c r="E30">
        <v>511145.64</v>
      </c>
      <c r="F30">
        <v>107882.59068493151</v>
      </c>
      <c r="G30">
        <v>0</v>
      </c>
      <c r="H30" s="14">
        <f t="shared" si="4"/>
        <v>619028.23068493151</v>
      </c>
      <c r="I30">
        <v>0</v>
      </c>
      <c r="J30">
        <v>109231.12306849317</v>
      </c>
      <c r="K30">
        <v>0</v>
      </c>
      <c r="L30">
        <v>0</v>
      </c>
      <c r="M30" s="5">
        <f t="shared" si="0"/>
        <v>109231.12306849317</v>
      </c>
      <c r="N30" s="15">
        <f t="shared" si="1"/>
        <v>509797.10761643836</v>
      </c>
      <c r="O30" s="15">
        <f t="shared" si="2"/>
        <v>0</v>
      </c>
      <c r="P30">
        <v>0</v>
      </c>
      <c r="Q30">
        <v>0</v>
      </c>
      <c r="R30">
        <v>0</v>
      </c>
      <c r="T30">
        <f t="shared" si="5"/>
        <v>0</v>
      </c>
      <c r="U30" s="14">
        <f t="shared" si="3"/>
        <v>0</v>
      </c>
    </row>
    <row r="31" spans="1:21" x14ac:dyDescent="0.3">
      <c r="A31" t="s">
        <v>54</v>
      </c>
      <c r="B31" t="s">
        <v>28</v>
      </c>
      <c r="C31">
        <v>2022</v>
      </c>
      <c r="D31" t="s">
        <v>26</v>
      </c>
      <c r="E31">
        <v>11533971.113738908</v>
      </c>
      <c r="F31">
        <v>73289.844008100539</v>
      </c>
      <c r="G31">
        <v>0</v>
      </c>
      <c r="H31" s="14">
        <f t="shared" si="4"/>
        <v>11607260.957747009</v>
      </c>
      <c r="I31">
        <v>2000000</v>
      </c>
      <c r="J31">
        <v>5402365.5826213807</v>
      </c>
      <c r="K31">
        <v>3000000</v>
      </c>
      <c r="L31">
        <v>0</v>
      </c>
      <c r="M31" s="5">
        <f t="shared" si="0"/>
        <v>10402365.582621381</v>
      </c>
      <c r="N31" s="15">
        <f t="shared" si="1"/>
        <v>1204895.375125628</v>
      </c>
      <c r="O31" s="15">
        <f t="shared" si="2"/>
        <v>5000000</v>
      </c>
      <c r="P31">
        <v>5000000</v>
      </c>
      <c r="Q31">
        <v>0</v>
      </c>
      <c r="R31">
        <v>0</v>
      </c>
      <c r="T31">
        <f t="shared" si="5"/>
        <v>1666666.6666666667</v>
      </c>
      <c r="U31" s="14">
        <f t="shared" si="3"/>
        <v>250000</v>
      </c>
    </row>
    <row r="32" spans="1:21" x14ac:dyDescent="0.3">
      <c r="A32" t="s">
        <v>55</v>
      </c>
      <c r="B32" t="s">
        <v>28</v>
      </c>
      <c r="C32">
        <v>2022</v>
      </c>
      <c r="D32" t="s">
        <v>26</v>
      </c>
      <c r="E32">
        <v>475021.99273964355</v>
      </c>
      <c r="F32">
        <v>306111.38004207483</v>
      </c>
      <c r="G32">
        <v>0</v>
      </c>
      <c r="H32" s="14">
        <f t="shared" si="4"/>
        <v>781133.37278171838</v>
      </c>
      <c r="I32">
        <v>0</v>
      </c>
      <c r="J32">
        <v>196515.94768133201</v>
      </c>
      <c r="K32">
        <v>0</v>
      </c>
      <c r="L32">
        <v>0</v>
      </c>
      <c r="M32" s="5">
        <f t="shared" si="0"/>
        <v>196515.94768133201</v>
      </c>
      <c r="N32" s="15">
        <f t="shared" si="1"/>
        <v>584617.42510038638</v>
      </c>
      <c r="O32" s="15">
        <f t="shared" si="2"/>
        <v>0</v>
      </c>
      <c r="P32">
        <v>0</v>
      </c>
      <c r="Q32">
        <v>0</v>
      </c>
      <c r="R32">
        <v>0</v>
      </c>
      <c r="T32">
        <f t="shared" si="5"/>
        <v>0</v>
      </c>
      <c r="U32" s="14">
        <f t="shared" si="3"/>
        <v>0</v>
      </c>
    </row>
    <row r="33" spans="1:21" x14ac:dyDescent="0.3">
      <c r="A33" t="s">
        <v>56</v>
      </c>
      <c r="B33" t="s">
        <v>28</v>
      </c>
      <c r="C33">
        <v>2022</v>
      </c>
      <c r="D33" t="s">
        <v>26</v>
      </c>
      <c r="E33">
        <v>76348.800000000003</v>
      </c>
      <c r="F33">
        <v>0</v>
      </c>
      <c r="G33">
        <v>0</v>
      </c>
      <c r="H33" s="14">
        <f t="shared" si="4"/>
        <v>76348.800000000003</v>
      </c>
      <c r="I33">
        <v>0</v>
      </c>
      <c r="J33">
        <v>12341.312876712329</v>
      </c>
      <c r="K33">
        <v>0</v>
      </c>
      <c r="L33">
        <v>0</v>
      </c>
      <c r="M33" s="5">
        <f t="shared" si="0"/>
        <v>12341.312876712329</v>
      </c>
      <c r="N33" s="15">
        <f t="shared" si="1"/>
        <v>64007.487123287676</v>
      </c>
      <c r="O33" s="15">
        <f t="shared" si="2"/>
        <v>0</v>
      </c>
      <c r="P33">
        <v>0</v>
      </c>
      <c r="Q33">
        <v>0</v>
      </c>
      <c r="R33">
        <v>0</v>
      </c>
      <c r="T33">
        <f t="shared" si="5"/>
        <v>0</v>
      </c>
      <c r="U33" s="14">
        <f t="shared" si="3"/>
        <v>0</v>
      </c>
    </row>
    <row r="34" spans="1:21" x14ac:dyDescent="0.3">
      <c r="A34" t="s">
        <v>57</v>
      </c>
      <c r="B34" t="s">
        <v>28</v>
      </c>
      <c r="C34">
        <v>2022</v>
      </c>
      <c r="D34" t="s">
        <v>26</v>
      </c>
      <c r="E34">
        <v>135191.736418135</v>
      </c>
      <c r="F34">
        <v>0</v>
      </c>
      <c r="G34">
        <v>0</v>
      </c>
      <c r="H34" s="14">
        <f t="shared" si="4"/>
        <v>135191.736418135</v>
      </c>
      <c r="I34">
        <v>0</v>
      </c>
      <c r="J34">
        <v>33334.948705841503</v>
      </c>
      <c r="K34">
        <v>0</v>
      </c>
      <c r="L34">
        <v>0</v>
      </c>
      <c r="M34" s="5">
        <f t="shared" si="0"/>
        <v>33334.948705841503</v>
      </c>
      <c r="N34" s="15">
        <f t="shared" si="1"/>
        <v>101856.7877122935</v>
      </c>
      <c r="O34" s="15">
        <f t="shared" si="2"/>
        <v>0</v>
      </c>
      <c r="P34">
        <v>0</v>
      </c>
      <c r="Q34">
        <v>0</v>
      </c>
      <c r="R34">
        <v>0</v>
      </c>
      <c r="T34">
        <f t="shared" si="5"/>
        <v>0</v>
      </c>
      <c r="U34" s="14">
        <f t="shared" si="3"/>
        <v>0</v>
      </c>
    </row>
    <row r="35" spans="1:21" x14ac:dyDescent="0.3">
      <c r="A35" t="s">
        <v>58</v>
      </c>
      <c r="B35" t="s">
        <v>28</v>
      </c>
      <c r="C35">
        <v>2022</v>
      </c>
      <c r="D35" t="s">
        <v>26</v>
      </c>
      <c r="E35">
        <v>2111316.1976487874</v>
      </c>
      <c r="F35">
        <v>342048.82984569017</v>
      </c>
      <c r="G35">
        <v>0</v>
      </c>
      <c r="H35" s="14">
        <f t="shared" si="4"/>
        <v>2453365.0274944776</v>
      </c>
      <c r="I35">
        <v>0</v>
      </c>
      <c r="J35">
        <v>341281.24838706426</v>
      </c>
      <c r="K35">
        <v>0</v>
      </c>
      <c r="L35">
        <v>0</v>
      </c>
      <c r="M35" s="5">
        <f t="shared" si="0"/>
        <v>341281.24838706426</v>
      </c>
      <c r="N35" s="15">
        <f t="shared" si="1"/>
        <v>2112083.7791074133</v>
      </c>
      <c r="O35" s="15">
        <f t="shared" si="2"/>
        <v>0</v>
      </c>
      <c r="P35">
        <v>0</v>
      </c>
      <c r="Q35">
        <v>0</v>
      </c>
      <c r="R35">
        <v>0</v>
      </c>
      <c r="T35">
        <f t="shared" si="5"/>
        <v>0</v>
      </c>
      <c r="U35" s="14">
        <f t="shared" si="3"/>
        <v>0</v>
      </c>
    </row>
    <row r="36" spans="1:21" x14ac:dyDescent="0.3">
      <c r="A36" t="s">
        <v>59</v>
      </c>
      <c r="B36" t="s">
        <v>28</v>
      </c>
      <c r="C36">
        <v>2022</v>
      </c>
      <c r="D36" t="s">
        <v>26</v>
      </c>
      <c r="E36">
        <v>82547640</v>
      </c>
      <c r="F36">
        <v>0</v>
      </c>
      <c r="G36">
        <v>24000000</v>
      </c>
      <c r="H36" s="14">
        <f t="shared" si="4"/>
        <v>106547640</v>
      </c>
      <c r="I36">
        <v>68400000</v>
      </c>
      <c r="J36">
        <v>0</v>
      </c>
      <c r="K36">
        <v>50400000</v>
      </c>
      <c r="L36">
        <v>0</v>
      </c>
      <c r="M36" s="5">
        <f t="shared" ref="M36:M67" si="6">SUM(I36:L36)</f>
        <v>118800000</v>
      </c>
      <c r="N36" s="15">
        <f t="shared" ref="N36:N67" si="7">H36-M36</f>
        <v>-12252360</v>
      </c>
      <c r="O36" s="15">
        <f t="shared" ref="O36:O67" si="8">K36+I36-G36</f>
        <v>94800000</v>
      </c>
      <c r="P36">
        <v>94800000</v>
      </c>
      <c r="Q36">
        <v>103200000</v>
      </c>
      <c r="R36">
        <v>50400000</v>
      </c>
      <c r="T36">
        <f t="shared" si="5"/>
        <v>82800000</v>
      </c>
      <c r="U36" s="14">
        <f t="shared" ref="U36:U67" si="9">IF(N36&lt;0,0,MIN(72%*N36,15%*T36))</f>
        <v>0</v>
      </c>
    </row>
    <row r="37" spans="1:21" x14ac:dyDescent="0.3">
      <c r="A37" t="s">
        <v>60</v>
      </c>
      <c r="B37" t="s">
        <v>28</v>
      </c>
      <c r="C37">
        <v>2022</v>
      </c>
      <c r="D37" t="s">
        <v>26</v>
      </c>
      <c r="E37">
        <v>99316539</v>
      </c>
      <c r="F37">
        <v>0</v>
      </c>
      <c r="G37">
        <v>46800000</v>
      </c>
      <c r="H37" s="14">
        <f t="shared" si="4"/>
        <v>146116539</v>
      </c>
      <c r="I37">
        <v>20400000</v>
      </c>
      <c r="J37">
        <v>0</v>
      </c>
      <c r="K37">
        <v>27600000</v>
      </c>
      <c r="L37">
        <v>0</v>
      </c>
      <c r="M37" s="5">
        <f t="shared" si="6"/>
        <v>48000000</v>
      </c>
      <c r="N37" s="15">
        <f t="shared" si="7"/>
        <v>98116539</v>
      </c>
      <c r="O37" s="15">
        <f t="shared" si="8"/>
        <v>1200000</v>
      </c>
      <c r="P37">
        <v>1200000</v>
      </c>
      <c r="Q37">
        <v>84000000</v>
      </c>
      <c r="R37">
        <v>18000000</v>
      </c>
      <c r="T37">
        <f t="shared" si="5"/>
        <v>34400000</v>
      </c>
      <c r="U37" s="14">
        <f t="shared" si="9"/>
        <v>5160000</v>
      </c>
    </row>
    <row r="38" spans="1:21" x14ac:dyDescent="0.3">
      <c r="A38" t="s">
        <v>61</v>
      </c>
      <c r="B38" t="s">
        <v>28</v>
      </c>
      <c r="C38">
        <v>2022</v>
      </c>
      <c r="D38" t="s">
        <v>26</v>
      </c>
      <c r="E38">
        <v>94347000</v>
      </c>
      <c r="F38">
        <v>0</v>
      </c>
      <c r="G38">
        <v>0</v>
      </c>
      <c r="H38" s="14">
        <f t="shared" si="4"/>
        <v>94347000</v>
      </c>
      <c r="I38">
        <v>3000000</v>
      </c>
      <c r="J38">
        <v>23263643.835616436</v>
      </c>
      <c r="K38">
        <v>33000000</v>
      </c>
      <c r="L38">
        <v>0</v>
      </c>
      <c r="M38" s="5">
        <f t="shared" si="6"/>
        <v>59263643.83561644</v>
      </c>
      <c r="N38" s="15">
        <f t="shared" si="7"/>
        <v>35083356.16438356</v>
      </c>
      <c r="O38" s="15">
        <f t="shared" si="8"/>
        <v>36000000</v>
      </c>
      <c r="P38">
        <v>36000000</v>
      </c>
      <c r="Q38">
        <v>0</v>
      </c>
      <c r="R38">
        <v>0</v>
      </c>
      <c r="T38">
        <f t="shared" si="5"/>
        <v>12000000</v>
      </c>
      <c r="U38" s="14">
        <f t="shared" si="9"/>
        <v>1800000</v>
      </c>
    </row>
    <row r="39" spans="1:21" x14ac:dyDescent="0.3">
      <c r="A39" t="s">
        <v>62</v>
      </c>
      <c r="B39" t="s">
        <v>28</v>
      </c>
      <c r="C39">
        <v>2022</v>
      </c>
      <c r="D39" t="s">
        <v>26</v>
      </c>
      <c r="E39">
        <v>40946787</v>
      </c>
      <c r="F39">
        <v>0</v>
      </c>
      <c r="G39">
        <v>19200000</v>
      </c>
      <c r="H39" s="14">
        <f t="shared" si="4"/>
        <v>60146787</v>
      </c>
      <c r="I39">
        <v>7200000</v>
      </c>
      <c r="J39">
        <v>0</v>
      </c>
      <c r="K39">
        <v>42000000</v>
      </c>
      <c r="L39">
        <v>0</v>
      </c>
      <c r="M39" s="5">
        <f t="shared" si="6"/>
        <v>49200000</v>
      </c>
      <c r="N39" s="15">
        <f t="shared" si="7"/>
        <v>10946787</v>
      </c>
      <c r="O39" s="15">
        <f t="shared" si="8"/>
        <v>30000000</v>
      </c>
      <c r="P39">
        <v>30000000</v>
      </c>
      <c r="Q39">
        <v>32400000</v>
      </c>
      <c r="R39">
        <v>2400000</v>
      </c>
      <c r="T39">
        <f t="shared" si="5"/>
        <v>21600000</v>
      </c>
      <c r="U39" s="14">
        <f t="shared" si="9"/>
        <v>3240000</v>
      </c>
    </row>
    <row r="40" spans="1:21" x14ac:dyDescent="0.3">
      <c r="A40" t="s">
        <v>63</v>
      </c>
      <c r="B40" t="s">
        <v>28</v>
      </c>
      <c r="C40">
        <v>2022</v>
      </c>
      <c r="D40" t="s">
        <v>26</v>
      </c>
      <c r="E40">
        <v>115160724</v>
      </c>
      <c r="F40">
        <v>0</v>
      </c>
      <c r="G40">
        <v>38400000</v>
      </c>
      <c r="H40" s="14">
        <f t="shared" si="4"/>
        <v>153560724</v>
      </c>
      <c r="I40">
        <v>123600000</v>
      </c>
      <c r="J40">
        <v>0</v>
      </c>
      <c r="K40">
        <v>84000000</v>
      </c>
      <c r="L40">
        <v>0</v>
      </c>
      <c r="M40" s="5">
        <f t="shared" si="6"/>
        <v>207600000</v>
      </c>
      <c r="N40" s="15">
        <f t="shared" si="7"/>
        <v>-54039276</v>
      </c>
      <c r="O40" s="15">
        <f t="shared" si="8"/>
        <v>169200000</v>
      </c>
      <c r="P40">
        <v>169200000</v>
      </c>
      <c r="Q40">
        <v>38400000</v>
      </c>
      <c r="R40">
        <v>0</v>
      </c>
      <c r="T40">
        <f t="shared" si="5"/>
        <v>69200000</v>
      </c>
      <c r="U40" s="14">
        <f t="shared" si="9"/>
        <v>0</v>
      </c>
    </row>
    <row r="41" spans="1:21" x14ac:dyDescent="0.3">
      <c r="A41" t="s">
        <v>64</v>
      </c>
      <c r="B41" t="s">
        <v>28</v>
      </c>
      <c r="C41">
        <v>2022</v>
      </c>
      <c r="D41" t="s">
        <v>26</v>
      </c>
      <c r="E41">
        <v>50310.96</v>
      </c>
      <c r="F41">
        <v>0</v>
      </c>
      <c r="G41">
        <v>0</v>
      </c>
      <c r="H41" s="14">
        <f t="shared" si="4"/>
        <v>50310.96</v>
      </c>
      <c r="I41">
        <v>0</v>
      </c>
      <c r="J41">
        <v>0</v>
      </c>
      <c r="K41">
        <v>0</v>
      </c>
      <c r="L41">
        <v>0</v>
      </c>
      <c r="M41" s="5">
        <f t="shared" si="6"/>
        <v>0</v>
      </c>
      <c r="N41" s="15">
        <f t="shared" si="7"/>
        <v>50310.96</v>
      </c>
      <c r="O41" s="15">
        <f t="shared" si="8"/>
        <v>0</v>
      </c>
      <c r="P41">
        <v>0</v>
      </c>
      <c r="Q41">
        <v>0</v>
      </c>
      <c r="R41">
        <v>0</v>
      </c>
      <c r="T41">
        <f t="shared" si="5"/>
        <v>0</v>
      </c>
      <c r="U41" s="14">
        <f t="shared" si="9"/>
        <v>0</v>
      </c>
    </row>
    <row r="42" spans="1:21" x14ac:dyDescent="0.3">
      <c r="A42" t="s">
        <v>65</v>
      </c>
      <c r="B42" t="s">
        <v>28</v>
      </c>
      <c r="C42">
        <v>2022</v>
      </c>
      <c r="D42" t="s">
        <v>26</v>
      </c>
      <c r="E42">
        <v>2803.410814189594</v>
      </c>
      <c r="F42">
        <v>1014.7963118487676</v>
      </c>
      <c r="G42">
        <v>0</v>
      </c>
      <c r="H42" s="14">
        <f t="shared" si="4"/>
        <v>3818.2071260383618</v>
      </c>
      <c r="I42">
        <v>0</v>
      </c>
      <c r="J42">
        <v>1159.7672135414487</v>
      </c>
      <c r="K42">
        <v>0</v>
      </c>
      <c r="L42">
        <v>0</v>
      </c>
      <c r="M42" s="5">
        <f t="shared" si="6"/>
        <v>1159.7672135414487</v>
      </c>
      <c r="N42" s="15">
        <f t="shared" si="7"/>
        <v>2658.4399124969132</v>
      </c>
      <c r="O42" s="15">
        <f t="shared" si="8"/>
        <v>0</v>
      </c>
      <c r="P42">
        <v>0</v>
      </c>
      <c r="Q42">
        <v>0</v>
      </c>
      <c r="R42">
        <v>0</v>
      </c>
      <c r="T42">
        <f t="shared" si="5"/>
        <v>0</v>
      </c>
      <c r="U42" s="14">
        <f t="shared" si="9"/>
        <v>0</v>
      </c>
    </row>
    <row r="43" spans="1:21" x14ac:dyDescent="0.3">
      <c r="A43" t="s">
        <v>66</v>
      </c>
      <c r="B43" t="s">
        <v>28</v>
      </c>
      <c r="C43">
        <v>2022</v>
      </c>
      <c r="D43" t="s">
        <v>26</v>
      </c>
      <c r="E43">
        <v>128375.00298928555</v>
      </c>
      <c r="F43">
        <v>85466.097880538058</v>
      </c>
      <c r="G43">
        <v>0</v>
      </c>
      <c r="H43" s="14">
        <f t="shared" si="4"/>
        <v>213841.1008698236</v>
      </c>
      <c r="I43">
        <v>0</v>
      </c>
      <c r="J43">
        <v>85466.097880538058</v>
      </c>
      <c r="K43">
        <v>0</v>
      </c>
      <c r="L43">
        <v>1797056.4324889737</v>
      </c>
      <c r="M43" s="5">
        <f t="shared" si="6"/>
        <v>1882522.5303695118</v>
      </c>
      <c r="N43" s="15">
        <f t="shared" si="7"/>
        <v>-1668681.4294996881</v>
      </c>
      <c r="O43" s="15">
        <f t="shared" si="8"/>
        <v>0</v>
      </c>
      <c r="P43">
        <v>0</v>
      </c>
      <c r="Q43">
        <v>1500000</v>
      </c>
      <c r="R43">
        <v>500000</v>
      </c>
      <c r="T43">
        <f t="shared" si="5"/>
        <v>666666.66666666663</v>
      </c>
      <c r="U43" s="14">
        <f t="shared" si="9"/>
        <v>0</v>
      </c>
    </row>
    <row r="44" spans="1:21" x14ac:dyDescent="0.3">
      <c r="A44" t="s">
        <v>67</v>
      </c>
      <c r="B44" t="s">
        <v>28</v>
      </c>
      <c r="C44">
        <v>2022</v>
      </c>
      <c r="D44" t="s">
        <v>26</v>
      </c>
      <c r="E44">
        <v>18373.32</v>
      </c>
      <c r="F44">
        <v>0</v>
      </c>
      <c r="G44">
        <v>0</v>
      </c>
      <c r="H44" s="14">
        <f t="shared" si="4"/>
        <v>18373.32</v>
      </c>
      <c r="I44">
        <v>0</v>
      </c>
      <c r="J44">
        <v>13742.236602739726</v>
      </c>
      <c r="K44">
        <v>0</v>
      </c>
      <c r="L44">
        <v>0</v>
      </c>
      <c r="M44" s="5">
        <f t="shared" si="6"/>
        <v>13742.236602739726</v>
      </c>
      <c r="N44" s="15">
        <f t="shared" si="7"/>
        <v>4631.0833972602741</v>
      </c>
      <c r="O44" s="15">
        <f t="shared" si="8"/>
        <v>0</v>
      </c>
      <c r="P44">
        <v>0</v>
      </c>
      <c r="Q44">
        <v>0</v>
      </c>
      <c r="R44">
        <v>0</v>
      </c>
      <c r="T44">
        <f t="shared" si="5"/>
        <v>0</v>
      </c>
      <c r="U44" s="14">
        <f t="shared" si="9"/>
        <v>0</v>
      </c>
    </row>
    <row r="45" spans="1:21" x14ac:dyDescent="0.3">
      <c r="A45" t="s">
        <v>68</v>
      </c>
      <c r="B45" t="s">
        <v>28</v>
      </c>
      <c r="C45">
        <v>2022</v>
      </c>
      <c r="D45" t="s">
        <v>26</v>
      </c>
      <c r="E45">
        <v>4397839.4115544688</v>
      </c>
      <c r="F45">
        <v>847853.56343644473</v>
      </c>
      <c r="G45">
        <v>0</v>
      </c>
      <c r="H45" s="14">
        <f t="shared" si="4"/>
        <v>5245692.9749909136</v>
      </c>
      <c r="I45">
        <v>500000</v>
      </c>
      <c r="J45">
        <v>1084398.7590134307</v>
      </c>
      <c r="K45">
        <v>1000000</v>
      </c>
      <c r="L45">
        <v>0</v>
      </c>
      <c r="M45" s="5">
        <f t="shared" si="6"/>
        <v>2584398.7590134307</v>
      </c>
      <c r="N45" s="15">
        <f t="shared" si="7"/>
        <v>2661294.215977483</v>
      </c>
      <c r="O45" s="15">
        <f t="shared" si="8"/>
        <v>1500000</v>
      </c>
      <c r="P45">
        <v>1500000</v>
      </c>
      <c r="Q45">
        <v>0</v>
      </c>
      <c r="R45">
        <v>0</v>
      </c>
      <c r="T45">
        <f t="shared" si="5"/>
        <v>500000</v>
      </c>
      <c r="U45" s="14">
        <f t="shared" si="9"/>
        <v>75000</v>
      </c>
    </row>
    <row r="46" spans="1:21" x14ac:dyDescent="0.3">
      <c r="A46" t="s">
        <v>69</v>
      </c>
      <c r="B46" t="s">
        <v>28</v>
      </c>
      <c r="C46">
        <v>2022</v>
      </c>
      <c r="D46" t="s">
        <v>26</v>
      </c>
      <c r="E46">
        <v>834701.22</v>
      </c>
      <c r="F46">
        <v>0</v>
      </c>
      <c r="G46">
        <v>0</v>
      </c>
      <c r="H46" s="14">
        <f t="shared" si="4"/>
        <v>834701.22</v>
      </c>
      <c r="I46">
        <v>0</v>
      </c>
      <c r="J46">
        <v>0</v>
      </c>
      <c r="K46">
        <v>0</v>
      </c>
      <c r="L46">
        <v>0</v>
      </c>
      <c r="M46" s="5">
        <f t="shared" si="6"/>
        <v>0</v>
      </c>
      <c r="N46" s="15">
        <f t="shared" si="7"/>
        <v>834701.22</v>
      </c>
      <c r="O46" s="15">
        <f t="shared" si="8"/>
        <v>0</v>
      </c>
      <c r="P46">
        <v>0</v>
      </c>
      <c r="Q46">
        <v>0</v>
      </c>
      <c r="R46">
        <v>3000000</v>
      </c>
      <c r="T46">
        <f t="shared" si="5"/>
        <v>1000000</v>
      </c>
      <c r="U46" s="14">
        <f t="shared" si="9"/>
        <v>150000</v>
      </c>
    </row>
    <row r="47" spans="1:21" x14ac:dyDescent="0.3">
      <c r="A47" t="s">
        <v>70</v>
      </c>
      <c r="B47" t="s">
        <v>28</v>
      </c>
      <c r="C47">
        <v>2022</v>
      </c>
      <c r="D47" t="s">
        <v>26</v>
      </c>
      <c r="E47">
        <v>107621.59319527059</v>
      </c>
      <c r="F47">
        <v>16337.457816325534</v>
      </c>
      <c r="G47">
        <v>0</v>
      </c>
      <c r="H47" s="14">
        <f t="shared" si="4"/>
        <v>123959.05101159612</v>
      </c>
      <c r="I47">
        <v>0</v>
      </c>
      <c r="J47">
        <v>16337.457816325534</v>
      </c>
      <c r="K47">
        <v>0</v>
      </c>
      <c r="L47">
        <v>0</v>
      </c>
      <c r="M47" s="5">
        <f t="shared" si="6"/>
        <v>16337.457816325534</v>
      </c>
      <c r="N47" s="15">
        <f t="shared" si="7"/>
        <v>107621.59319527059</v>
      </c>
      <c r="O47" s="15">
        <f t="shared" si="8"/>
        <v>0</v>
      </c>
      <c r="P47">
        <v>0</v>
      </c>
      <c r="Q47">
        <v>0</v>
      </c>
      <c r="R47">
        <v>0</v>
      </c>
      <c r="T47">
        <f t="shared" si="5"/>
        <v>0</v>
      </c>
      <c r="U47" s="14">
        <f t="shared" si="9"/>
        <v>0</v>
      </c>
    </row>
    <row r="48" spans="1:21" x14ac:dyDescent="0.3">
      <c r="A48" t="s">
        <v>71</v>
      </c>
      <c r="B48" t="s">
        <v>28</v>
      </c>
      <c r="C48">
        <v>2022</v>
      </c>
      <c r="D48" t="s">
        <v>26</v>
      </c>
      <c r="E48">
        <v>302286.71999999997</v>
      </c>
      <c r="F48">
        <v>0</v>
      </c>
      <c r="G48">
        <v>0</v>
      </c>
      <c r="H48" s="14">
        <f t="shared" si="4"/>
        <v>302286.71999999997</v>
      </c>
      <c r="I48">
        <v>0</v>
      </c>
      <c r="J48">
        <v>0</v>
      </c>
      <c r="K48">
        <v>0</v>
      </c>
      <c r="L48">
        <v>0</v>
      </c>
      <c r="M48" s="5">
        <f t="shared" si="6"/>
        <v>0</v>
      </c>
      <c r="N48" s="15">
        <f t="shared" si="7"/>
        <v>302286.71999999997</v>
      </c>
      <c r="O48" s="15">
        <f t="shared" si="8"/>
        <v>0</v>
      </c>
      <c r="P48">
        <v>0</v>
      </c>
      <c r="Q48">
        <v>0</v>
      </c>
      <c r="R48">
        <v>0</v>
      </c>
      <c r="T48">
        <f t="shared" si="5"/>
        <v>0</v>
      </c>
      <c r="U48" s="14">
        <f t="shared" si="9"/>
        <v>0</v>
      </c>
    </row>
    <row r="49" spans="1:21" x14ac:dyDescent="0.3">
      <c r="A49" t="s">
        <v>72</v>
      </c>
      <c r="B49" t="s">
        <v>28</v>
      </c>
      <c r="C49">
        <v>2022</v>
      </c>
      <c r="D49" t="s">
        <v>26</v>
      </c>
      <c r="E49">
        <v>819395.64</v>
      </c>
      <c r="F49">
        <v>0</v>
      </c>
      <c r="G49">
        <v>0</v>
      </c>
      <c r="H49" s="14">
        <f t="shared" si="4"/>
        <v>819395.64</v>
      </c>
      <c r="I49">
        <v>0</v>
      </c>
      <c r="J49">
        <v>0</v>
      </c>
      <c r="K49">
        <v>0</v>
      </c>
      <c r="L49">
        <v>0</v>
      </c>
      <c r="M49" s="5">
        <f t="shared" si="6"/>
        <v>0</v>
      </c>
      <c r="N49" s="15">
        <f t="shared" si="7"/>
        <v>819395.64</v>
      </c>
      <c r="O49" s="15">
        <f t="shared" si="8"/>
        <v>0</v>
      </c>
      <c r="P49">
        <v>0</v>
      </c>
      <c r="Q49">
        <v>0</v>
      </c>
      <c r="R49">
        <v>0</v>
      </c>
      <c r="T49">
        <f t="shared" si="5"/>
        <v>0</v>
      </c>
      <c r="U49" s="14">
        <f t="shared" si="9"/>
        <v>0</v>
      </c>
    </row>
    <row r="50" spans="1:21" x14ac:dyDescent="0.3">
      <c r="A50" t="s">
        <v>73</v>
      </c>
      <c r="B50" t="s">
        <v>28</v>
      </c>
      <c r="C50">
        <v>2022</v>
      </c>
      <c r="D50" t="s">
        <v>26</v>
      </c>
      <c r="E50">
        <v>729369.50476348784</v>
      </c>
      <c r="F50">
        <v>580285.08271062851</v>
      </c>
      <c r="G50">
        <v>0</v>
      </c>
      <c r="H50" s="14">
        <f t="shared" si="4"/>
        <v>1309654.5874741164</v>
      </c>
      <c r="I50">
        <v>0</v>
      </c>
      <c r="J50">
        <v>562151.17387592129</v>
      </c>
      <c r="K50">
        <v>0</v>
      </c>
      <c r="L50">
        <v>3955713.6182516944</v>
      </c>
      <c r="M50" s="5">
        <f t="shared" si="6"/>
        <v>4517864.7921276158</v>
      </c>
      <c r="N50" s="15">
        <f t="shared" si="7"/>
        <v>-3208210.2046534996</v>
      </c>
      <c r="O50" s="15">
        <f t="shared" si="8"/>
        <v>0</v>
      </c>
      <c r="P50">
        <v>0</v>
      </c>
      <c r="Q50">
        <v>0</v>
      </c>
      <c r="R50">
        <v>0</v>
      </c>
      <c r="T50">
        <f t="shared" si="5"/>
        <v>0</v>
      </c>
      <c r="U50" s="14">
        <f t="shared" si="9"/>
        <v>0</v>
      </c>
    </row>
    <row r="51" spans="1:21" x14ac:dyDescent="0.3">
      <c r="A51" t="s">
        <v>74</v>
      </c>
      <c r="B51" t="s">
        <v>28</v>
      </c>
      <c r="C51">
        <v>2022</v>
      </c>
      <c r="D51" t="s">
        <v>26</v>
      </c>
      <c r="E51">
        <v>2169370.551336532</v>
      </c>
      <c r="F51">
        <v>0</v>
      </c>
      <c r="G51">
        <v>0</v>
      </c>
      <c r="H51" s="14">
        <f t="shared" si="4"/>
        <v>2169370.551336532</v>
      </c>
      <c r="I51">
        <v>1210927.2</v>
      </c>
      <c r="J51">
        <v>0</v>
      </c>
      <c r="K51">
        <v>0</v>
      </c>
      <c r="L51">
        <v>0</v>
      </c>
      <c r="M51" s="5">
        <f t="shared" si="6"/>
        <v>1210927.2</v>
      </c>
      <c r="N51" s="15">
        <f t="shared" si="7"/>
        <v>958443.35133653204</v>
      </c>
      <c r="O51" s="15">
        <f t="shared" si="8"/>
        <v>1210927.2</v>
      </c>
      <c r="P51">
        <v>1210927.2</v>
      </c>
      <c r="Q51">
        <v>0</v>
      </c>
      <c r="R51">
        <v>0</v>
      </c>
      <c r="T51">
        <f t="shared" si="5"/>
        <v>403642.39999999997</v>
      </c>
      <c r="U51" s="14">
        <f t="shared" si="9"/>
        <v>60546.359999999993</v>
      </c>
    </row>
    <row r="52" spans="1:21" x14ac:dyDescent="0.3">
      <c r="A52" t="s">
        <v>75</v>
      </c>
      <c r="B52" t="s">
        <v>28</v>
      </c>
      <c r="C52">
        <v>2022</v>
      </c>
      <c r="D52" t="s">
        <v>26</v>
      </c>
      <c r="E52">
        <v>2996484.12</v>
      </c>
      <c r="F52">
        <v>811163.35232876707</v>
      </c>
      <c r="G52">
        <v>0</v>
      </c>
      <c r="H52" s="14">
        <f t="shared" si="4"/>
        <v>3807647.4723287672</v>
      </c>
      <c r="I52">
        <v>0</v>
      </c>
      <c r="J52">
        <v>738859.09808219178</v>
      </c>
      <c r="K52">
        <v>300000</v>
      </c>
      <c r="L52">
        <v>0</v>
      </c>
      <c r="M52" s="5">
        <f t="shared" si="6"/>
        <v>1038859.0980821918</v>
      </c>
      <c r="N52" s="15">
        <f t="shared" si="7"/>
        <v>2768788.3742465754</v>
      </c>
      <c r="O52" s="15">
        <f t="shared" si="8"/>
        <v>300000</v>
      </c>
      <c r="P52">
        <v>300000</v>
      </c>
      <c r="Q52">
        <v>0</v>
      </c>
      <c r="R52">
        <v>1400000</v>
      </c>
      <c r="T52">
        <f t="shared" si="5"/>
        <v>566666.66666666663</v>
      </c>
      <c r="U52" s="14">
        <f t="shared" si="9"/>
        <v>84999.999999999985</v>
      </c>
    </row>
    <row r="53" spans="1:21" x14ac:dyDescent="0.3">
      <c r="A53" t="s">
        <v>76</v>
      </c>
      <c r="B53" t="s">
        <v>28</v>
      </c>
      <c r="C53">
        <v>2022</v>
      </c>
      <c r="D53" t="s">
        <v>26</v>
      </c>
      <c r="E53">
        <v>3520119.5795968417</v>
      </c>
      <c r="F53">
        <v>683542.73385713249</v>
      </c>
      <c r="G53">
        <v>0</v>
      </c>
      <c r="H53" s="14">
        <f t="shared" si="4"/>
        <v>4203662.3134539742</v>
      </c>
      <c r="I53">
        <v>0</v>
      </c>
      <c r="J53">
        <v>1157299.5878126603</v>
      </c>
      <c r="K53">
        <v>0</v>
      </c>
      <c r="L53">
        <v>0</v>
      </c>
      <c r="M53" s="5">
        <f t="shared" si="6"/>
        <v>1157299.5878126603</v>
      </c>
      <c r="N53" s="15">
        <f t="shared" si="7"/>
        <v>3046362.7256413139</v>
      </c>
      <c r="O53" s="15">
        <f t="shared" si="8"/>
        <v>0</v>
      </c>
      <c r="P53">
        <v>0</v>
      </c>
      <c r="Q53">
        <v>0</v>
      </c>
      <c r="R53">
        <v>0</v>
      </c>
      <c r="T53">
        <f t="shared" si="5"/>
        <v>0</v>
      </c>
      <c r="U53" s="14">
        <f t="shared" si="9"/>
        <v>0</v>
      </c>
    </row>
    <row r="54" spans="1:21" x14ac:dyDescent="0.3">
      <c r="A54" t="s">
        <v>77</v>
      </c>
      <c r="B54" t="s">
        <v>28</v>
      </c>
      <c r="C54">
        <v>2022</v>
      </c>
      <c r="D54" t="s">
        <v>26</v>
      </c>
      <c r="E54">
        <v>16004.17360805126</v>
      </c>
      <c r="F54">
        <v>13136.322288093534</v>
      </c>
      <c r="G54">
        <v>0</v>
      </c>
      <c r="H54" s="14">
        <f t="shared" si="4"/>
        <v>29140.495896144792</v>
      </c>
      <c r="I54">
        <v>0</v>
      </c>
      <c r="J54">
        <v>13136.322288093534</v>
      </c>
      <c r="K54">
        <v>0</v>
      </c>
      <c r="L54">
        <v>0</v>
      </c>
      <c r="M54" s="5">
        <f t="shared" si="6"/>
        <v>13136.322288093534</v>
      </c>
      <c r="N54" s="15">
        <f t="shared" si="7"/>
        <v>16004.173608051258</v>
      </c>
      <c r="O54" s="15">
        <f t="shared" si="8"/>
        <v>0</v>
      </c>
      <c r="P54">
        <v>0</v>
      </c>
      <c r="Q54">
        <v>0</v>
      </c>
      <c r="R54">
        <v>0</v>
      </c>
      <c r="T54">
        <f t="shared" si="5"/>
        <v>0</v>
      </c>
      <c r="U54" s="14">
        <f t="shared" si="9"/>
        <v>0</v>
      </c>
    </row>
    <row r="55" spans="1:21" x14ac:dyDescent="0.3">
      <c r="A55" t="s">
        <v>78</v>
      </c>
      <c r="B55" t="s">
        <v>28</v>
      </c>
      <c r="C55">
        <v>2022</v>
      </c>
      <c r="D55" t="s">
        <v>26</v>
      </c>
      <c r="E55">
        <v>6115350.3600000003</v>
      </c>
      <c r="F55">
        <v>0</v>
      </c>
      <c r="G55">
        <v>2500000</v>
      </c>
      <c r="H55" s="14">
        <f t="shared" si="4"/>
        <v>8615350.3599999994</v>
      </c>
      <c r="I55">
        <v>7000000</v>
      </c>
      <c r="J55">
        <v>0</v>
      </c>
      <c r="K55">
        <v>2000000</v>
      </c>
      <c r="L55">
        <v>0</v>
      </c>
      <c r="M55" s="5">
        <f t="shared" si="6"/>
        <v>9000000</v>
      </c>
      <c r="N55" s="15">
        <f t="shared" si="7"/>
        <v>-384649.6400000006</v>
      </c>
      <c r="O55" s="15">
        <f t="shared" si="8"/>
        <v>6500000</v>
      </c>
      <c r="P55">
        <v>6500000</v>
      </c>
      <c r="Q55">
        <v>6500000</v>
      </c>
      <c r="R55">
        <v>0</v>
      </c>
      <c r="T55">
        <f t="shared" si="5"/>
        <v>4333333.333333333</v>
      </c>
      <c r="U55" s="14">
        <f t="shared" si="9"/>
        <v>0</v>
      </c>
    </row>
    <row r="56" spans="1:21" x14ac:dyDescent="0.3">
      <c r="A56" t="s">
        <v>79</v>
      </c>
      <c r="B56" t="s">
        <v>28</v>
      </c>
      <c r="C56">
        <v>2022</v>
      </c>
      <c r="D56" t="s">
        <v>26</v>
      </c>
      <c r="E56">
        <v>289142.40000000002</v>
      </c>
      <c r="F56">
        <v>0</v>
      </c>
      <c r="G56">
        <v>0</v>
      </c>
      <c r="H56" s="14">
        <f t="shared" si="4"/>
        <v>289142.40000000002</v>
      </c>
      <c r="I56">
        <v>0</v>
      </c>
      <c r="J56">
        <v>0</v>
      </c>
      <c r="K56">
        <v>0</v>
      </c>
      <c r="L56">
        <v>0</v>
      </c>
      <c r="M56" s="5">
        <f t="shared" si="6"/>
        <v>0</v>
      </c>
      <c r="N56" s="15">
        <f t="shared" si="7"/>
        <v>289142.40000000002</v>
      </c>
      <c r="O56" s="15">
        <f t="shared" si="8"/>
        <v>0</v>
      </c>
      <c r="P56">
        <v>0</v>
      </c>
      <c r="Q56">
        <v>0</v>
      </c>
      <c r="R56">
        <v>0</v>
      </c>
      <c r="T56">
        <f t="shared" si="5"/>
        <v>0</v>
      </c>
      <c r="U56" s="14">
        <f t="shared" si="9"/>
        <v>0</v>
      </c>
    </row>
    <row r="57" spans="1:21" x14ac:dyDescent="0.3">
      <c r="A57" t="s">
        <v>80</v>
      </c>
      <c r="B57" t="s">
        <v>28</v>
      </c>
      <c r="C57">
        <v>2022</v>
      </c>
      <c r="D57" t="s">
        <v>26</v>
      </c>
      <c r="E57">
        <v>44354133.360000007</v>
      </c>
      <c r="F57">
        <v>0</v>
      </c>
      <c r="G57">
        <v>11350000</v>
      </c>
      <c r="H57" s="14">
        <f t="shared" si="4"/>
        <v>55704133.360000007</v>
      </c>
      <c r="I57">
        <v>29400000</v>
      </c>
      <c r="J57">
        <v>0</v>
      </c>
      <c r="K57">
        <v>8450000</v>
      </c>
      <c r="L57">
        <v>0</v>
      </c>
      <c r="M57" s="5">
        <f t="shared" si="6"/>
        <v>37850000</v>
      </c>
      <c r="N57" s="15">
        <f t="shared" si="7"/>
        <v>17854133.360000007</v>
      </c>
      <c r="O57" s="15">
        <f t="shared" si="8"/>
        <v>26500000</v>
      </c>
      <c r="P57">
        <v>26500000</v>
      </c>
      <c r="Q57">
        <v>32200000</v>
      </c>
      <c r="R57">
        <v>11500000</v>
      </c>
      <c r="T57">
        <f t="shared" si="5"/>
        <v>23400000</v>
      </c>
      <c r="U57" s="14">
        <f t="shared" si="9"/>
        <v>3510000</v>
      </c>
    </row>
    <row r="58" spans="1:21" x14ac:dyDescent="0.3">
      <c r="A58" t="s">
        <v>81</v>
      </c>
      <c r="B58" t="s">
        <v>28</v>
      </c>
      <c r="C58">
        <v>2022</v>
      </c>
      <c r="D58" t="s">
        <v>26</v>
      </c>
      <c r="E58">
        <v>74751.839999999997</v>
      </c>
      <c r="F58">
        <v>0</v>
      </c>
      <c r="G58">
        <v>0</v>
      </c>
      <c r="H58" s="14">
        <f t="shared" si="4"/>
        <v>74751.839999999997</v>
      </c>
      <c r="I58">
        <v>0</v>
      </c>
      <c r="J58">
        <v>2867.1938630136988</v>
      </c>
      <c r="K58">
        <v>0</v>
      </c>
      <c r="L58">
        <v>0</v>
      </c>
      <c r="M58" s="5">
        <f t="shared" si="6"/>
        <v>2867.1938630136988</v>
      </c>
      <c r="N58" s="15">
        <f t="shared" si="7"/>
        <v>71884.646136986295</v>
      </c>
      <c r="O58" s="15">
        <f t="shared" si="8"/>
        <v>0</v>
      </c>
      <c r="P58">
        <v>0</v>
      </c>
      <c r="Q58">
        <v>0</v>
      </c>
      <c r="R58">
        <v>0</v>
      </c>
      <c r="T58">
        <f t="shared" si="5"/>
        <v>0</v>
      </c>
      <c r="U58" s="14">
        <f t="shared" si="9"/>
        <v>0</v>
      </c>
    </row>
    <row r="59" spans="1:21" x14ac:dyDescent="0.3">
      <c r="A59" t="s">
        <v>82</v>
      </c>
      <c r="B59" t="s">
        <v>28</v>
      </c>
      <c r="C59">
        <v>2022</v>
      </c>
      <c r="D59" t="s">
        <v>26</v>
      </c>
      <c r="E59">
        <v>3700772.88</v>
      </c>
      <c r="F59">
        <v>0</v>
      </c>
      <c r="G59">
        <v>1000000</v>
      </c>
      <c r="H59" s="14">
        <f t="shared" si="4"/>
        <v>4700772.88</v>
      </c>
      <c r="I59">
        <v>2500000</v>
      </c>
      <c r="J59">
        <v>0</v>
      </c>
      <c r="K59">
        <v>0</v>
      </c>
      <c r="L59">
        <v>0</v>
      </c>
      <c r="M59" s="5">
        <f t="shared" si="6"/>
        <v>2500000</v>
      </c>
      <c r="N59" s="15">
        <f t="shared" si="7"/>
        <v>2200772.88</v>
      </c>
      <c r="O59" s="15">
        <f t="shared" si="8"/>
        <v>1500000</v>
      </c>
      <c r="P59">
        <v>1500000</v>
      </c>
      <c r="Q59">
        <v>2360000</v>
      </c>
      <c r="R59">
        <v>180000</v>
      </c>
      <c r="T59">
        <f t="shared" si="5"/>
        <v>1346666.6666666667</v>
      </c>
      <c r="U59" s="14">
        <f t="shared" si="9"/>
        <v>202000</v>
      </c>
    </row>
    <row r="60" spans="1:21" x14ac:dyDescent="0.3">
      <c r="A60" t="s">
        <v>83</v>
      </c>
      <c r="B60" t="s">
        <v>28</v>
      </c>
      <c r="C60">
        <v>2022</v>
      </c>
      <c r="D60" t="s">
        <v>26</v>
      </c>
      <c r="E60">
        <v>8613076.6799999997</v>
      </c>
      <c r="F60">
        <v>2377226.6432876708</v>
      </c>
      <c r="G60">
        <v>0</v>
      </c>
      <c r="H60" s="14">
        <f t="shared" si="4"/>
        <v>10990303.32328767</v>
      </c>
      <c r="I60">
        <v>6000000</v>
      </c>
      <c r="J60">
        <v>2454136.9170410959</v>
      </c>
      <c r="K60">
        <v>4000000</v>
      </c>
      <c r="L60">
        <v>0</v>
      </c>
      <c r="M60" s="5">
        <f t="shared" si="6"/>
        <v>12454136.917041097</v>
      </c>
      <c r="N60" s="15">
        <f t="shared" si="7"/>
        <v>-1463833.5937534273</v>
      </c>
      <c r="O60" s="15">
        <f t="shared" si="8"/>
        <v>10000000</v>
      </c>
      <c r="P60">
        <v>10000000</v>
      </c>
      <c r="Q60">
        <v>0</v>
      </c>
      <c r="R60">
        <v>0</v>
      </c>
      <c r="T60">
        <f t="shared" si="5"/>
        <v>3333333.3333333335</v>
      </c>
      <c r="U60" s="14">
        <f t="shared" si="9"/>
        <v>0</v>
      </c>
    </row>
    <row r="61" spans="1:21" x14ac:dyDescent="0.3">
      <c r="A61" t="s">
        <v>84</v>
      </c>
      <c r="B61" t="s">
        <v>28</v>
      </c>
      <c r="C61">
        <v>2022</v>
      </c>
      <c r="D61" t="s">
        <v>26</v>
      </c>
      <c r="E61">
        <v>80816.78</v>
      </c>
      <c r="F61">
        <v>35200.904876712331</v>
      </c>
      <c r="G61">
        <v>0</v>
      </c>
      <c r="H61" s="14">
        <f t="shared" si="4"/>
        <v>116017.68487671233</v>
      </c>
      <c r="I61">
        <v>0</v>
      </c>
      <c r="J61">
        <v>33928.583013698633</v>
      </c>
      <c r="K61">
        <v>0</v>
      </c>
      <c r="L61">
        <v>0</v>
      </c>
      <c r="M61" s="5">
        <f t="shared" si="6"/>
        <v>33928.583013698633</v>
      </c>
      <c r="N61" s="15">
        <f t="shared" si="7"/>
        <v>82089.101863013697</v>
      </c>
      <c r="O61" s="15">
        <f t="shared" si="8"/>
        <v>0</v>
      </c>
      <c r="P61">
        <v>0</v>
      </c>
      <c r="Q61">
        <v>0</v>
      </c>
      <c r="R61">
        <v>0</v>
      </c>
      <c r="T61">
        <f t="shared" si="5"/>
        <v>0</v>
      </c>
      <c r="U61" s="14">
        <f t="shared" si="9"/>
        <v>0</v>
      </c>
    </row>
    <row r="62" spans="1:21" x14ac:dyDescent="0.3">
      <c r="A62" t="s">
        <v>85</v>
      </c>
      <c r="B62" t="s">
        <v>28</v>
      </c>
      <c r="C62">
        <v>2022</v>
      </c>
      <c r="D62" t="s">
        <v>26</v>
      </c>
      <c r="E62">
        <v>345054.6</v>
      </c>
      <c r="F62">
        <v>0</v>
      </c>
      <c r="G62">
        <v>0</v>
      </c>
      <c r="H62" s="14">
        <f t="shared" si="4"/>
        <v>345054.6</v>
      </c>
      <c r="I62">
        <v>0</v>
      </c>
      <c r="J62">
        <v>29306.007123287669</v>
      </c>
      <c r="K62">
        <v>0</v>
      </c>
      <c r="L62">
        <v>0</v>
      </c>
      <c r="M62" s="5">
        <f t="shared" si="6"/>
        <v>29306.007123287669</v>
      </c>
      <c r="N62" s="15">
        <f t="shared" si="7"/>
        <v>315748.59287671233</v>
      </c>
      <c r="O62" s="15">
        <f t="shared" si="8"/>
        <v>0</v>
      </c>
      <c r="P62">
        <v>0</v>
      </c>
      <c r="Q62">
        <v>0</v>
      </c>
      <c r="R62">
        <v>0</v>
      </c>
      <c r="T62">
        <f t="shared" si="5"/>
        <v>0</v>
      </c>
      <c r="U62" s="14">
        <f t="shared" si="9"/>
        <v>0</v>
      </c>
    </row>
    <row r="63" spans="1:21" x14ac:dyDescent="0.3">
      <c r="A63" t="s">
        <v>86</v>
      </c>
      <c r="B63" t="s">
        <v>28</v>
      </c>
      <c r="C63">
        <v>2022</v>
      </c>
      <c r="D63" t="s">
        <v>26</v>
      </c>
      <c r="E63">
        <v>208716.48</v>
      </c>
      <c r="F63">
        <v>0</v>
      </c>
      <c r="G63">
        <v>0</v>
      </c>
      <c r="H63" s="14">
        <f t="shared" si="4"/>
        <v>208716.48</v>
      </c>
      <c r="I63">
        <v>0</v>
      </c>
      <c r="J63">
        <v>0</v>
      </c>
      <c r="K63">
        <v>0</v>
      </c>
      <c r="L63">
        <v>0</v>
      </c>
      <c r="M63" s="5">
        <f t="shared" si="6"/>
        <v>0</v>
      </c>
      <c r="N63" s="15">
        <f t="shared" si="7"/>
        <v>208716.48</v>
      </c>
      <c r="O63" s="15">
        <f t="shared" si="8"/>
        <v>0</v>
      </c>
      <c r="P63">
        <v>0</v>
      </c>
      <c r="Q63">
        <v>0</v>
      </c>
      <c r="R63">
        <v>0</v>
      </c>
      <c r="T63">
        <f t="shared" si="5"/>
        <v>0</v>
      </c>
      <c r="U63" s="14">
        <f t="shared" si="9"/>
        <v>0</v>
      </c>
    </row>
    <row r="64" spans="1:21" x14ac:dyDescent="0.3">
      <c r="A64" t="s">
        <v>87</v>
      </c>
      <c r="B64" t="s">
        <v>28</v>
      </c>
      <c r="C64">
        <v>2022</v>
      </c>
      <c r="D64" t="s">
        <v>26</v>
      </c>
      <c r="E64">
        <v>147910.09469369068</v>
      </c>
      <c r="F64">
        <v>33192.691713621825</v>
      </c>
      <c r="G64">
        <v>0</v>
      </c>
      <c r="H64" s="14">
        <f t="shared" si="4"/>
        <v>181102.78640731249</v>
      </c>
      <c r="I64">
        <v>0</v>
      </c>
      <c r="J64">
        <v>36470.982253238799</v>
      </c>
      <c r="K64">
        <v>0</v>
      </c>
      <c r="L64">
        <v>0</v>
      </c>
      <c r="M64" s="5">
        <f t="shared" si="6"/>
        <v>36470.982253238799</v>
      </c>
      <c r="N64" s="15">
        <f t="shared" si="7"/>
        <v>144631.8041540737</v>
      </c>
      <c r="O64" s="15">
        <f t="shared" si="8"/>
        <v>0</v>
      </c>
      <c r="P64">
        <v>0</v>
      </c>
      <c r="Q64">
        <v>0</v>
      </c>
      <c r="R64">
        <v>0</v>
      </c>
      <c r="T64">
        <f t="shared" si="5"/>
        <v>0</v>
      </c>
      <c r="U64" s="14">
        <f t="shared" si="9"/>
        <v>0</v>
      </c>
    </row>
    <row r="65" spans="1:21" x14ac:dyDescent="0.3">
      <c r="A65" t="s">
        <v>88</v>
      </c>
      <c r="B65" t="s">
        <v>28</v>
      </c>
      <c r="C65">
        <v>2022</v>
      </c>
      <c r="D65" t="s">
        <v>26</v>
      </c>
      <c r="E65">
        <v>621238.32000000007</v>
      </c>
      <c r="F65">
        <v>0</v>
      </c>
      <c r="G65">
        <v>0</v>
      </c>
      <c r="H65" s="14">
        <f t="shared" si="4"/>
        <v>621238.32000000007</v>
      </c>
      <c r="I65">
        <v>0</v>
      </c>
      <c r="J65">
        <v>0</v>
      </c>
      <c r="K65">
        <v>0</v>
      </c>
      <c r="L65">
        <v>0</v>
      </c>
      <c r="M65" s="5">
        <f t="shared" si="6"/>
        <v>0</v>
      </c>
      <c r="N65" s="15">
        <f t="shared" si="7"/>
        <v>621238.32000000007</v>
      </c>
      <c r="O65" s="15">
        <f t="shared" si="8"/>
        <v>0</v>
      </c>
      <c r="P65">
        <v>0</v>
      </c>
      <c r="Q65">
        <v>0</v>
      </c>
      <c r="R65">
        <v>0</v>
      </c>
      <c r="T65">
        <f t="shared" si="5"/>
        <v>0</v>
      </c>
      <c r="U65" s="14">
        <f t="shared" si="9"/>
        <v>0</v>
      </c>
    </row>
    <row r="66" spans="1:21" x14ac:dyDescent="0.3">
      <c r="A66" t="s">
        <v>89</v>
      </c>
      <c r="B66" t="s">
        <v>28</v>
      </c>
      <c r="C66">
        <v>2022</v>
      </c>
      <c r="D66" t="s">
        <v>26</v>
      </c>
      <c r="E66">
        <v>61868.399999999994</v>
      </c>
      <c r="F66">
        <v>29252.972054794522</v>
      </c>
      <c r="G66">
        <v>0</v>
      </c>
      <c r="H66" s="14">
        <f t="shared" si="4"/>
        <v>91121.372054794512</v>
      </c>
      <c r="I66">
        <v>0</v>
      </c>
      <c r="J66">
        <v>30679.946301369862</v>
      </c>
      <c r="K66">
        <v>0</v>
      </c>
      <c r="L66">
        <v>0</v>
      </c>
      <c r="M66" s="5">
        <f t="shared" si="6"/>
        <v>30679.946301369862</v>
      </c>
      <c r="N66" s="15">
        <f t="shared" si="7"/>
        <v>60441.42575342465</v>
      </c>
      <c r="O66" s="15">
        <f t="shared" si="8"/>
        <v>0</v>
      </c>
      <c r="P66">
        <v>0</v>
      </c>
      <c r="Q66">
        <v>0</v>
      </c>
      <c r="R66">
        <v>0</v>
      </c>
      <c r="T66">
        <f t="shared" si="5"/>
        <v>0</v>
      </c>
      <c r="U66" s="14">
        <f t="shared" si="9"/>
        <v>0</v>
      </c>
    </row>
    <row r="67" spans="1:21" x14ac:dyDescent="0.3">
      <c r="A67" t="s">
        <v>90</v>
      </c>
      <c r="B67" t="s">
        <v>28</v>
      </c>
      <c r="C67">
        <v>2022</v>
      </c>
      <c r="D67" t="s">
        <v>26</v>
      </c>
      <c r="E67">
        <v>2899410</v>
      </c>
      <c r="F67">
        <v>0</v>
      </c>
      <c r="G67">
        <v>0</v>
      </c>
      <c r="H67" s="14">
        <f t="shared" si="4"/>
        <v>2899410</v>
      </c>
      <c r="I67">
        <v>0</v>
      </c>
      <c r="J67">
        <v>714923.01369863015</v>
      </c>
      <c r="K67">
        <v>0</v>
      </c>
      <c r="L67">
        <v>0</v>
      </c>
      <c r="M67" s="5">
        <f t="shared" si="6"/>
        <v>714923.01369863015</v>
      </c>
      <c r="N67" s="15">
        <f t="shared" si="7"/>
        <v>2184486.98630137</v>
      </c>
      <c r="O67" s="15">
        <f t="shared" si="8"/>
        <v>0</v>
      </c>
      <c r="P67">
        <v>0</v>
      </c>
      <c r="Q67">
        <v>0</v>
      </c>
      <c r="R67">
        <v>0</v>
      </c>
      <c r="T67">
        <f t="shared" si="5"/>
        <v>0</v>
      </c>
      <c r="U67" s="14">
        <f t="shared" si="9"/>
        <v>0</v>
      </c>
    </row>
    <row r="68" spans="1:21" x14ac:dyDescent="0.3">
      <c r="A68" t="s">
        <v>91</v>
      </c>
      <c r="B68" t="s">
        <v>28</v>
      </c>
      <c r="C68">
        <v>2022</v>
      </c>
      <c r="D68" t="s">
        <v>26</v>
      </c>
      <c r="E68">
        <v>5375366.703464143</v>
      </c>
      <c r="F68">
        <v>0</v>
      </c>
      <c r="G68">
        <v>0</v>
      </c>
      <c r="H68" s="14">
        <f t="shared" si="4"/>
        <v>5375366.703464143</v>
      </c>
      <c r="I68">
        <v>0</v>
      </c>
      <c r="J68">
        <v>0</v>
      </c>
      <c r="K68">
        <v>500000</v>
      </c>
      <c r="L68">
        <v>17546260.858922802</v>
      </c>
      <c r="M68" s="5">
        <f t="shared" ref="M68:M99" si="10">SUM(I68:L68)</f>
        <v>18046260.858922802</v>
      </c>
      <c r="N68" s="15">
        <f t="shared" ref="N68:N99" si="11">H68-M68</f>
        <v>-12670894.155458659</v>
      </c>
      <c r="O68" s="15">
        <f t="shared" ref="O68:O99" si="12">K68+I68-G68</f>
        <v>500000</v>
      </c>
      <c r="P68">
        <v>500000</v>
      </c>
      <c r="Q68">
        <v>22926123.770000003</v>
      </c>
      <c r="R68">
        <v>0</v>
      </c>
      <c r="T68">
        <f t="shared" si="5"/>
        <v>7808707.9233333347</v>
      </c>
      <c r="U68" s="14">
        <f t="shared" ref="U68:U99" si="13">IF(N68&lt;0,0,MIN(72%*N68,15%*T68))</f>
        <v>0</v>
      </c>
    </row>
    <row r="69" spans="1:21" x14ac:dyDescent="0.3">
      <c r="A69" t="s">
        <v>92</v>
      </c>
      <c r="B69" t="s">
        <v>28</v>
      </c>
      <c r="C69">
        <v>2022</v>
      </c>
      <c r="D69" t="s">
        <v>26</v>
      </c>
      <c r="E69">
        <v>55704.479999999996</v>
      </c>
      <c r="F69">
        <v>12942.927123287669</v>
      </c>
      <c r="G69">
        <v>0</v>
      </c>
      <c r="H69" s="14">
        <f t="shared" ref="H69:H128" si="14">SUM(E69:G69)</f>
        <v>68647.407123287659</v>
      </c>
      <c r="I69">
        <v>0</v>
      </c>
      <c r="J69">
        <v>13735.35123287671</v>
      </c>
      <c r="K69">
        <v>0</v>
      </c>
      <c r="L69">
        <v>0</v>
      </c>
      <c r="M69" s="5">
        <f t="shared" si="10"/>
        <v>13735.35123287671</v>
      </c>
      <c r="N69" s="15">
        <f t="shared" si="11"/>
        <v>54912.055890410949</v>
      </c>
      <c r="O69" s="15">
        <f t="shared" si="12"/>
        <v>0</v>
      </c>
      <c r="P69">
        <v>0</v>
      </c>
      <c r="Q69">
        <v>0</v>
      </c>
      <c r="R69">
        <v>0</v>
      </c>
      <c r="T69">
        <f t="shared" si="5"/>
        <v>0</v>
      </c>
      <c r="U69" s="14">
        <f t="shared" si="13"/>
        <v>0</v>
      </c>
    </row>
    <row r="70" spans="1:21" x14ac:dyDescent="0.3">
      <c r="A70" t="s">
        <v>93</v>
      </c>
      <c r="B70" t="s">
        <v>28</v>
      </c>
      <c r="C70">
        <v>2022</v>
      </c>
      <c r="D70" t="s">
        <v>26</v>
      </c>
      <c r="E70">
        <v>4038613.56</v>
      </c>
      <c r="F70">
        <v>0</v>
      </c>
      <c r="G70">
        <v>0</v>
      </c>
      <c r="H70" s="14">
        <f t="shared" si="14"/>
        <v>4038613.56</v>
      </c>
      <c r="I70">
        <v>0</v>
      </c>
      <c r="J70">
        <v>2002709.7379726029</v>
      </c>
      <c r="K70">
        <v>0</v>
      </c>
      <c r="L70">
        <v>0</v>
      </c>
      <c r="M70" s="5">
        <f t="shared" si="10"/>
        <v>2002709.7379726029</v>
      </c>
      <c r="N70" s="15">
        <f t="shared" si="11"/>
        <v>2035903.8220273971</v>
      </c>
      <c r="O70" s="15">
        <f t="shared" si="12"/>
        <v>0</v>
      </c>
      <c r="P70">
        <v>0</v>
      </c>
      <c r="Q70">
        <v>0</v>
      </c>
      <c r="R70">
        <v>0</v>
      </c>
      <c r="T70">
        <f t="shared" ref="T70:T128" si="15">AVERAGE(P70:R70)</f>
        <v>0</v>
      </c>
      <c r="U70" s="14">
        <f t="shared" si="13"/>
        <v>0</v>
      </c>
    </row>
    <row r="71" spans="1:21" x14ac:dyDescent="0.3">
      <c r="A71" t="s">
        <v>94</v>
      </c>
      <c r="B71" t="s">
        <v>28</v>
      </c>
      <c r="C71">
        <v>2022</v>
      </c>
      <c r="D71" t="s">
        <v>26</v>
      </c>
      <c r="E71">
        <v>3839077.9200000004</v>
      </c>
      <c r="F71">
        <v>0</v>
      </c>
      <c r="G71">
        <v>1000000</v>
      </c>
      <c r="H71" s="14">
        <f t="shared" si="14"/>
        <v>4839077.92</v>
      </c>
      <c r="I71">
        <v>1000000</v>
      </c>
      <c r="J71">
        <v>0</v>
      </c>
      <c r="K71">
        <v>0</v>
      </c>
      <c r="L71">
        <v>0</v>
      </c>
      <c r="M71" s="5">
        <f t="shared" si="10"/>
        <v>1000000</v>
      </c>
      <c r="N71" s="15">
        <f t="shared" si="11"/>
        <v>3839077.92</v>
      </c>
      <c r="O71" s="15">
        <f t="shared" si="12"/>
        <v>0</v>
      </c>
      <c r="P71">
        <v>0</v>
      </c>
      <c r="Q71">
        <v>2000000</v>
      </c>
      <c r="R71">
        <v>1000000</v>
      </c>
      <c r="T71">
        <f t="shared" si="15"/>
        <v>1000000</v>
      </c>
      <c r="U71" s="14">
        <f t="shared" si="13"/>
        <v>150000</v>
      </c>
    </row>
    <row r="72" spans="1:21" x14ac:dyDescent="0.3">
      <c r="A72" t="s">
        <v>95</v>
      </c>
      <c r="B72" t="s">
        <v>28</v>
      </c>
      <c r="C72">
        <v>2022</v>
      </c>
      <c r="D72" t="s">
        <v>26</v>
      </c>
      <c r="E72">
        <v>69748.56</v>
      </c>
      <c r="F72">
        <v>0</v>
      </c>
      <c r="G72">
        <v>0</v>
      </c>
      <c r="H72" s="14">
        <f t="shared" si="14"/>
        <v>69748.56</v>
      </c>
      <c r="I72">
        <v>0</v>
      </c>
      <c r="J72">
        <v>28854.883726027398</v>
      </c>
      <c r="K72">
        <v>0</v>
      </c>
      <c r="L72">
        <v>0</v>
      </c>
      <c r="M72" s="5">
        <f t="shared" si="10"/>
        <v>28854.883726027398</v>
      </c>
      <c r="N72" s="15">
        <f t="shared" si="11"/>
        <v>40893.676273972596</v>
      </c>
      <c r="O72" s="15">
        <f t="shared" si="12"/>
        <v>0</v>
      </c>
      <c r="P72">
        <v>0</v>
      </c>
      <c r="Q72">
        <v>0</v>
      </c>
      <c r="R72">
        <v>0</v>
      </c>
      <c r="T72">
        <f t="shared" si="15"/>
        <v>0</v>
      </c>
      <c r="U72" s="14">
        <f t="shared" si="13"/>
        <v>0</v>
      </c>
    </row>
    <row r="73" spans="1:21" x14ac:dyDescent="0.3">
      <c r="A73" t="s">
        <v>96</v>
      </c>
      <c r="B73" t="s">
        <v>28</v>
      </c>
      <c r="C73">
        <v>2022</v>
      </c>
      <c r="D73" t="s">
        <v>26</v>
      </c>
      <c r="E73">
        <v>4766751</v>
      </c>
      <c r="F73">
        <v>0</v>
      </c>
      <c r="G73">
        <v>0</v>
      </c>
      <c r="H73" s="14">
        <f t="shared" si="14"/>
        <v>4766751</v>
      </c>
      <c r="I73">
        <v>0</v>
      </c>
      <c r="J73">
        <v>2768633.4575342461</v>
      </c>
      <c r="K73">
        <v>660000</v>
      </c>
      <c r="L73">
        <v>0</v>
      </c>
      <c r="M73" s="5">
        <f t="shared" si="10"/>
        <v>3428633.4575342461</v>
      </c>
      <c r="N73" s="15">
        <f t="shared" si="11"/>
        <v>1338117.5424657539</v>
      </c>
      <c r="O73" s="15">
        <f t="shared" si="12"/>
        <v>660000</v>
      </c>
      <c r="P73">
        <v>660000</v>
      </c>
      <c r="Q73">
        <v>0</v>
      </c>
      <c r="R73">
        <v>0</v>
      </c>
      <c r="T73">
        <f t="shared" si="15"/>
        <v>220000</v>
      </c>
      <c r="U73" s="14">
        <f t="shared" si="13"/>
        <v>33000</v>
      </c>
    </row>
    <row r="74" spans="1:21" x14ac:dyDescent="0.3">
      <c r="A74" t="s">
        <v>97</v>
      </c>
      <c r="B74" t="s">
        <v>28</v>
      </c>
      <c r="C74">
        <v>2022</v>
      </c>
      <c r="D74" t="s">
        <v>26</v>
      </c>
      <c r="E74">
        <v>81257.714115098323</v>
      </c>
      <c r="F74">
        <v>27410.136398867522</v>
      </c>
      <c r="G74">
        <v>0</v>
      </c>
      <c r="H74" s="14">
        <f t="shared" si="14"/>
        <v>108667.85051396585</v>
      </c>
      <c r="I74">
        <v>0</v>
      </c>
      <c r="J74">
        <v>33616.205017479035</v>
      </c>
      <c r="K74">
        <v>0</v>
      </c>
      <c r="L74">
        <v>0</v>
      </c>
      <c r="M74" s="5">
        <f t="shared" si="10"/>
        <v>33616.205017479035</v>
      </c>
      <c r="N74" s="15">
        <f t="shared" si="11"/>
        <v>75051.645496486817</v>
      </c>
      <c r="O74" s="15">
        <f t="shared" si="12"/>
        <v>0</v>
      </c>
      <c r="P74">
        <v>0</v>
      </c>
      <c r="Q74">
        <v>0</v>
      </c>
      <c r="R74">
        <v>0</v>
      </c>
      <c r="T74">
        <f t="shared" si="15"/>
        <v>0</v>
      </c>
      <c r="U74" s="14">
        <f t="shared" si="13"/>
        <v>0</v>
      </c>
    </row>
    <row r="75" spans="1:21" x14ac:dyDescent="0.3">
      <c r="A75" t="s">
        <v>98</v>
      </c>
      <c r="B75" t="s">
        <v>28</v>
      </c>
      <c r="C75">
        <v>2022</v>
      </c>
      <c r="D75" t="s">
        <v>26</v>
      </c>
      <c r="E75">
        <v>7500643.0295039155</v>
      </c>
      <c r="F75">
        <v>0</v>
      </c>
      <c r="G75">
        <v>0</v>
      </c>
      <c r="H75" s="14">
        <f t="shared" si="14"/>
        <v>7500643.0295039155</v>
      </c>
      <c r="I75">
        <v>0</v>
      </c>
      <c r="J75">
        <v>0</v>
      </c>
      <c r="K75">
        <v>0</v>
      </c>
      <c r="L75">
        <v>0</v>
      </c>
      <c r="M75" s="5">
        <f t="shared" si="10"/>
        <v>0</v>
      </c>
      <c r="N75" s="15">
        <f t="shared" si="11"/>
        <v>7500643.0295039155</v>
      </c>
      <c r="O75" s="15">
        <f t="shared" si="12"/>
        <v>0</v>
      </c>
      <c r="P75">
        <v>0</v>
      </c>
      <c r="Q75">
        <v>0</v>
      </c>
      <c r="R75">
        <v>0</v>
      </c>
      <c r="T75">
        <f t="shared" si="15"/>
        <v>0</v>
      </c>
      <c r="U75" s="14">
        <f t="shared" si="13"/>
        <v>0</v>
      </c>
    </row>
    <row r="76" spans="1:21" x14ac:dyDescent="0.3">
      <c r="A76" t="s">
        <v>99</v>
      </c>
      <c r="B76" t="s">
        <v>28</v>
      </c>
      <c r="C76">
        <v>2022</v>
      </c>
      <c r="D76" t="s">
        <v>26</v>
      </c>
      <c r="E76">
        <v>103238.96754879801</v>
      </c>
      <c r="F76">
        <v>26892.96401398323</v>
      </c>
      <c r="G76">
        <v>0</v>
      </c>
      <c r="H76" s="14">
        <f t="shared" si="14"/>
        <v>130131.93156278125</v>
      </c>
      <c r="I76">
        <v>0</v>
      </c>
      <c r="J76">
        <v>36202.066941900499</v>
      </c>
      <c r="K76">
        <v>0</v>
      </c>
      <c r="L76">
        <v>0</v>
      </c>
      <c r="M76" s="5">
        <f t="shared" si="10"/>
        <v>36202.066941900499</v>
      </c>
      <c r="N76" s="15">
        <f t="shared" si="11"/>
        <v>93929.864620880748</v>
      </c>
      <c r="O76" s="15">
        <f t="shared" si="12"/>
        <v>0</v>
      </c>
      <c r="P76">
        <v>0</v>
      </c>
      <c r="Q76">
        <v>0</v>
      </c>
      <c r="R76">
        <v>0</v>
      </c>
      <c r="T76">
        <f t="shared" si="15"/>
        <v>0</v>
      </c>
      <c r="U76" s="14">
        <f t="shared" si="13"/>
        <v>0</v>
      </c>
    </row>
    <row r="77" spans="1:21" x14ac:dyDescent="0.3">
      <c r="A77" t="s">
        <v>100</v>
      </c>
      <c r="B77" t="s">
        <v>28</v>
      </c>
      <c r="C77">
        <v>2022</v>
      </c>
      <c r="D77" t="s">
        <v>26</v>
      </c>
      <c r="E77">
        <v>180019778.40000001</v>
      </c>
      <c r="F77">
        <v>44569528.767123282</v>
      </c>
      <c r="G77">
        <v>38000000</v>
      </c>
      <c r="H77" s="14">
        <f t="shared" si="14"/>
        <v>262589307.16712329</v>
      </c>
      <c r="I77">
        <v>78000000</v>
      </c>
      <c r="J77">
        <v>112304869.875</v>
      </c>
      <c r="K77">
        <v>22000000</v>
      </c>
      <c r="L77">
        <v>0</v>
      </c>
      <c r="M77" s="5">
        <f t="shared" si="10"/>
        <v>212304869.875</v>
      </c>
      <c r="N77" s="15">
        <f t="shared" si="11"/>
        <v>50284437.292123288</v>
      </c>
      <c r="O77" s="15">
        <f t="shared" si="12"/>
        <v>62000000</v>
      </c>
      <c r="P77">
        <v>62000000</v>
      </c>
      <c r="Q77">
        <v>68750000</v>
      </c>
      <c r="R77">
        <v>28000000</v>
      </c>
      <c r="T77">
        <f t="shared" si="15"/>
        <v>52916666.666666664</v>
      </c>
      <c r="U77" s="14">
        <f t="shared" si="13"/>
        <v>7937499.9999999991</v>
      </c>
    </row>
    <row r="78" spans="1:21" x14ac:dyDescent="0.3">
      <c r="A78" t="s">
        <v>101</v>
      </c>
      <c r="B78" t="s">
        <v>28</v>
      </c>
      <c r="C78">
        <v>2022</v>
      </c>
      <c r="D78" t="s">
        <v>26</v>
      </c>
      <c r="E78">
        <v>247962.5</v>
      </c>
      <c r="F78">
        <v>0</v>
      </c>
      <c r="G78">
        <v>0</v>
      </c>
      <c r="H78" s="14">
        <f t="shared" si="14"/>
        <v>247962.5</v>
      </c>
      <c r="I78">
        <v>0</v>
      </c>
      <c r="J78">
        <v>0</v>
      </c>
      <c r="K78">
        <v>0</v>
      </c>
      <c r="L78">
        <v>0</v>
      </c>
      <c r="M78" s="5">
        <f t="shared" si="10"/>
        <v>0</v>
      </c>
      <c r="N78" s="15">
        <f t="shared" si="11"/>
        <v>247962.5</v>
      </c>
      <c r="O78" s="15">
        <f t="shared" si="12"/>
        <v>0</v>
      </c>
      <c r="P78">
        <v>0</v>
      </c>
      <c r="Q78">
        <v>0</v>
      </c>
      <c r="R78">
        <v>0</v>
      </c>
      <c r="T78">
        <f t="shared" si="15"/>
        <v>0</v>
      </c>
      <c r="U78" s="14">
        <f t="shared" si="13"/>
        <v>0</v>
      </c>
    </row>
    <row r="79" spans="1:21" x14ac:dyDescent="0.3">
      <c r="A79" t="s">
        <v>102</v>
      </c>
      <c r="B79" t="s">
        <v>28</v>
      </c>
      <c r="C79">
        <v>2022</v>
      </c>
      <c r="D79" t="s">
        <v>26</v>
      </c>
      <c r="E79">
        <v>58588.799999999996</v>
      </c>
      <c r="F79">
        <v>43594.599452054797</v>
      </c>
      <c r="G79">
        <v>0</v>
      </c>
      <c r="H79" s="14">
        <f t="shared" si="14"/>
        <v>102183.39945205479</v>
      </c>
      <c r="I79">
        <v>0</v>
      </c>
      <c r="J79">
        <v>39005.694246575345</v>
      </c>
      <c r="K79">
        <v>0</v>
      </c>
      <c r="L79">
        <v>0</v>
      </c>
      <c r="M79" s="5">
        <f t="shared" si="10"/>
        <v>39005.694246575345</v>
      </c>
      <c r="N79" s="15">
        <f t="shared" si="11"/>
        <v>63177.70520547944</v>
      </c>
      <c r="O79" s="15">
        <f t="shared" si="12"/>
        <v>0</v>
      </c>
      <c r="P79">
        <v>0</v>
      </c>
      <c r="Q79">
        <v>0</v>
      </c>
      <c r="R79">
        <v>0</v>
      </c>
      <c r="T79">
        <f t="shared" si="15"/>
        <v>0</v>
      </c>
      <c r="U79" s="14">
        <f t="shared" si="13"/>
        <v>0</v>
      </c>
    </row>
    <row r="80" spans="1:21" x14ac:dyDescent="0.3">
      <c r="A80" t="s">
        <v>103</v>
      </c>
      <c r="B80" t="s">
        <v>28</v>
      </c>
      <c r="C80">
        <v>2022</v>
      </c>
      <c r="D80" t="s">
        <v>26</v>
      </c>
      <c r="E80">
        <v>84071.520000000019</v>
      </c>
      <c r="F80">
        <v>60116.895123287679</v>
      </c>
      <c r="G80">
        <v>0</v>
      </c>
      <c r="H80" s="14">
        <f t="shared" si="14"/>
        <v>144188.4151232877</v>
      </c>
      <c r="I80">
        <v>0</v>
      </c>
      <c r="J80">
        <v>55970.902356164399</v>
      </c>
      <c r="K80">
        <v>0</v>
      </c>
      <c r="L80">
        <v>0</v>
      </c>
      <c r="M80" s="5">
        <f t="shared" si="10"/>
        <v>55970.902356164399</v>
      </c>
      <c r="N80" s="15">
        <f t="shared" si="11"/>
        <v>88217.512767123306</v>
      </c>
      <c r="O80" s="15">
        <f t="shared" si="12"/>
        <v>0</v>
      </c>
      <c r="P80">
        <v>0</v>
      </c>
      <c r="Q80">
        <v>0</v>
      </c>
      <c r="R80">
        <v>0</v>
      </c>
      <c r="T80">
        <f t="shared" si="15"/>
        <v>0</v>
      </c>
      <c r="U80" s="14">
        <f t="shared" si="13"/>
        <v>0</v>
      </c>
    </row>
    <row r="81" spans="1:21" x14ac:dyDescent="0.3">
      <c r="A81" t="s">
        <v>104</v>
      </c>
      <c r="B81" t="s">
        <v>28</v>
      </c>
      <c r="C81">
        <v>2022</v>
      </c>
      <c r="D81" t="s">
        <v>26</v>
      </c>
      <c r="E81">
        <v>6698.4000000000005</v>
      </c>
      <c r="F81">
        <v>0</v>
      </c>
      <c r="G81">
        <v>0</v>
      </c>
      <c r="H81" s="14">
        <f t="shared" si="14"/>
        <v>6698.4000000000005</v>
      </c>
      <c r="I81">
        <v>0</v>
      </c>
      <c r="J81">
        <v>0</v>
      </c>
      <c r="K81">
        <v>0</v>
      </c>
      <c r="L81">
        <v>0</v>
      </c>
      <c r="M81" s="5">
        <f t="shared" si="10"/>
        <v>0</v>
      </c>
      <c r="N81" s="15">
        <f t="shared" si="11"/>
        <v>6698.4000000000005</v>
      </c>
      <c r="O81" s="15">
        <f t="shared" si="12"/>
        <v>0</v>
      </c>
      <c r="P81">
        <v>0</v>
      </c>
      <c r="Q81">
        <v>0</v>
      </c>
      <c r="R81">
        <v>0</v>
      </c>
      <c r="T81">
        <f t="shared" si="15"/>
        <v>0</v>
      </c>
      <c r="U81" s="14">
        <f t="shared" si="13"/>
        <v>0</v>
      </c>
    </row>
    <row r="82" spans="1:21" x14ac:dyDescent="0.3">
      <c r="A82" t="s">
        <v>105</v>
      </c>
      <c r="B82" t="s">
        <v>28</v>
      </c>
      <c r="C82">
        <v>2022</v>
      </c>
      <c r="D82" t="s">
        <v>26</v>
      </c>
      <c r="E82">
        <v>427454.39999999997</v>
      </c>
      <c r="F82">
        <v>0</v>
      </c>
      <c r="G82">
        <v>0</v>
      </c>
      <c r="H82" s="14">
        <f t="shared" si="14"/>
        <v>427454.39999999997</v>
      </c>
      <c r="I82">
        <v>0</v>
      </c>
      <c r="J82">
        <v>0</v>
      </c>
      <c r="K82">
        <v>0</v>
      </c>
      <c r="L82">
        <v>0</v>
      </c>
      <c r="M82" s="5">
        <f t="shared" si="10"/>
        <v>0</v>
      </c>
      <c r="N82" s="15">
        <f t="shared" si="11"/>
        <v>427454.39999999997</v>
      </c>
      <c r="O82" s="15">
        <f t="shared" si="12"/>
        <v>0</v>
      </c>
      <c r="P82">
        <v>0</v>
      </c>
      <c r="Q82">
        <v>0</v>
      </c>
      <c r="R82">
        <v>0</v>
      </c>
      <c r="T82">
        <f t="shared" si="15"/>
        <v>0</v>
      </c>
      <c r="U82" s="14">
        <f t="shared" si="13"/>
        <v>0</v>
      </c>
    </row>
    <row r="83" spans="1:21" x14ac:dyDescent="0.3">
      <c r="A83" t="s">
        <v>106</v>
      </c>
      <c r="B83" t="s">
        <v>28</v>
      </c>
      <c r="C83">
        <v>2022</v>
      </c>
      <c r="D83" t="s">
        <v>26</v>
      </c>
      <c r="E83">
        <v>29174.290391226103</v>
      </c>
      <c r="F83">
        <v>10333.750608242513</v>
      </c>
      <c r="G83">
        <v>0</v>
      </c>
      <c r="H83" s="14">
        <f t="shared" si="14"/>
        <v>39508.04099946862</v>
      </c>
      <c r="I83">
        <v>0</v>
      </c>
      <c r="J83">
        <v>14467.25085153952</v>
      </c>
      <c r="K83">
        <v>0</v>
      </c>
      <c r="L83">
        <v>0</v>
      </c>
      <c r="M83" s="5">
        <f t="shared" si="10"/>
        <v>14467.25085153952</v>
      </c>
      <c r="N83" s="15">
        <f t="shared" si="11"/>
        <v>25040.790147929099</v>
      </c>
      <c r="O83" s="15">
        <f t="shared" si="12"/>
        <v>0</v>
      </c>
      <c r="P83">
        <v>0</v>
      </c>
      <c r="Q83">
        <v>0</v>
      </c>
      <c r="R83">
        <v>0</v>
      </c>
      <c r="T83">
        <f t="shared" si="15"/>
        <v>0</v>
      </c>
      <c r="U83" s="14">
        <f t="shared" si="13"/>
        <v>0</v>
      </c>
    </row>
    <row r="84" spans="1:21" x14ac:dyDescent="0.3">
      <c r="A84" t="s">
        <v>107</v>
      </c>
      <c r="B84" t="s">
        <v>28</v>
      </c>
      <c r="C84">
        <v>2022</v>
      </c>
      <c r="D84" t="s">
        <v>26</v>
      </c>
      <c r="E84">
        <v>1108631.2690612462</v>
      </c>
      <c r="F84">
        <v>0</v>
      </c>
      <c r="G84">
        <v>0</v>
      </c>
      <c r="H84" s="14">
        <f t="shared" si="14"/>
        <v>1108631.2690612462</v>
      </c>
      <c r="I84">
        <v>0</v>
      </c>
      <c r="J84">
        <v>42522.843196869719</v>
      </c>
      <c r="K84">
        <v>0</v>
      </c>
      <c r="L84">
        <v>0</v>
      </c>
      <c r="M84" s="5">
        <f t="shared" si="10"/>
        <v>42522.843196869719</v>
      </c>
      <c r="N84" s="15">
        <f t="shared" si="11"/>
        <v>1066108.4258643764</v>
      </c>
      <c r="O84" s="15">
        <f t="shared" si="12"/>
        <v>0</v>
      </c>
      <c r="P84">
        <v>0</v>
      </c>
      <c r="Q84">
        <v>0</v>
      </c>
      <c r="R84">
        <v>0</v>
      </c>
      <c r="T84">
        <f t="shared" si="15"/>
        <v>0</v>
      </c>
      <c r="U84" s="14">
        <f t="shared" si="13"/>
        <v>0</v>
      </c>
    </row>
    <row r="85" spans="1:21" x14ac:dyDescent="0.3">
      <c r="A85" t="s">
        <v>108</v>
      </c>
      <c r="B85" t="s">
        <v>28</v>
      </c>
      <c r="C85">
        <v>2022</v>
      </c>
      <c r="D85" t="s">
        <v>26</v>
      </c>
      <c r="E85">
        <v>132136.25902760983</v>
      </c>
      <c r="F85">
        <v>0</v>
      </c>
      <c r="G85">
        <v>0</v>
      </c>
      <c r="H85" s="14">
        <f t="shared" si="14"/>
        <v>132136.25902760983</v>
      </c>
      <c r="I85">
        <v>0</v>
      </c>
      <c r="J85">
        <v>32581.543321876397</v>
      </c>
      <c r="K85">
        <v>0</v>
      </c>
      <c r="L85">
        <v>0</v>
      </c>
      <c r="M85" s="5">
        <f t="shared" si="10"/>
        <v>32581.543321876397</v>
      </c>
      <c r="N85" s="15">
        <f t="shared" si="11"/>
        <v>99554.715705733441</v>
      </c>
      <c r="O85" s="15">
        <f t="shared" si="12"/>
        <v>0</v>
      </c>
      <c r="P85">
        <v>0</v>
      </c>
      <c r="Q85">
        <v>0</v>
      </c>
      <c r="R85">
        <v>0</v>
      </c>
      <c r="T85">
        <f t="shared" si="15"/>
        <v>0</v>
      </c>
      <c r="U85" s="14">
        <f t="shared" si="13"/>
        <v>0</v>
      </c>
    </row>
    <row r="86" spans="1:21" x14ac:dyDescent="0.3">
      <c r="A86" t="s">
        <v>109</v>
      </c>
      <c r="B86" t="s">
        <v>28</v>
      </c>
      <c r="C86">
        <v>2022</v>
      </c>
      <c r="D86" t="s">
        <v>26</v>
      </c>
      <c r="E86">
        <v>52277.04</v>
      </c>
      <c r="F86">
        <v>0</v>
      </c>
      <c r="G86">
        <v>0</v>
      </c>
      <c r="H86" s="14">
        <f t="shared" si="14"/>
        <v>52277.04</v>
      </c>
      <c r="I86">
        <v>0</v>
      </c>
      <c r="J86">
        <v>17186.972054794522</v>
      </c>
      <c r="K86">
        <v>0</v>
      </c>
      <c r="L86">
        <v>0</v>
      </c>
      <c r="M86" s="5">
        <f t="shared" si="10"/>
        <v>17186.972054794522</v>
      </c>
      <c r="N86" s="15">
        <f t="shared" si="11"/>
        <v>35090.067945205476</v>
      </c>
      <c r="O86" s="15">
        <f t="shared" si="12"/>
        <v>0</v>
      </c>
      <c r="P86">
        <v>0</v>
      </c>
      <c r="Q86">
        <v>0</v>
      </c>
      <c r="R86">
        <v>0</v>
      </c>
      <c r="T86">
        <f t="shared" si="15"/>
        <v>0</v>
      </c>
      <c r="U86" s="14">
        <f t="shared" si="13"/>
        <v>0</v>
      </c>
    </row>
    <row r="87" spans="1:21" x14ac:dyDescent="0.3">
      <c r="A87" t="s">
        <v>110</v>
      </c>
      <c r="B87" t="s">
        <v>28</v>
      </c>
      <c r="C87">
        <v>2022</v>
      </c>
      <c r="D87" t="s">
        <v>26</v>
      </c>
      <c r="E87">
        <v>83064.959999999992</v>
      </c>
      <c r="F87">
        <v>0</v>
      </c>
      <c r="G87">
        <v>0</v>
      </c>
      <c r="H87" s="14">
        <f t="shared" si="14"/>
        <v>83064.959999999992</v>
      </c>
      <c r="I87">
        <v>0</v>
      </c>
      <c r="J87">
        <v>0</v>
      </c>
      <c r="K87">
        <v>0</v>
      </c>
      <c r="L87">
        <v>0</v>
      </c>
      <c r="M87" s="5">
        <f t="shared" si="10"/>
        <v>0</v>
      </c>
      <c r="N87" s="15">
        <f t="shared" si="11"/>
        <v>83064.959999999992</v>
      </c>
      <c r="O87" s="15">
        <f t="shared" si="12"/>
        <v>0</v>
      </c>
      <c r="P87">
        <v>0</v>
      </c>
      <c r="Q87">
        <v>0</v>
      </c>
      <c r="R87">
        <v>0</v>
      </c>
      <c r="T87">
        <f t="shared" si="15"/>
        <v>0</v>
      </c>
      <c r="U87" s="14">
        <f t="shared" si="13"/>
        <v>0</v>
      </c>
    </row>
    <row r="88" spans="1:21" x14ac:dyDescent="0.3">
      <c r="A88" t="s">
        <v>111</v>
      </c>
      <c r="B88" t="s">
        <v>28</v>
      </c>
      <c r="C88">
        <v>2022</v>
      </c>
      <c r="D88" t="s">
        <v>26</v>
      </c>
      <c r="E88">
        <v>196032</v>
      </c>
      <c r="F88">
        <v>0</v>
      </c>
      <c r="G88">
        <v>0</v>
      </c>
      <c r="H88" s="14">
        <f t="shared" si="14"/>
        <v>196032</v>
      </c>
      <c r="I88">
        <v>0</v>
      </c>
      <c r="J88">
        <v>0</v>
      </c>
      <c r="K88">
        <v>0</v>
      </c>
      <c r="L88">
        <v>1733344</v>
      </c>
      <c r="M88" s="5">
        <f t="shared" si="10"/>
        <v>1733344</v>
      </c>
      <c r="N88" s="15">
        <f t="shared" si="11"/>
        <v>-1537312</v>
      </c>
      <c r="O88" s="15">
        <f t="shared" si="12"/>
        <v>0</v>
      </c>
      <c r="P88">
        <v>0</v>
      </c>
      <c r="Q88">
        <v>0</v>
      </c>
      <c r="R88">
        <v>0</v>
      </c>
      <c r="T88">
        <f t="shared" si="15"/>
        <v>0</v>
      </c>
      <c r="U88" s="14">
        <f t="shared" si="13"/>
        <v>0</v>
      </c>
    </row>
    <row r="89" spans="1:21" x14ac:dyDescent="0.3">
      <c r="A89" t="s">
        <v>112</v>
      </c>
      <c r="B89" t="s">
        <v>28</v>
      </c>
      <c r="C89">
        <v>2022</v>
      </c>
      <c r="D89" t="s">
        <v>26</v>
      </c>
      <c r="E89">
        <v>44721</v>
      </c>
      <c r="F89">
        <v>3787.844262295082</v>
      </c>
      <c r="G89">
        <v>0</v>
      </c>
      <c r="H89" s="14">
        <f t="shared" si="14"/>
        <v>48508.844262295082</v>
      </c>
      <c r="I89">
        <v>0</v>
      </c>
      <c r="J89">
        <v>3798.2219178082191</v>
      </c>
      <c r="K89">
        <v>0</v>
      </c>
      <c r="L89">
        <v>0</v>
      </c>
      <c r="M89" s="5">
        <f t="shared" si="10"/>
        <v>3798.2219178082191</v>
      </c>
      <c r="N89" s="15">
        <f t="shared" si="11"/>
        <v>44710.622344486866</v>
      </c>
      <c r="O89" s="15">
        <f t="shared" si="12"/>
        <v>0</v>
      </c>
      <c r="P89">
        <v>0</v>
      </c>
      <c r="Q89">
        <v>0</v>
      </c>
      <c r="R89">
        <v>0</v>
      </c>
      <c r="T89">
        <f t="shared" si="15"/>
        <v>0</v>
      </c>
      <c r="U89" s="14">
        <f t="shared" si="13"/>
        <v>0</v>
      </c>
    </row>
    <row r="90" spans="1:21" x14ac:dyDescent="0.3">
      <c r="A90" t="s">
        <v>113</v>
      </c>
      <c r="B90" t="s">
        <v>28</v>
      </c>
      <c r="C90">
        <v>2022</v>
      </c>
      <c r="D90" t="s">
        <v>26</v>
      </c>
      <c r="E90">
        <v>143360</v>
      </c>
      <c r="F90">
        <v>0</v>
      </c>
      <c r="G90">
        <v>0</v>
      </c>
      <c r="H90" s="14">
        <f t="shared" si="14"/>
        <v>143360</v>
      </c>
      <c r="I90">
        <v>0</v>
      </c>
      <c r="J90">
        <v>59307.835616438359</v>
      </c>
      <c r="K90">
        <v>0</v>
      </c>
      <c r="L90">
        <v>0</v>
      </c>
      <c r="M90" s="5">
        <f t="shared" si="10"/>
        <v>59307.835616438359</v>
      </c>
      <c r="N90" s="15">
        <f t="shared" si="11"/>
        <v>84052.164383561641</v>
      </c>
      <c r="O90" s="15">
        <f t="shared" si="12"/>
        <v>0</v>
      </c>
      <c r="P90">
        <v>0</v>
      </c>
      <c r="Q90">
        <v>0</v>
      </c>
      <c r="R90">
        <v>0</v>
      </c>
      <c r="T90">
        <f t="shared" si="15"/>
        <v>0</v>
      </c>
      <c r="U90" s="14">
        <f t="shared" si="13"/>
        <v>0</v>
      </c>
    </row>
    <row r="91" spans="1:21" x14ac:dyDescent="0.3">
      <c r="A91" t="s">
        <v>114</v>
      </c>
      <c r="B91" t="s">
        <v>28</v>
      </c>
      <c r="C91">
        <v>2022</v>
      </c>
      <c r="D91" t="s">
        <v>26</v>
      </c>
      <c r="E91">
        <v>73083.12</v>
      </c>
      <c r="F91">
        <v>0</v>
      </c>
      <c r="G91">
        <v>0</v>
      </c>
      <c r="H91" s="14">
        <f t="shared" si="14"/>
        <v>73083.12</v>
      </c>
      <c r="I91">
        <v>0</v>
      </c>
      <c r="J91">
        <v>60869.228712328768</v>
      </c>
      <c r="K91">
        <v>0</v>
      </c>
      <c r="L91">
        <v>0</v>
      </c>
      <c r="M91" s="5">
        <f t="shared" si="10"/>
        <v>60869.228712328768</v>
      </c>
      <c r="N91" s="15">
        <f t="shared" si="11"/>
        <v>12213.891287671227</v>
      </c>
      <c r="O91" s="15">
        <f t="shared" si="12"/>
        <v>0</v>
      </c>
      <c r="P91">
        <v>0</v>
      </c>
      <c r="Q91">
        <v>0</v>
      </c>
      <c r="R91">
        <v>0</v>
      </c>
      <c r="T91">
        <f t="shared" si="15"/>
        <v>0</v>
      </c>
      <c r="U91" s="14">
        <f t="shared" si="13"/>
        <v>0</v>
      </c>
    </row>
    <row r="92" spans="1:21" x14ac:dyDescent="0.3">
      <c r="A92" t="s">
        <v>115</v>
      </c>
      <c r="B92" t="s">
        <v>28</v>
      </c>
      <c r="C92">
        <v>2022</v>
      </c>
      <c r="D92" t="s">
        <v>26</v>
      </c>
      <c r="E92">
        <v>63596.308609307089</v>
      </c>
      <c r="F92">
        <v>44691.652488458261</v>
      </c>
      <c r="G92">
        <v>0</v>
      </c>
      <c r="H92" s="14">
        <f t="shared" si="14"/>
        <v>108287.96109776535</v>
      </c>
      <c r="I92">
        <v>0</v>
      </c>
      <c r="J92">
        <v>42339.460252223624</v>
      </c>
      <c r="K92">
        <v>0</v>
      </c>
      <c r="L92">
        <v>0</v>
      </c>
      <c r="M92" s="5">
        <f t="shared" si="10"/>
        <v>42339.460252223624</v>
      </c>
      <c r="N92" s="15">
        <f t="shared" si="11"/>
        <v>65948.500845541726</v>
      </c>
      <c r="O92" s="15">
        <f t="shared" si="12"/>
        <v>0</v>
      </c>
      <c r="P92">
        <v>0</v>
      </c>
      <c r="Q92">
        <v>0</v>
      </c>
      <c r="R92">
        <v>0</v>
      </c>
      <c r="T92">
        <f t="shared" si="15"/>
        <v>0</v>
      </c>
      <c r="U92" s="14">
        <f t="shared" si="13"/>
        <v>0</v>
      </c>
    </row>
    <row r="93" spans="1:21" x14ac:dyDescent="0.3">
      <c r="A93" t="s">
        <v>116</v>
      </c>
      <c r="B93" t="s">
        <v>28</v>
      </c>
      <c r="C93">
        <v>2022</v>
      </c>
      <c r="D93" t="s">
        <v>26</v>
      </c>
      <c r="E93">
        <v>94802.4</v>
      </c>
      <c r="F93">
        <v>0</v>
      </c>
      <c r="G93">
        <v>0</v>
      </c>
      <c r="H93" s="14">
        <f t="shared" si="14"/>
        <v>94802.4</v>
      </c>
      <c r="I93">
        <v>0</v>
      </c>
      <c r="J93">
        <v>0</v>
      </c>
      <c r="K93">
        <v>0</v>
      </c>
      <c r="L93">
        <v>0</v>
      </c>
      <c r="M93" s="5">
        <f t="shared" si="10"/>
        <v>0</v>
      </c>
      <c r="N93" s="15">
        <f t="shared" si="11"/>
        <v>94802.4</v>
      </c>
      <c r="O93" s="15">
        <f t="shared" si="12"/>
        <v>0</v>
      </c>
      <c r="P93">
        <v>0</v>
      </c>
      <c r="Q93">
        <v>0</v>
      </c>
      <c r="R93">
        <v>0</v>
      </c>
      <c r="T93">
        <f t="shared" si="15"/>
        <v>0</v>
      </c>
      <c r="U93" s="14">
        <f t="shared" si="13"/>
        <v>0</v>
      </c>
    </row>
    <row r="94" spans="1:21" x14ac:dyDescent="0.3">
      <c r="A94" t="s">
        <v>117</v>
      </c>
      <c r="B94" t="s">
        <v>28</v>
      </c>
      <c r="C94">
        <v>2022</v>
      </c>
      <c r="D94" t="s">
        <v>26</v>
      </c>
      <c r="E94">
        <v>25711.587166982132</v>
      </c>
      <c r="F94">
        <v>0</v>
      </c>
      <c r="G94">
        <v>0</v>
      </c>
      <c r="H94" s="14">
        <f t="shared" si="14"/>
        <v>25711.587166982132</v>
      </c>
      <c r="I94">
        <v>0</v>
      </c>
      <c r="J94">
        <v>10636.848389628225</v>
      </c>
      <c r="K94">
        <v>0</v>
      </c>
      <c r="L94">
        <v>0</v>
      </c>
      <c r="M94" s="5">
        <f t="shared" si="10"/>
        <v>10636.848389628225</v>
      </c>
      <c r="N94" s="15">
        <f t="shared" si="11"/>
        <v>15074.738777353907</v>
      </c>
      <c r="O94" s="15">
        <f t="shared" si="12"/>
        <v>0</v>
      </c>
      <c r="P94">
        <v>0</v>
      </c>
      <c r="Q94">
        <v>0</v>
      </c>
      <c r="R94">
        <v>0</v>
      </c>
      <c r="T94">
        <f t="shared" si="15"/>
        <v>0</v>
      </c>
      <c r="U94" s="14">
        <f t="shared" si="13"/>
        <v>0</v>
      </c>
    </row>
    <row r="95" spans="1:21" x14ac:dyDescent="0.3">
      <c r="A95" t="s">
        <v>118</v>
      </c>
      <c r="B95" t="s">
        <v>28</v>
      </c>
      <c r="C95">
        <v>2022</v>
      </c>
      <c r="D95" t="s">
        <v>26</v>
      </c>
      <c r="E95">
        <v>253536</v>
      </c>
      <c r="F95">
        <v>168792.46027397263</v>
      </c>
      <c r="G95">
        <v>0</v>
      </c>
      <c r="H95" s="14">
        <f t="shared" si="14"/>
        <v>422328.4602739726</v>
      </c>
      <c r="I95">
        <v>0</v>
      </c>
      <c r="J95">
        <v>168792.46027397263</v>
      </c>
      <c r="K95">
        <v>0</v>
      </c>
      <c r="L95">
        <v>251063.43013698634</v>
      </c>
      <c r="M95" s="5">
        <f t="shared" si="10"/>
        <v>419855.89041095896</v>
      </c>
      <c r="N95" s="15">
        <f t="shared" si="11"/>
        <v>2472.5698630136321</v>
      </c>
      <c r="O95" s="15">
        <f t="shared" si="12"/>
        <v>0</v>
      </c>
      <c r="P95">
        <v>0</v>
      </c>
      <c r="Q95">
        <v>0</v>
      </c>
      <c r="R95">
        <v>500000</v>
      </c>
      <c r="T95">
        <f t="shared" si="15"/>
        <v>166666.66666666666</v>
      </c>
      <c r="U95" s="14">
        <f t="shared" si="13"/>
        <v>1780.2503013698151</v>
      </c>
    </row>
    <row r="96" spans="1:21" x14ac:dyDescent="0.3">
      <c r="A96" t="s">
        <v>119</v>
      </c>
      <c r="B96" t="s">
        <v>28</v>
      </c>
      <c r="C96">
        <v>2022</v>
      </c>
      <c r="D96" t="s">
        <v>26</v>
      </c>
      <c r="E96">
        <v>1158997.9528136523</v>
      </c>
      <c r="F96">
        <v>847168.07091521355</v>
      </c>
      <c r="G96">
        <v>0</v>
      </c>
      <c r="H96" s="14">
        <f t="shared" si="14"/>
        <v>2006166.0237288659</v>
      </c>
      <c r="I96">
        <v>0</v>
      </c>
      <c r="J96">
        <v>787601.56592898769</v>
      </c>
      <c r="K96">
        <v>0</v>
      </c>
      <c r="L96">
        <v>0</v>
      </c>
      <c r="M96" s="5">
        <f t="shared" si="10"/>
        <v>787601.56592898769</v>
      </c>
      <c r="N96" s="15">
        <f t="shared" si="11"/>
        <v>1218564.4577998782</v>
      </c>
      <c r="O96" s="15">
        <f t="shared" si="12"/>
        <v>0</v>
      </c>
      <c r="P96">
        <v>0</v>
      </c>
      <c r="Q96">
        <v>0</v>
      </c>
      <c r="R96">
        <v>0</v>
      </c>
      <c r="T96">
        <f t="shared" si="15"/>
        <v>0</v>
      </c>
      <c r="U96" s="14">
        <f t="shared" si="13"/>
        <v>0</v>
      </c>
    </row>
    <row r="97" spans="1:21" x14ac:dyDescent="0.3">
      <c r="A97" t="s">
        <v>120</v>
      </c>
      <c r="B97" t="s">
        <v>28</v>
      </c>
      <c r="C97">
        <v>2022</v>
      </c>
      <c r="D97" t="s">
        <v>26</v>
      </c>
      <c r="E97">
        <v>9616.2000000000007</v>
      </c>
      <c r="F97">
        <v>0</v>
      </c>
      <c r="G97">
        <v>0</v>
      </c>
      <c r="H97" s="14">
        <f t="shared" si="14"/>
        <v>9616.2000000000007</v>
      </c>
      <c r="I97">
        <v>0</v>
      </c>
      <c r="J97">
        <v>8009.1090410958914</v>
      </c>
      <c r="K97">
        <v>0</v>
      </c>
      <c r="L97">
        <v>0</v>
      </c>
      <c r="M97" s="5">
        <f t="shared" si="10"/>
        <v>8009.1090410958914</v>
      </c>
      <c r="N97" s="15">
        <f t="shared" si="11"/>
        <v>1607.0909589041094</v>
      </c>
      <c r="O97" s="15">
        <f t="shared" si="12"/>
        <v>0</v>
      </c>
      <c r="P97">
        <v>0</v>
      </c>
      <c r="Q97">
        <v>0</v>
      </c>
      <c r="R97">
        <v>0</v>
      </c>
      <c r="T97">
        <f t="shared" si="15"/>
        <v>0</v>
      </c>
      <c r="U97" s="14">
        <f t="shared" si="13"/>
        <v>0</v>
      </c>
    </row>
    <row r="98" spans="1:21" x14ac:dyDescent="0.3">
      <c r="A98" t="s">
        <v>121</v>
      </c>
      <c r="B98" t="s">
        <v>28</v>
      </c>
      <c r="C98">
        <v>2022</v>
      </c>
      <c r="D98" t="s">
        <v>26</v>
      </c>
      <c r="E98">
        <v>870706.56</v>
      </c>
      <c r="F98">
        <v>0</v>
      </c>
      <c r="G98">
        <v>0</v>
      </c>
      <c r="H98" s="14">
        <f t="shared" si="14"/>
        <v>870706.56</v>
      </c>
      <c r="I98">
        <v>0</v>
      </c>
      <c r="J98">
        <v>505725.45402739727</v>
      </c>
      <c r="K98">
        <v>500000</v>
      </c>
      <c r="L98">
        <v>0</v>
      </c>
      <c r="M98" s="5">
        <f t="shared" si="10"/>
        <v>1005725.4540273973</v>
      </c>
      <c r="N98" s="15">
        <f t="shared" si="11"/>
        <v>-135018.89402739727</v>
      </c>
      <c r="O98" s="15">
        <f t="shared" si="12"/>
        <v>500000</v>
      </c>
      <c r="P98">
        <v>500000</v>
      </c>
      <c r="Q98">
        <v>0</v>
      </c>
      <c r="R98">
        <v>0</v>
      </c>
      <c r="T98">
        <f t="shared" si="15"/>
        <v>166666.66666666666</v>
      </c>
      <c r="U98" s="14">
        <f t="shared" si="13"/>
        <v>0</v>
      </c>
    </row>
    <row r="99" spans="1:21" x14ac:dyDescent="0.3">
      <c r="A99" t="s">
        <v>122</v>
      </c>
      <c r="B99" t="s">
        <v>28</v>
      </c>
      <c r="C99">
        <v>2022</v>
      </c>
      <c r="D99" t="s">
        <v>26</v>
      </c>
      <c r="E99">
        <v>1948730.4000000001</v>
      </c>
      <c r="F99">
        <v>245514.90575342468</v>
      </c>
      <c r="G99">
        <v>0</v>
      </c>
      <c r="H99" s="14">
        <f t="shared" si="14"/>
        <v>2194245.3057534248</v>
      </c>
      <c r="I99">
        <v>0</v>
      </c>
      <c r="J99">
        <v>315000.25643835618</v>
      </c>
      <c r="K99">
        <v>0</v>
      </c>
      <c r="L99">
        <v>0</v>
      </c>
      <c r="M99" s="5">
        <f t="shared" si="10"/>
        <v>315000.25643835618</v>
      </c>
      <c r="N99" s="15">
        <f t="shared" si="11"/>
        <v>1879245.0493150686</v>
      </c>
      <c r="O99" s="15">
        <f t="shared" si="12"/>
        <v>0</v>
      </c>
      <c r="P99">
        <v>0</v>
      </c>
      <c r="Q99">
        <v>1000000</v>
      </c>
      <c r="R99">
        <v>1000000</v>
      </c>
      <c r="T99">
        <f t="shared" si="15"/>
        <v>666666.66666666663</v>
      </c>
      <c r="U99" s="14">
        <f t="shared" si="13"/>
        <v>99999.999999999985</v>
      </c>
    </row>
    <row r="100" spans="1:21" x14ac:dyDescent="0.3">
      <c r="A100" t="s">
        <v>123</v>
      </c>
      <c r="B100" t="s">
        <v>28</v>
      </c>
      <c r="C100">
        <v>2022</v>
      </c>
      <c r="D100" t="s">
        <v>26</v>
      </c>
      <c r="E100">
        <v>303933.73978450906</v>
      </c>
      <c r="F100">
        <v>160944.41820728683</v>
      </c>
      <c r="G100">
        <v>0</v>
      </c>
      <c r="H100" s="14">
        <f t="shared" si="14"/>
        <v>464878.15799179592</v>
      </c>
      <c r="I100">
        <v>0</v>
      </c>
      <c r="J100">
        <v>169521.0075508164</v>
      </c>
      <c r="K100">
        <v>0</v>
      </c>
      <c r="L100">
        <v>0</v>
      </c>
      <c r="M100" s="5">
        <f t="shared" ref="M100:M131" si="16">SUM(I100:L100)</f>
        <v>169521.0075508164</v>
      </c>
      <c r="N100" s="15">
        <f t="shared" ref="N100:N131" si="17">H100-M100</f>
        <v>295357.15044097952</v>
      </c>
      <c r="O100" s="15">
        <f t="shared" ref="O100:O128" si="18">K100+I100-G100</f>
        <v>0</v>
      </c>
      <c r="P100">
        <v>0</v>
      </c>
      <c r="Q100">
        <v>0</v>
      </c>
      <c r="R100">
        <v>0</v>
      </c>
      <c r="T100">
        <f t="shared" si="15"/>
        <v>0</v>
      </c>
      <c r="U100" s="14">
        <f t="shared" ref="U100:U131" si="19">IF(N100&lt;0,0,MIN(72%*N100,15%*T100))</f>
        <v>0</v>
      </c>
    </row>
    <row r="101" spans="1:21" x14ac:dyDescent="0.3">
      <c r="A101" t="s">
        <v>124</v>
      </c>
      <c r="B101" t="s">
        <v>28</v>
      </c>
      <c r="C101">
        <v>2022</v>
      </c>
      <c r="D101" t="s">
        <v>26</v>
      </c>
      <c r="E101">
        <v>313547.05513782182</v>
      </c>
      <c r="F101">
        <v>266517.79897729645</v>
      </c>
      <c r="G101">
        <v>0</v>
      </c>
      <c r="H101" s="14">
        <f t="shared" si="14"/>
        <v>580064.85411511827</v>
      </c>
      <c r="I101">
        <v>0</v>
      </c>
      <c r="J101">
        <v>207676.20699529591</v>
      </c>
      <c r="K101">
        <v>0</v>
      </c>
      <c r="L101">
        <v>0</v>
      </c>
      <c r="M101" s="5">
        <f t="shared" si="16"/>
        <v>207676.20699529591</v>
      </c>
      <c r="N101" s="15">
        <f t="shared" si="17"/>
        <v>372388.64711982233</v>
      </c>
      <c r="O101" s="15">
        <f t="shared" si="18"/>
        <v>0</v>
      </c>
      <c r="P101">
        <v>0</v>
      </c>
      <c r="Q101">
        <v>0</v>
      </c>
      <c r="R101">
        <v>0</v>
      </c>
      <c r="T101">
        <f t="shared" si="15"/>
        <v>0</v>
      </c>
      <c r="U101" s="14">
        <f t="shared" si="19"/>
        <v>0</v>
      </c>
    </row>
    <row r="102" spans="1:21" x14ac:dyDescent="0.3">
      <c r="A102" t="s">
        <v>125</v>
      </c>
      <c r="B102" t="s">
        <v>28</v>
      </c>
      <c r="C102">
        <v>2022</v>
      </c>
      <c r="D102" t="s">
        <v>26</v>
      </c>
      <c r="E102">
        <v>58110.719999999994</v>
      </c>
      <c r="F102">
        <v>28896.152547945203</v>
      </c>
      <c r="G102">
        <v>0</v>
      </c>
      <c r="H102" s="14">
        <f t="shared" si="14"/>
        <v>87006.872547945197</v>
      </c>
      <c r="I102">
        <v>0</v>
      </c>
      <c r="J102">
        <v>19264.101698630137</v>
      </c>
      <c r="K102">
        <v>0</v>
      </c>
      <c r="L102">
        <v>0</v>
      </c>
      <c r="M102" s="5">
        <f t="shared" si="16"/>
        <v>19264.101698630137</v>
      </c>
      <c r="N102" s="15">
        <f t="shared" si="17"/>
        <v>67742.770849315057</v>
      </c>
      <c r="O102" s="15">
        <f t="shared" si="18"/>
        <v>0</v>
      </c>
      <c r="P102">
        <v>0</v>
      </c>
      <c r="Q102">
        <v>0</v>
      </c>
      <c r="R102">
        <v>0</v>
      </c>
      <c r="T102">
        <f t="shared" si="15"/>
        <v>0</v>
      </c>
      <c r="U102" s="14">
        <f t="shared" si="19"/>
        <v>0</v>
      </c>
    </row>
    <row r="103" spans="1:21" x14ac:dyDescent="0.3">
      <c r="A103" t="s">
        <v>126</v>
      </c>
      <c r="B103" t="s">
        <v>28</v>
      </c>
      <c r="C103">
        <v>2022</v>
      </c>
      <c r="D103" t="s">
        <v>26</v>
      </c>
      <c r="E103">
        <v>560880</v>
      </c>
      <c r="F103">
        <v>168809.91780821918</v>
      </c>
      <c r="G103">
        <v>0</v>
      </c>
      <c r="H103" s="14">
        <f t="shared" si="14"/>
        <v>729689.91780821921</v>
      </c>
      <c r="I103">
        <v>0</v>
      </c>
      <c r="J103">
        <v>185935.56164383562</v>
      </c>
      <c r="K103">
        <v>1000000</v>
      </c>
      <c r="L103">
        <v>0</v>
      </c>
      <c r="M103" s="5">
        <f t="shared" si="16"/>
        <v>1185935.5616438356</v>
      </c>
      <c r="N103" s="15">
        <f t="shared" si="17"/>
        <v>-456245.64383561641</v>
      </c>
      <c r="O103" s="15">
        <f t="shared" si="18"/>
        <v>1000000</v>
      </c>
      <c r="P103">
        <v>1000000</v>
      </c>
      <c r="Q103">
        <v>0</v>
      </c>
      <c r="R103">
        <v>0</v>
      </c>
      <c r="T103">
        <f t="shared" si="15"/>
        <v>333333.33333333331</v>
      </c>
      <c r="U103" s="14">
        <f t="shared" si="19"/>
        <v>0</v>
      </c>
    </row>
    <row r="104" spans="1:21" x14ac:dyDescent="0.3">
      <c r="A104" t="s">
        <v>127</v>
      </c>
      <c r="B104" t="s">
        <v>28</v>
      </c>
      <c r="C104">
        <v>2022</v>
      </c>
      <c r="D104" t="s">
        <v>26</v>
      </c>
      <c r="E104">
        <v>86545.8</v>
      </c>
      <c r="F104">
        <v>0</v>
      </c>
      <c r="G104">
        <v>0</v>
      </c>
      <c r="H104" s="14">
        <f t="shared" si="14"/>
        <v>86545.8</v>
      </c>
      <c r="I104">
        <v>0</v>
      </c>
      <c r="J104">
        <v>72081.981369863017</v>
      </c>
      <c r="K104">
        <v>0</v>
      </c>
      <c r="L104">
        <v>0</v>
      </c>
      <c r="M104" s="5">
        <f t="shared" si="16"/>
        <v>72081.981369863017</v>
      </c>
      <c r="N104" s="15">
        <f t="shared" si="17"/>
        <v>14463.818630136986</v>
      </c>
      <c r="O104" s="15">
        <f t="shared" si="18"/>
        <v>0</v>
      </c>
      <c r="P104">
        <v>0</v>
      </c>
      <c r="Q104">
        <v>0</v>
      </c>
      <c r="R104">
        <v>0</v>
      </c>
      <c r="T104">
        <f t="shared" si="15"/>
        <v>0</v>
      </c>
      <c r="U104" s="14">
        <f t="shared" si="19"/>
        <v>0</v>
      </c>
    </row>
    <row r="105" spans="1:21" x14ac:dyDescent="0.3">
      <c r="A105" t="s">
        <v>128</v>
      </c>
      <c r="B105" t="s">
        <v>28</v>
      </c>
      <c r="C105">
        <v>2022</v>
      </c>
      <c r="D105" t="s">
        <v>26</v>
      </c>
      <c r="E105">
        <v>183429.93466383708</v>
      </c>
      <c r="F105">
        <v>31972.435470456247</v>
      </c>
      <c r="G105">
        <v>0</v>
      </c>
      <c r="H105" s="14">
        <f t="shared" si="14"/>
        <v>215402.37013429333</v>
      </c>
      <c r="I105">
        <v>0</v>
      </c>
      <c r="J105">
        <v>39770.590463250453</v>
      </c>
      <c r="K105">
        <v>0</v>
      </c>
      <c r="L105">
        <v>0</v>
      </c>
      <c r="M105" s="5">
        <f t="shared" si="16"/>
        <v>39770.590463250453</v>
      </c>
      <c r="N105" s="15">
        <f t="shared" si="17"/>
        <v>175631.77967104287</v>
      </c>
      <c r="O105" s="15">
        <f t="shared" si="18"/>
        <v>0</v>
      </c>
      <c r="P105">
        <v>0</v>
      </c>
      <c r="Q105">
        <v>0</v>
      </c>
      <c r="R105">
        <v>0</v>
      </c>
      <c r="T105">
        <f t="shared" si="15"/>
        <v>0</v>
      </c>
      <c r="U105" s="14">
        <f t="shared" si="19"/>
        <v>0</v>
      </c>
    </row>
    <row r="106" spans="1:21" x14ac:dyDescent="0.3">
      <c r="A106" t="s">
        <v>129</v>
      </c>
      <c r="B106" t="s">
        <v>28</v>
      </c>
      <c r="C106">
        <v>2022</v>
      </c>
      <c r="D106" t="s">
        <v>26</v>
      </c>
      <c r="E106">
        <v>96791.88</v>
      </c>
      <c r="F106">
        <v>424349.15243835619</v>
      </c>
      <c r="G106">
        <v>0</v>
      </c>
      <c r="H106" s="14">
        <f t="shared" si="14"/>
        <v>521141.0324383562</v>
      </c>
      <c r="I106">
        <v>0</v>
      </c>
      <c r="J106">
        <v>0</v>
      </c>
      <c r="K106">
        <v>0</v>
      </c>
      <c r="L106">
        <v>487830.9852252414</v>
      </c>
      <c r="M106" s="5">
        <f t="shared" si="16"/>
        <v>487830.9852252414</v>
      </c>
      <c r="N106" s="15">
        <f t="shared" si="17"/>
        <v>33310.047213114798</v>
      </c>
      <c r="O106" s="15">
        <f t="shared" si="18"/>
        <v>0</v>
      </c>
      <c r="P106">
        <v>0</v>
      </c>
      <c r="Q106">
        <v>800000</v>
      </c>
      <c r="R106">
        <v>0</v>
      </c>
      <c r="T106">
        <f t="shared" si="15"/>
        <v>266666.66666666669</v>
      </c>
      <c r="U106" s="14">
        <f t="shared" si="19"/>
        <v>23983.233993442653</v>
      </c>
    </row>
    <row r="107" spans="1:21" x14ac:dyDescent="0.3">
      <c r="A107" t="s">
        <v>130</v>
      </c>
      <c r="B107" t="s">
        <v>28</v>
      </c>
      <c r="C107">
        <v>2022</v>
      </c>
      <c r="D107" t="s">
        <v>26</v>
      </c>
      <c r="E107">
        <v>101600.64000000001</v>
      </c>
      <c r="F107">
        <v>0</v>
      </c>
      <c r="G107">
        <v>0</v>
      </c>
      <c r="H107" s="14">
        <f t="shared" si="14"/>
        <v>101600.64000000001</v>
      </c>
      <c r="I107">
        <v>500000</v>
      </c>
      <c r="J107">
        <v>59011.878575342467</v>
      </c>
      <c r="K107">
        <v>0</v>
      </c>
      <c r="L107">
        <v>0</v>
      </c>
      <c r="M107" s="5">
        <f t="shared" si="16"/>
        <v>559011.87857534247</v>
      </c>
      <c r="N107" s="15">
        <f t="shared" si="17"/>
        <v>-457411.23857534246</v>
      </c>
      <c r="O107" s="15">
        <f t="shared" si="18"/>
        <v>500000</v>
      </c>
      <c r="P107">
        <v>500000</v>
      </c>
      <c r="Q107">
        <v>0</v>
      </c>
      <c r="R107">
        <v>0</v>
      </c>
      <c r="T107">
        <f t="shared" si="15"/>
        <v>166666.66666666666</v>
      </c>
      <c r="U107" s="14">
        <f t="shared" si="19"/>
        <v>0</v>
      </c>
    </row>
    <row r="108" spans="1:21" x14ac:dyDescent="0.3">
      <c r="A108" t="s">
        <v>131</v>
      </c>
      <c r="B108" t="s">
        <v>28</v>
      </c>
      <c r="C108">
        <v>2022</v>
      </c>
      <c r="D108" t="s">
        <v>26</v>
      </c>
      <c r="E108">
        <v>106838825.52201758</v>
      </c>
      <c r="F108">
        <v>39264205.20050817</v>
      </c>
      <c r="G108">
        <v>14400000</v>
      </c>
      <c r="H108" s="14">
        <f t="shared" si="14"/>
        <v>160503030.72252575</v>
      </c>
      <c r="I108">
        <v>38900000</v>
      </c>
      <c r="J108">
        <v>48931052.520873286</v>
      </c>
      <c r="K108">
        <v>10400000</v>
      </c>
      <c r="L108">
        <v>0</v>
      </c>
      <c r="M108" s="5">
        <f t="shared" si="16"/>
        <v>98231052.520873278</v>
      </c>
      <c r="N108" s="15">
        <f t="shared" si="17"/>
        <v>62271978.201652467</v>
      </c>
      <c r="O108" s="15">
        <f t="shared" si="18"/>
        <v>34900000</v>
      </c>
      <c r="P108">
        <v>34900000</v>
      </c>
      <c r="Q108">
        <v>43600000</v>
      </c>
      <c r="R108">
        <v>35200000</v>
      </c>
      <c r="T108">
        <f t="shared" si="15"/>
        <v>37900000</v>
      </c>
      <c r="U108" s="14">
        <f t="shared" si="19"/>
        <v>5685000</v>
      </c>
    </row>
    <row r="109" spans="1:21" x14ac:dyDescent="0.3">
      <c r="A109" t="s">
        <v>132</v>
      </c>
      <c r="B109" t="s">
        <v>28</v>
      </c>
      <c r="C109">
        <v>2022</v>
      </c>
      <c r="D109" t="s">
        <v>26</v>
      </c>
      <c r="E109">
        <v>39999.000000000007</v>
      </c>
      <c r="F109">
        <v>0</v>
      </c>
      <c r="G109">
        <v>0</v>
      </c>
      <c r="H109" s="14">
        <f t="shared" si="14"/>
        <v>39999.000000000007</v>
      </c>
      <c r="I109">
        <v>0</v>
      </c>
      <c r="J109">
        <v>19835.120547945211</v>
      </c>
      <c r="K109">
        <v>0</v>
      </c>
      <c r="L109">
        <v>0</v>
      </c>
      <c r="M109" s="5">
        <f t="shared" si="16"/>
        <v>19835.120547945211</v>
      </c>
      <c r="N109" s="15">
        <f t="shared" si="17"/>
        <v>20163.879452054796</v>
      </c>
      <c r="O109" s="15">
        <f t="shared" si="18"/>
        <v>0</v>
      </c>
      <c r="P109">
        <v>0</v>
      </c>
      <c r="Q109">
        <v>0</v>
      </c>
      <c r="R109">
        <v>0</v>
      </c>
      <c r="T109">
        <f t="shared" si="15"/>
        <v>0</v>
      </c>
      <c r="U109" s="14">
        <f t="shared" si="19"/>
        <v>0</v>
      </c>
    </row>
    <row r="110" spans="1:21" x14ac:dyDescent="0.3">
      <c r="A110" t="s">
        <v>133</v>
      </c>
      <c r="B110" t="s">
        <v>28</v>
      </c>
      <c r="C110">
        <v>2022</v>
      </c>
      <c r="D110" t="s">
        <v>26</v>
      </c>
      <c r="E110">
        <v>386261.54647067818</v>
      </c>
      <c r="F110">
        <v>156872.33702279747</v>
      </c>
      <c r="G110">
        <v>0</v>
      </c>
      <c r="H110" s="14">
        <f t="shared" si="14"/>
        <v>543133.88349347562</v>
      </c>
      <c r="I110">
        <v>0</v>
      </c>
      <c r="J110">
        <v>183728.19906746113</v>
      </c>
      <c r="K110">
        <v>0</v>
      </c>
      <c r="L110">
        <v>0</v>
      </c>
      <c r="M110" s="5">
        <f t="shared" si="16"/>
        <v>183728.19906746113</v>
      </c>
      <c r="N110" s="15">
        <f t="shared" si="17"/>
        <v>359405.68442601449</v>
      </c>
      <c r="O110" s="15">
        <f t="shared" si="18"/>
        <v>0</v>
      </c>
      <c r="P110">
        <v>0</v>
      </c>
      <c r="Q110">
        <v>0</v>
      </c>
      <c r="R110">
        <v>0</v>
      </c>
      <c r="T110">
        <f t="shared" si="15"/>
        <v>0</v>
      </c>
      <c r="U110" s="14">
        <f t="shared" si="19"/>
        <v>0</v>
      </c>
    </row>
    <row r="111" spans="1:21" x14ac:dyDescent="0.3">
      <c r="A111" t="s">
        <v>134</v>
      </c>
      <c r="B111" t="s">
        <v>28</v>
      </c>
      <c r="C111">
        <v>2022</v>
      </c>
      <c r="D111" t="s">
        <v>26</v>
      </c>
      <c r="E111">
        <v>388728.72000000003</v>
      </c>
      <c r="F111">
        <v>0</v>
      </c>
      <c r="G111">
        <v>0</v>
      </c>
      <c r="H111" s="14">
        <f t="shared" si="14"/>
        <v>388728.72000000003</v>
      </c>
      <c r="I111">
        <v>350000</v>
      </c>
      <c r="J111">
        <v>0</v>
      </c>
      <c r="K111">
        <v>0</v>
      </c>
      <c r="L111">
        <v>3430266.6757470514</v>
      </c>
      <c r="M111" s="5">
        <f t="shared" si="16"/>
        <v>3780266.6757470514</v>
      </c>
      <c r="N111" s="15">
        <f t="shared" si="17"/>
        <v>-3391537.9557470512</v>
      </c>
      <c r="O111" s="15">
        <f t="shared" si="18"/>
        <v>350000</v>
      </c>
      <c r="P111">
        <v>350000</v>
      </c>
      <c r="Q111">
        <v>0</v>
      </c>
      <c r="R111">
        <v>0</v>
      </c>
      <c r="T111">
        <f t="shared" si="15"/>
        <v>116666.66666666667</v>
      </c>
      <c r="U111" s="14">
        <f t="shared" si="19"/>
        <v>0</v>
      </c>
    </row>
    <row r="112" spans="1:21" x14ac:dyDescent="0.3">
      <c r="A112" t="s">
        <v>135</v>
      </c>
      <c r="B112" t="s">
        <v>28</v>
      </c>
      <c r="C112">
        <v>2022</v>
      </c>
      <c r="D112" t="s">
        <v>26</v>
      </c>
      <c r="E112">
        <v>53308.320000000007</v>
      </c>
      <c r="F112">
        <v>4688.8465573770491</v>
      </c>
      <c r="G112">
        <v>0</v>
      </c>
      <c r="H112" s="14">
        <f t="shared" si="14"/>
        <v>57997.166557377059</v>
      </c>
      <c r="I112">
        <v>0</v>
      </c>
      <c r="J112">
        <v>4527.5559452054804</v>
      </c>
      <c r="K112">
        <v>0</v>
      </c>
      <c r="L112">
        <v>0</v>
      </c>
      <c r="M112" s="5">
        <f t="shared" si="16"/>
        <v>4527.5559452054804</v>
      </c>
      <c r="N112" s="15">
        <f t="shared" si="17"/>
        <v>53469.610612171578</v>
      </c>
      <c r="O112" s="15">
        <f t="shared" si="18"/>
        <v>0</v>
      </c>
      <c r="P112">
        <v>0</v>
      </c>
      <c r="Q112">
        <v>0</v>
      </c>
      <c r="R112">
        <v>0</v>
      </c>
      <c r="T112">
        <f t="shared" si="15"/>
        <v>0</v>
      </c>
      <c r="U112" s="14">
        <f t="shared" si="19"/>
        <v>0</v>
      </c>
    </row>
    <row r="113" spans="1:21" x14ac:dyDescent="0.3">
      <c r="A113" t="s">
        <v>136</v>
      </c>
      <c r="B113" t="s">
        <v>28</v>
      </c>
      <c r="C113">
        <v>2022</v>
      </c>
      <c r="D113" t="s">
        <v>26</v>
      </c>
      <c r="E113">
        <v>31924910.416666672</v>
      </c>
      <c r="F113">
        <v>16160600.273972601</v>
      </c>
      <c r="G113">
        <v>5600000</v>
      </c>
      <c r="H113" s="14">
        <f t="shared" si="14"/>
        <v>53685510.690639272</v>
      </c>
      <c r="I113">
        <v>11400000</v>
      </c>
      <c r="J113">
        <v>17365573.424657535</v>
      </c>
      <c r="K113">
        <v>5600000</v>
      </c>
      <c r="L113">
        <v>0</v>
      </c>
      <c r="M113" s="5">
        <f t="shared" si="16"/>
        <v>34365573.424657539</v>
      </c>
      <c r="N113" s="15">
        <f t="shared" si="17"/>
        <v>19319937.265981734</v>
      </c>
      <c r="O113" s="15">
        <f t="shared" si="18"/>
        <v>11400000</v>
      </c>
      <c r="P113">
        <v>11400000</v>
      </c>
      <c r="Q113">
        <v>11600000</v>
      </c>
      <c r="R113">
        <v>3800000</v>
      </c>
      <c r="T113">
        <f t="shared" si="15"/>
        <v>8933333.333333334</v>
      </c>
      <c r="U113" s="14">
        <f t="shared" si="19"/>
        <v>1340000</v>
      </c>
    </row>
    <row r="114" spans="1:21" x14ac:dyDescent="0.3">
      <c r="A114" t="s">
        <v>137</v>
      </c>
      <c r="B114" t="s">
        <v>28</v>
      </c>
      <c r="C114">
        <v>2022</v>
      </c>
      <c r="D114" t="s">
        <v>26</v>
      </c>
      <c r="E114">
        <v>640339071.75</v>
      </c>
      <c r="F114">
        <v>0</v>
      </c>
      <c r="G114">
        <v>225600000</v>
      </c>
      <c r="H114" s="14">
        <f t="shared" si="14"/>
        <v>865939071.75</v>
      </c>
      <c r="I114">
        <v>451200000</v>
      </c>
      <c r="J114">
        <v>3305.860273972603</v>
      </c>
      <c r="K114">
        <v>244800000</v>
      </c>
      <c r="L114">
        <v>0</v>
      </c>
      <c r="M114" s="5">
        <f t="shared" si="16"/>
        <v>696003305.86027396</v>
      </c>
      <c r="N114" s="15">
        <f t="shared" si="17"/>
        <v>169935765.88972604</v>
      </c>
      <c r="O114" s="15">
        <f t="shared" si="18"/>
        <v>470400000</v>
      </c>
      <c r="P114">
        <v>470400000</v>
      </c>
      <c r="Q114">
        <v>598800000</v>
      </c>
      <c r="R114">
        <v>0</v>
      </c>
      <c r="T114">
        <f t="shared" si="15"/>
        <v>356400000</v>
      </c>
      <c r="U114" s="14">
        <f t="shared" si="19"/>
        <v>53460000</v>
      </c>
    </row>
    <row r="115" spans="1:21" x14ac:dyDescent="0.3">
      <c r="A115" t="s">
        <v>138</v>
      </c>
      <c r="B115" t="s">
        <v>28</v>
      </c>
      <c r="C115">
        <v>2022</v>
      </c>
      <c r="D115" t="s">
        <v>26</v>
      </c>
      <c r="E115">
        <v>498740.05</v>
      </c>
      <c r="F115">
        <v>0</v>
      </c>
      <c r="G115">
        <v>300000</v>
      </c>
      <c r="H115" s="14">
        <f t="shared" si="14"/>
        <v>798740.05</v>
      </c>
      <c r="I115">
        <v>2000000</v>
      </c>
      <c r="J115">
        <v>0</v>
      </c>
      <c r="K115">
        <v>3600000</v>
      </c>
      <c r="L115">
        <v>668612.0469728501</v>
      </c>
      <c r="M115" s="5">
        <f t="shared" si="16"/>
        <v>6268612.0469728503</v>
      </c>
      <c r="N115" s="15">
        <f t="shared" si="17"/>
        <v>-5469871.9969728505</v>
      </c>
      <c r="O115" s="15">
        <f t="shared" si="18"/>
        <v>5300000</v>
      </c>
      <c r="P115">
        <v>5300000</v>
      </c>
      <c r="Q115">
        <v>1300000</v>
      </c>
      <c r="R115">
        <v>2000000</v>
      </c>
      <c r="T115">
        <f t="shared" si="15"/>
        <v>2866666.6666666665</v>
      </c>
      <c r="U115" s="14">
        <f t="shared" si="19"/>
        <v>0</v>
      </c>
    </row>
    <row r="116" spans="1:21" x14ac:dyDescent="0.3">
      <c r="A116" t="s">
        <v>139</v>
      </c>
      <c r="B116" t="s">
        <v>28</v>
      </c>
      <c r="C116">
        <v>2022</v>
      </c>
      <c r="D116" t="s">
        <v>26</v>
      </c>
      <c r="E116">
        <v>733968.71999999986</v>
      </c>
      <c r="F116">
        <v>494804.27835616429</v>
      </c>
      <c r="G116">
        <v>0</v>
      </c>
      <c r="H116" s="14">
        <f t="shared" si="14"/>
        <v>1228772.9983561642</v>
      </c>
      <c r="I116">
        <v>600000</v>
      </c>
      <c r="J116">
        <v>241304.78465753418</v>
      </c>
      <c r="K116">
        <v>0</v>
      </c>
      <c r="L116">
        <v>0</v>
      </c>
      <c r="M116" s="5">
        <f t="shared" si="16"/>
        <v>841304.78465753421</v>
      </c>
      <c r="N116" s="15">
        <f t="shared" si="17"/>
        <v>387468.21369862999</v>
      </c>
      <c r="O116" s="15">
        <f t="shared" si="18"/>
        <v>600000</v>
      </c>
      <c r="P116">
        <v>600000</v>
      </c>
      <c r="Q116">
        <v>250000</v>
      </c>
      <c r="R116">
        <v>0</v>
      </c>
      <c r="T116">
        <f t="shared" si="15"/>
        <v>283333.33333333331</v>
      </c>
      <c r="U116" s="14">
        <f t="shared" si="19"/>
        <v>42499.999999999993</v>
      </c>
    </row>
    <row r="117" spans="1:21" x14ac:dyDescent="0.3">
      <c r="A117" t="s">
        <v>140</v>
      </c>
      <c r="B117" t="s">
        <v>28</v>
      </c>
      <c r="C117">
        <v>2022</v>
      </c>
      <c r="D117" t="s">
        <v>26</v>
      </c>
      <c r="E117">
        <v>1012584.96</v>
      </c>
      <c r="F117">
        <v>128795.41479452055</v>
      </c>
      <c r="G117">
        <v>0</v>
      </c>
      <c r="H117" s="14">
        <f t="shared" si="14"/>
        <v>1141380.3747945204</v>
      </c>
      <c r="I117">
        <v>600000</v>
      </c>
      <c r="J117">
        <v>249678.4832876712</v>
      </c>
      <c r="K117">
        <v>0</v>
      </c>
      <c r="L117">
        <v>0</v>
      </c>
      <c r="M117" s="5">
        <f t="shared" si="16"/>
        <v>849678.48328767123</v>
      </c>
      <c r="N117" s="15">
        <f t="shared" si="17"/>
        <v>291701.89150684921</v>
      </c>
      <c r="O117" s="15">
        <f t="shared" si="18"/>
        <v>600000</v>
      </c>
      <c r="P117">
        <v>600000</v>
      </c>
      <c r="Q117">
        <v>0</v>
      </c>
      <c r="R117">
        <v>0</v>
      </c>
      <c r="T117">
        <f t="shared" si="15"/>
        <v>200000</v>
      </c>
      <c r="U117" s="14">
        <f t="shared" si="19"/>
        <v>30000</v>
      </c>
    </row>
    <row r="118" spans="1:21" x14ac:dyDescent="0.3">
      <c r="A118" t="s">
        <v>141</v>
      </c>
      <c r="B118" t="s">
        <v>28</v>
      </c>
      <c r="C118">
        <v>2022</v>
      </c>
      <c r="D118" t="s">
        <v>26</v>
      </c>
      <c r="E118">
        <v>19219446.473614316</v>
      </c>
      <c r="F118">
        <v>7668686.616125674</v>
      </c>
      <c r="G118">
        <v>3000000</v>
      </c>
      <c r="H118" s="14">
        <f t="shared" si="14"/>
        <v>29888133.089739989</v>
      </c>
      <c r="I118">
        <v>5100000</v>
      </c>
      <c r="J118">
        <v>9406630.0072321724</v>
      </c>
      <c r="K118">
        <v>0</v>
      </c>
      <c r="L118">
        <v>0</v>
      </c>
      <c r="M118" s="5">
        <f t="shared" si="16"/>
        <v>14506630.007232172</v>
      </c>
      <c r="N118" s="15">
        <f t="shared" si="17"/>
        <v>15381503.082507817</v>
      </c>
      <c r="O118" s="15">
        <f t="shared" si="18"/>
        <v>2100000</v>
      </c>
      <c r="P118">
        <v>2100000</v>
      </c>
      <c r="Q118">
        <v>3000000</v>
      </c>
      <c r="R118">
        <v>0</v>
      </c>
      <c r="T118">
        <f t="shared" si="15"/>
        <v>1700000</v>
      </c>
      <c r="U118" s="14">
        <f t="shared" si="19"/>
        <v>255000</v>
      </c>
    </row>
    <row r="119" spans="1:21" x14ac:dyDescent="0.3">
      <c r="A119" t="s">
        <v>142</v>
      </c>
      <c r="B119" t="s">
        <v>28</v>
      </c>
      <c r="C119">
        <v>2022</v>
      </c>
      <c r="D119" t="s">
        <v>26</v>
      </c>
      <c r="E119">
        <v>8444206.0800000001</v>
      </c>
      <c r="F119">
        <v>0</v>
      </c>
      <c r="G119">
        <v>0</v>
      </c>
      <c r="H119" s="14">
        <f t="shared" si="14"/>
        <v>8444206.0800000001</v>
      </c>
      <c r="I119">
        <v>3000000</v>
      </c>
      <c r="J119">
        <v>0</v>
      </c>
      <c r="K119">
        <v>0</v>
      </c>
      <c r="L119">
        <v>0</v>
      </c>
      <c r="M119" s="5">
        <f t="shared" si="16"/>
        <v>3000000</v>
      </c>
      <c r="N119" s="15">
        <f t="shared" si="17"/>
        <v>5444206.0800000001</v>
      </c>
      <c r="O119" s="15">
        <f t="shared" si="18"/>
        <v>3000000</v>
      </c>
      <c r="P119">
        <v>3000000</v>
      </c>
      <c r="Q119">
        <v>0</v>
      </c>
      <c r="R119">
        <v>0</v>
      </c>
      <c r="T119">
        <f t="shared" si="15"/>
        <v>1000000</v>
      </c>
      <c r="U119" s="14">
        <f t="shared" si="19"/>
        <v>150000</v>
      </c>
    </row>
    <row r="120" spans="1:21" x14ac:dyDescent="0.3">
      <c r="A120" t="s">
        <v>143</v>
      </c>
      <c r="B120" t="s">
        <v>28</v>
      </c>
      <c r="C120">
        <v>2022</v>
      </c>
      <c r="D120" t="s">
        <v>26</v>
      </c>
      <c r="E120">
        <v>7081956</v>
      </c>
      <c r="F120">
        <v>0</v>
      </c>
      <c r="G120">
        <v>6000000</v>
      </c>
      <c r="H120" s="14">
        <f t="shared" si="14"/>
        <v>13081956</v>
      </c>
      <c r="I120">
        <v>18000000</v>
      </c>
      <c r="J120">
        <v>0</v>
      </c>
      <c r="K120">
        <v>6000000</v>
      </c>
      <c r="L120">
        <v>0</v>
      </c>
      <c r="M120" s="5">
        <f t="shared" si="16"/>
        <v>24000000</v>
      </c>
      <c r="N120" s="15">
        <f t="shared" si="17"/>
        <v>-10918044</v>
      </c>
      <c r="O120" s="15">
        <f t="shared" si="18"/>
        <v>18000000</v>
      </c>
      <c r="P120">
        <v>18000000</v>
      </c>
      <c r="Q120">
        <v>6000000</v>
      </c>
      <c r="R120">
        <v>0</v>
      </c>
      <c r="T120">
        <f t="shared" si="15"/>
        <v>8000000</v>
      </c>
      <c r="U120" s="14">
        <f t="shared" si="19"/>
        <v>0</v>
      </c>
    </row>
    <row r="121" spans="1:21" x14ac:dyDescent="0.3">
      <c r="A121" t="s">
        <v>144</v>
      </c>
      <c r="B121" t="s">
        <v>28</v>
      </c>
      <c r="C121">
        <v>2022</v>
      </c>
      <c r="D121" t="s">
        <v>26</v>
      </c>
      <c r="E121">
        <v>52411.199999999997</v>
      </c>
      <c r="F121">
        <v>0</v>
      </c>
      <c r="G121">
        <v>0</v>
      </c>
      <c r="H121" s="14">
        <f t="shared" si="14"/>
        <v>52411.199999999997</v>
      </c>
      <c r="I121">
        <v>0</v>
      </c>
      <c r="J121">
        <v>21682.441643835617</v>
      </c>
      <c r="K121">
        <v>0</v>
      </c>
      <c r="L121">
        <v>0</v>
      </c>
      <c r="M121" s="5">
        <f t="shared" si="16"/>
        <v>21682.441643835617</v>
      </c>
      <c r="N121" s="15">
        <f t="shared" si="17"/>
        <v>30728.758356164381</v>
      </c>
      <c r="O121" s="15">
        <f t="shared" si="18"/>
        <v>0</v>
      </c>
      <c r="P121">
        <v>0</v>
      </c>
      <c r="Q121">
        <v>0</v>
      </c>
      <c r="R121">
        <v>0</v>
      </c>
      <c r="T121">
        <f t="shared" si="15"/>
        <v>0</v>
      </c>
      <c r="U121" s="14">
        <f t="shared" si="19"/>
        <v>0</v>
      </c>
    </row>
    <row r="122" spans="1:21" x14ac:dyDescent="0.3">
      <c r="A122" t="s">
        <v>145</v>
      </c>
      <c r="B122" t="s">
        <v>28</v>
      </c>
      <c r="C122">
        <v>2022</v>
      </c>
      <c r="D122" t="s">
        <v>26</v>
      </c>
      <c r="E122">
        <v>413712</v>
      </c>
      <c r="F122">
        <v>0</v>
      </c>
      <c r="G122">
        <v>0</v>
      </c>
      <c r="H122" s="14">
        <f t="shared" si="14"/>
        <v>413712</v>
      </c>
      <c r="I122">
        <v>0</v>
      </c>
      <c r="J122">
        <v>205155.81369863014</v>
      </c>
      <c r="K122">
        <v>0</v>
      </c>
      <c r="L122">
        <v>0</v>
      </c>
      <c r="M122" s="5">
        <f t="shared" si="16"/>
        <v>205155.81369863014</v>
      </c>
      <c r="N122" s="15">
        <f t="shared" si="17"/>
        <v>208556.18630136986</v>
      </c>
      <c r="O122" s="15">
        <f t="shared" si="18"/>
        <v>0</v>
      </c>
      <c r="P122">
        <v>0</v>
      </c>
      <c r="Q122">
        <v>0</v>
      </c>
      <c r="R122">
        <v>0</v>
      </c>
      <c r="T122">
        <f t="shared" si="15"/>
        <v>0</v>
      </c>
      <c r="U122" s="14">
        <f t="shared" si="19"/>
        <v>0</v>
      </c>
    </row>
    <row r="123" spans="1:21" x14ac:dyDescent="0.3">
      <c r="A123" t="s">
        <v>146</v>
      </c>
      <c r="B123" t="s">
        <v>28</v>
      </c>
      <c r="C123">
        <v>2022</v>
      </c>
      <c r="D123" t="s">
        <v>26</v>
      </c>
      <c r="E123">
        <v>654461.28</v>
      </c>
      <c r="F123">
        <v>172313.856</v>
      </c>
      <c r="G123">
        <v>0</v>
      </c>
      <c r="H123" s="14">
        <f t="shared" si="14"/>
        <v>826775.13600000006</v>
      </c>
      <c r="I123">
        <v>0</v>
      </c>
      <c r="J123">
        <v>186476.6386849315</v>
      </c>
      <c r="K123">
        <v>0</v>
      </c>
      <c r="L123">
        <v>0</v>
      </c>
      <c r="M123" s="5">
        <f t="shared" si="16"/>
        <v>186476.6386849315</v>
      </c>
      <c r="N123" s="15">
        <f t="shared" si="17"/>
        <v>640298.4973150685</v>
      </c>
      <c r="O123" s="15">
        <f t="shared" si="18"/>
        <v>0</v>
      </c>
      <c r="P123">
        <v>0</v>
      </c>
      <c r="Q123">
        <v>0</v>
      </c>
      <c r="R123">
        <v>0</v>
      </c>
      <c r="T123">
        <f t="shared" si="15"/>
        <v>0</v>
      </c>
      <c r="U123" s="14">
        <f t="shared" si="19"/>
        <v>0</v>
      </c>
    </row>
    <row r="124" spans="1:21" x14ac:dyDescent="0.3">
      <c r="A124" t="s">
        <v>147</v>
      </c>
      <c r="B124" t="s">
        <v>28</v>
      </c>
      <c r="C124">
        <v>2022</v>
      </c>
      <c r="D124" t="s">
        <v>26</v>
      </c>
      <c r="E124">
        <v>1688922.1800000002</v>
      </c>
      <c r="F124">
        <v>0</v>
      </c>
      <c r="G124">
        <v>0</v>
      </c>
      <c r="H124" s="14">
        <f t="shared" si="14"/>
        <v>1688922.1800000002</v>
      </c>
      <c r="I124">
        <v>3500000</v>
      </c>
      <c r="J124">
        <v>0</v>
      </c>
      <c r="K124">
        <v>0</v>
      </c>
      <c r="L124">
        <v>1343610.4999999998</v>
      </c>
      <c r="M124" s="5">
        <f t="shared" si="16"/>
        <v>4843610.5</v>
      </c>
      <c r="N124" s="15">
        <f t="shared" si="17"/>
        <v>-3154688.32</v>
      </c>
      <c r="O124" s="15">
        <f t="shared" si="18"/>
        <v>3500000</v>
      </c>
      <c r="P124">
        <v>3500000</v>
      </c>
      <c r="Q124">
        <v>3000000</v>
      </c>
      <c r="R124">
        <v>0</v>
      </c>
      <c r="T124">
        <f t="shared" si="15"/>
        <v>2166666.6666666665</v>
      </c>
      <c r="U124" s="14">
        <f t="shared" si="19"/>
        <v>0</v>
      </c>
    </row>
    <row r="125" spans="1:21" x14ac:dyDescent="0.3">
      <c r="A125" t="s">
        <v>148</v>
      </c>
      <c r="B125" t="s">
        <v>28</v>
      </c>
      <c r="C125">
        <v>2022</v>
      </c>
      <c r="D125" t="s">
        <v>26</v>
      </c>
      <c r="E125">
        <v>79749.239999999991</v>
      </c>
      <c r="F125">
        <v>0</v>
      </c>
      <c r="G125">
        <v>0</v>
      </c>
      <c r="H125" s="14">
        <f t="shared" si="14"/>
        <v>79749.239999999991</v>
      </c>
      <c r="I125">
        <v>0</v>
      </c>
      <c r="J125">
        <v>19664.196164383557</v>
      </c>
      <c r="K125">
        <v>0</v>
      </c>
      <c r="L125">
        <v>0</v>
      </c>
      <c r="M125" s="5">
        <f t="shared" si="16"/>
        <v>19664.196164383557</v>
      </c>
      <c r="N125" s="15">
        <f t="shared" si="17"/>
        <v>60085.043835616438</v>
      </c>
      <c r="O125" s="15">
        <f t="shared" si="18"/>
        <v>0</v>
      </c>
      <c r="P125">
        <v>0</v>
      </c>
      <c r="Q125">
        <v>0</v>
      </c>
      <c r="R125">
        <v>0</v>
      </c>
      <c r="T125">
        <f t="shared" si="15"/>
        <v>0</v>
      </c>
      <c r="U125" s="14">
        <f t="shared" si="19"/>
        <v>0</v>
      </c>
    </row>
    <row r="126" spans="1:21" x14ac:dyDescent="0.3">
      <c r="A126" t="s">
        <v>149</v>
      </c>
      <c r="B126" t="s">
        <v>28</v>
      </c>
      <c r="C126">
        <v>2022</v>
      </c>
      <c r="D126" t="s">
        <v>26</v>
      </c>
      <c r="E126">
        <v>29202.072022468776</v>
      </c>
      <c r="F126">
        <v>9292.9670714284202</v>
      </c>
      <c r="G126">
        <v>0</v>
      </c>
      <c r="H126" s="14">
        <f t="shared" si="14"/>
        <v>38495.039093897198</v>
      </c>
      <c r="I126">
        <v>0</v>
      </c>
      <c r="J126">
        <v>12080.857192856945</v>
      </c>
      <c r="K126">
        <v>0</v>
      </c>
      <c r="L126">
        <v>0</v>
      </c>
      <c r="M126" s="5">
        <f t="shared" si="16"/>
        <v>12080.857192856945</v>
      </c>
      <c r="N126" s="15">
        <f t="shared" si="17"/>
        <v>26414.181901040254</v>
      </c>
      <c r="O126" s="15">
        <f t="shared" si="18"/>
        <v>0</v>
      </c>
      <c r="P126">
        <v>0</v>
      </c>
      <c r="Q126">
        <v>0</v>
      </c>
      <c r="R126">
        <v>0</v>
      </c>
      <c r="T126">
        <f t="shared" si="15"/>
        <v>0</v>
      </c>
      <c r="U126" s="14">
        <f t="shared" si="19"/>
        <v>0</v>
      </c>
    </row>
    <row r="127" spans="1:21" x14ac:dyDescent="0.3">
      <c r="A127" t="s">
        <v>150</v>
      </c>
      <c r="B127" t="s">
        <v>28</v>
      </c>
      <c r="C127">
        <v>2022</v>
      </c>
      <c r="D127" t="s">
        <v>26</v>
      </c>
      <c r="E127">
        <v>887293.72683655121</v>
      </c>
      <c r="F127">
        <v>343839.78164285148</v>
      </c>
      <c r="G127">
        <v>0</v>
      </c>
      <c r="H127" s="14">
        <f t="shared" si="14"/>
        <v>1231133.5084794026</v>
      </c>
      <c r="I127">
        <v>0</v>
      </c>
      <c r="J127">
        <v>367072.19932142255</v>
      </c>
      <c r="K127">
        <v>0</v>
      </c>
      <c r="L127">
        <v>0</v>
      </c>
      <c r="M127" s="5">
        <f t="shared" si="16"/>
        <v>367072.19932142255</v>
      </c>
      <c r="N127" s="15">
        <f t="shared" si="17"/>
        <v>864061.30915798014</v>
      </c>
      <c r="O127" s="15">
        <f t="shared" si="18"/>
        <v>0</v>
      </c>
      <c r="P127">
        <v>0</v>
      </c>
      <c r="Q127">
        <v>0</v>
      </c>
      <c r="R127">
        <v>0</v>
      </c>
      <c r="T127">
        <f t="shared" si="15"/>
        <v>0</v>
      </c>
      <c r="U127" s="14">
        <f t="shared" si="19"/>
        <v>0</v>
      </c>
    </row>
    <row r="128" spans="1:21" x14ac:dyDescent="0.3">
      <c r="A128" t="s">
        <v>151</v>
      </c>
      <c r="B128" t="s">
        <v>28</v>
      </c>
      <c r="C128">
        <v>2022</v>
      </c>
      <c r="D128" t="s">
        <v>26</v>
      </c>
      <c r="E128">
        <v>25479.359999999997</v>
      </c>
      <c r="F128">
        <v>4537.4202739726024</v>
      </c>
      <c r="G128">
        <v>0</v>
      </c>
      <c r="H128" s="14">
        <f t="shared" si="14"/>
        <v>30016.780273972599</v>
      </c>
      <c r="I128">
        <v>0</v>
      </c>
      <c r="J128">
        <v>6282.5819178082183</v>
      </c>
      <c r="K128">
        <v>0</v>
      </c>
      <c r="L128">
        <v>0</v>
      </c>
      <c r="M128" s="5">
        <f t="shared" si="16"/>
        <v>6282.5819178082183</v>
      </c>
      <c r="N128" s="15">
        <f t="shared" si="17"/>
        <v>23734.198356164379</v>
      </c>
      <c r="O128" s="15">
        <f t="shared" si="18"/>
        <v>0</v>
      </c>
      <c r="P128">
        <v>0</v>
      </c>
      <c r="Q128">
        <v>0</v>
      </c>
      <c r="R128">
        <v>0</v>
      </c>
      <c r="T128">
        <f t="shared" si="15"/>
        <v>0</v>
      </c>
      <c r="U128" s="14">
        <f t="shared" si="1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F63B-D0BB-4640-8757-9478BC0DBEF7}">
  <dimension ref="B2:F9"/>
  <sheetViews>
    <sheetView workbookViewId="0">
      <selection activeCell="F16" sqref="F16"/>
    </sheetView>
  </sheetViews>
  <sheetFormatPr baseColWidth="10" defaultRowHeight="14.4" x14ac:dyDescent="0.3"/>
  <sheetData>
    <row r="2" spans="2:6" ht="36.6" x14ac:dyDescent="0.7">
      <c r="B2" t="s">
        <v>162</v>
      </c>
      <c r="C2" t="s">
        <v>163</v>
      </c>
      <c r="E2" s="17" t="s">
        <v>160</v>
      </c>
    </row>
    <row r="3" spans="2:6" x14ac:dyDescent="0.3">
      <c r="C3" s="18" t="s">
        <v>153</v>
      </c>
      <c r="D3" s="18" t="s">
        <v>154</v>
      </c>
      <c r="E3" s="18" t="s">
        <v>155</v>
      </c>
      <c r="F3" s="18" t="s">
        <v>152</v>
      </c>
    </row>
    <row r="4" spans="2:6" x14ac:dyDescent="0.3">
      <c r="C4" s="19" t="s">
        <v>156</v>
      </c>
      <c r="D4" s="20" t="s">
        <v>24</v>
      </c>
      <c r="E4" s="20" t="s">
        <v>161</v>
      </c>
      <c r="F4" s="20"/>
    </row>
    <row r="5" spans="2:6" x14ac:dyDescent="0.3">
      <c r="C5" s="19"/>
      <c r="D5" s="20" t="s">
        <v>24</v>
      </c>
      <c r="E5" s="20" t="s">
        <v>25</v>
      </c>
      <c r="F5" s="20"/>
    </row>
    <row r="6" spans="2:6" x14ac:dyDescent="0.3">
      <c r="C6" s="19"/>
      <c r="D6" s="20" t="s">
        <v>157</v>
      </c>
      <c r="E6" s="20"/>
      <c r="F6" s="20"/>
    </row>
    <row r="7" spans="2:6" x14ac:dyDescent="0.3">
      <c r="C7" s="19"/>
      <c r="D7" s="20" t="s">
        <v>157</v>
      </c>
      <c r="E7" s="20"/>
      <c r="F7" s="20"/>
    </row>
    <row r="8" spans="2:6" x14ac:dyDescent="0.3">
      <c r="C8" s="19"/>
      <c r="D8" s="20" t="s">
        <v>158</v>
      </c>
      <c r="E8" s="20"/>
      <c r="F8" s="20"/>
    </row>
    <row r="9" spans="2:6" x14ac:dyDescent="0.3">
      <c r="C9" s="19"/>
      <c r="D9" s="20" t="s">
        <v>159</v>
      </c>
      <c r="E9" s="20"/>
      <c r="F9" s="20"/>
    </row>
  </sheetData>
  <mergeCells count="1">
    <mergeCell ref="C4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</vt:lpstr>
      <vt:lpstr>OBJECTIF 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Rabie Youfiane</dc:creator>
  <cp:lastModifiedBy>Yazid BOUBEKEUR</cp:lastModifiedBy>
  <dcterms:created xsi:type="dcterms:W3CDTF">2026-04-17T00:28:29Z</dcterms:created>
  <dcterms:modified xsi:type="dcterms:W3CDTF">2026-04-17T22:42:20Z</dcterms:modified>
</cp:coreProperties>
</file>